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updateLinks="always"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8_{29FC2A4E-5129-452B-9629-605BA5D07FA6}" xr6:coauthVersionLast="47" xr6:coauthVersionMax="47" xr10:uidLastSave="{00000000-0000-0000-0000-000000000000}"/>
  <bookViews>
    <workbookView xWindow="-120" yWindow="-120" windowWidth="29040" windowHeight="15720" tabRatio="784" firstSheet="1" activeTab="1" xr2:uid="{00000000-000D-0000-FFFF-FFFF00000000}"/>
  </bookViews>
  <sheets>
    <sheet name="(과제 승인 후)2.실행과제LIST" sheetId="2" state="hidden" r:id="rId1"/>
    <sheet name="1.아이디어LIST" sheetId="1" r:id="rId2"/>
    <sheet name="(참고)재직자" sheetId="4" r:id="rId3"/>
    <sheet name="SPC(재직자)_250829 기준" sheetId="7" r:id="rId4"/>
    <sheet name="Code" sheetId="6" r:id="rId5"/>
  </sheets>
  <definedNames>
    <definedName name="_xlnm._FilterDatabase" localSheetId="2" hidden="1">'(참고)재직자'!$A$1:$P$1928</definedName>
    <definedName name="_xlnm._FilterDatabase" localSheetId="1" hidden="1">'1.아이디어LIST'!$A$9:$AV$1907</definedName>
    <definedName name="_xlnm.Print_Area" localSheetId="1">'1.아이디어LIST'!$A$505:$U$648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08" i="1" l="1"/>
  <c r="J1908" i="1"/>
  <c r="H1908" i="1"/>
  <c r="G1908" i="1"/>
  <c r="F1908" i="1"/>
  <c r="D1908" i="1"/>
  <c r="C1908" i="1"/>
  <c r="B1908" i="1"/>
  <c r="A1908" i="1"/>
  <c r="K1907" i="1"/>
  <c r="J1907" i="1"/>
  <c r="H1907" i="1"/>
  <c r="G1907" i="1"/>
  <c r="F1907" i="1"/>
  <c r="D1907" i="1"/>
  <c r="C1907" i="1"/>
  <c r="B1907" i="1"/>
  <c r="K1906" i="1"/>
  <c r="J1906" i="1"/>
  <c r="H1906" i="1"/>
  <c r="G1906" i="1"/>
  <c r="F1906" i="1"/>
  <c r="D1906" i="1"/>
  <c r="C1906" i="1"/>
  <c r="B1906" i="1"/>
  <c r="K1905" i="1"/>
  <c r="J1905" i="1"/>
  <c r="H1905" i="1"/>
  <c r="G1905" i="1"/>
  <c r="F1905" i="1"/>
  <c r="D1905" i="1"/>
  <c r="C1905" i="1"/>
  <c r="B1905" i="1"/>
  <c r="D1904" i="1"/>
  <c r="K1904" i="1"/>
  <c r="J1904" i="1"/>
  <c r="H1904" i="1"/>
  <c r="G1904" i="1"/>
  <c r="F1904" i="1"/>
  <c r="C1904" i="1"/>
  <c r="B1904" i="1"/>
  <c r="K1883" i="1"/>
  <c r="B1897" i="1"/>
  <c r="C1897" i="1"/>
  <c r="D1897" i="1"/>
  <c r="F1897" i="1"/>
  <c r="G1897" i="1"/>
  <c r="H1897" i="1"/>
  <c r="J1897" i="1"/>
  <c r="K1897" i="1"/>
  <c r="B1903" i="1"/>
  <c r="C1903" i="1"/>
  <c r="D1903" i="1"/>
  <c r="F1903" i="1"/>
  <c r="G1903" i="1"/>
  <c r="H1903" i="1"/>
  <c r="J1903" i="1"/>
  <c r="K1903" i="1"/>
  <c r="B1902" i="1"/>
  <c r="C1902" i="1"/>
  <c r="D1902" i="1"/>
  <c r="F1902" i="1"/>
  <c r="G1902" i="1"/>
  <c r="H1902" i="1"/>
  <c r="J1902" i="1"/>
  <c r="K1902" i="1"/>
  <c r="B1901" i="1"/>
  <c r="C1901" i="1"/>
  <c r="D1901" i="1"/>
  <c r="F1901" i="1"/>
  <c r="G1901" i="1"/>
  <c r="H1901" i="1"/>
  <c r="J1901" i="1"/>
  <c r="K1901" i="1"/>
  <c r="B1900" i="1"/>
  <c r="C1900" i="1"/>
  <c r="D1900" i="1"/>
  <c r="F1900" i="1"/>
  <c r="G1900" i="1"/>
  <c r="H1900" i="1"/>
  <c r="J1900" i="1"/>
  <c r="K1900" i="1"/>
  <c r="B1899" i="1"/>
  <c r="C1899" i="1"/>
  <c r="D1899" i="1"/>
  <c r="F1899" i="1"/>
  <c r="G1899" i="1"/>
  <c r="H1899" i="1"/>
  <c r="J1899" i="1"/>
  <c r="K1899" i="1"/>
  <c r="B1898" i="1"/>
  <c r="C1898" i="1"/>
  <c r="D1898" i="1"/>
  <c r="F1898" i="1"/>
  <c r="G1898" i="1"/>
  <c r="H1898" i="1"/>
  <c r="J1898" i="1"/>
  <c r="K1898" i="1"/>
  <c r="B1896" i="1"/>
  <c r="C1896" i="1"/>
  <c r="D1896" i="1"/>
  <c r="F1896" i="1"/>
  <c r="G1896" i="1"/>
  <c r="H1896" i="1"/>
  <c r="J1896" i="1"/>
  <c r="K1896" i="1"/>
  <c r="B1895" i="1"/>
  <c r="C1895" i="1"/>
  <c r="D1895" i="1"/>
  <c r="F1895" i="1"/>
  <c r="G1895" i="1"/>
  <c r="H1895" i="1"/>
  <c r="J1895" i="1"/>
  <c r="K1895" i="1"/>
  <c r="B1894" i="1"/>
  <c r="C1894" i="1"/>
  <c r="D1894" i="1"/>
  <c r="F1894" i="1"/>
  <c r="G1894" i="1"/>
  <c r="H1894" i="1"/>
  <c r="J1894" i="1"/>
  <c r="K1894" i="1"/>
  <c r="B1893" i="1"/>
  <c r="C1893" i="1"/>
  <c r="D1893" i="1"/>
  <c r="F1893" i="1"/>
  <c r="G1893" i="1"/>
  <c r="H1893" i="1"/>
  <c r="J1893" i="1"/>
  <c r="K1893" i="1"/>
  <c r="B1892" i="1"/>
  <c r="C1892" i="1"/>
  <c r="D1892" i="1"/>
  <c r="F1892" i="1"/>
  <c r="G1892" i="1"/>
  <c r="H1892" i="1"/>
  <c r="J1892" i="1"/>
  <c r="K1892" i="1"/>
  <c r="B1891" i="1"/>
  <c r="C1891" i="1"/>
  <c r="D1891" i="1"/>
  <c r="F1891" i="1"/>
  <c r="G1891" i="1"/>
  <c r="H1891" i="1"/>
  <c r="J1891" i="1"/>
  <c r="K1891" i="1"/>
  <c r="K1890" i="1"/>
  <c r="J1890" i="1"/>
  <c r="H1890" i="1"/>
  <c r="G1890" i="1"/>
  <c r="F1890" i="1"/>
  <c r="D1890" i="1"/>
  <c r="C1890" i="1"/>
  <c r="B1890" i="1"/>
  <c r="K1889" i="1"/>
  <c r="J1889" i="1"/>
  <c r="H1889" i="1"/>
  <c r="G1889" i="1"/>
  <c r="F1889" i="1"/>
  <c r="D1889" i="1"/>
  <c r="C1889" i="1"/>
  <c r="B1889" i="1"/>
  <c r="K1888" i="1"/>
  <c r="J1888" i="1"/>
  <c r="H1888" i="1"/>
  <c r="G1888" i="1"/>
  <c r="F1888" i="1"/>
  <c r="D1888" i="1"/>
  <c r="C1888" i="1"/>
  <c r="B1888" i="1"/>
  <c r="K1887" i="1"/>
  <c r="J1887" i="1"/>
  <c r="H1887" i="1"/>
  <c r="G1887" i="1"/>
  <c r="F1887" i="1"/>
  <c r="D1887" i="1"/>
  <c r="C1887" i="1"/>
  <c r="B1887" i="1"/>
  <c r="K1886" i="1"/>
  <c r="J1886" i="1"/>
  <c r="H1886" i="1"/>
  <c r="G1886" i="1"/>
  <c r="F1886" i="1"/>
  <c r="D1886" i="1"/>
  <c r="C1886" i="1"/>
  <c r="B1886" i="1"/>
  <c r="J1885" i="1"/>
  <c r="H1885" i="1"/>
  <c r="G1885" i="1"/>
  <c r="F1885" i="1"/>
  <c r="D1885" i="1"/>
  <c r="C1885" i="1"/>
  <c r="B1885" i="1"/>
  <c r="K1884" i="1"/>
  <c r="J1884" i="1"/>
  <c r="H1884" i="1"/>
  <c r="G1884" i="1"/>
  <c r="F1884" i="1"/>
  <c r="D1884" i="1"/>
  <c r="C1884" i="1"/>
  <c r="B1884" i="1"/>
  <c r="J1883" i="1"/>
  <c r="H1883" i="1"/>
  <c r="G1883" i="1"/>
  <c r="F1883" i="1"/>
  <c r="D1883" i="1"/>
  <c r="C1883" i="1"/>
  <c r="B1883" i="1"/>
  <c r="K1882" i="1"/>
  <c r="J1882" i="1"/>
  <c r="H1882" i="1"/>
  <c r="G1882" i="1"/>
  <c r="F1882" i="1"/>
  <c r="D1882" i="1"/>
  <c r="C1882" i="1"/>
  <c r="B1882" i="1"/>
  <c r="K1881" i="1"/>
  <c r="J1881" i="1"/>
  <c r="H1881" i="1"/>
  <c r="G1881" i="1"/>
  <c r="F1881" i="1"/>
  <c r="D1881" i="1"/>
  <c r="C1881" i="1"/>
  <c r="B1881" i="1"/>
  <c r="K1880" i="1"/>
  <c r="J1880" i="1"/>
  <c r="H1880" i="1"/>
  <c r="G1880" i="1"/>
  <c r="F1880" i="1"/>
  <c r="D1880" i="1"/>
  <c r="C1880" i="1"/>
  <c r="B1880" i="1"/>
  <c r="K1879" i="1"/>
  <c r="J1879" i="1"/>
  <c r="H1879" i="1"/>
  <c r="G1879" i="1"/>
  <c r="F1879" i="1"/>
  <c r="D1879" i="1"/>
  <c r="C1879" i="1"/>
  <c r="B1879" i="1"/>
  <c r="J1878" i="1"/>
  <c r="H1878" i="1"/>
  <c r="G1878" i="1"/>
  <c r="F1878" i="1"/>
  <c r="D1878" i="1"/>
  <c r="C1878" i="1"/>
  <c r="B1878" i="1"/>
  <c r="K1877" i="1"/>
  <c r="J1877" i="1"/>
  <c r="H1877" i="1"/>
  <c r="G1877" i="1"/>
  <c r="F1877" i="1"/>
  <c r="D1877" i="1"/>
  <c r="C1877" i="1"/>
  <c r="B1877" i="1"/>
  <c r="K1876" i="1"/>
  <c r="J1876" i="1"/>
  <c r="H1876" i="1"/>
  <c r="G1876" i="1"/>
  <c r="F1876" i="1"/>
  <c r="D1876" i="1"/>
  <c r="C1876" i="1"/>
  <c r="B1876" i="1"/>
  <c r="J1875" i="1"/>
  <c r="H1875" i="1"/>
  <c r="G1875" i="1"/>
  <c r="F1875" i="1"/>
  <c r="D1875" i="1"/>
  <c r="C1875" i="1"/>
  <c r="B1875" i="1"/>
  <c r="K1874" i="1"/>
  <c r="J1874" i="1"/>
  <c r="H1874" i="1"/>
  <c r="G1874" i="1"/>
  <c r="F1874" i="1"/>
  <c r="D1874" i="1"/>
  <c r="C1874" i="1"/>
  <c r="B1874" i="1"/>
  <c r="K1873" i="1"/>
  <c r="J1873" i="1"/>
  <c r="H1873" i="1"/>
  <c r="G1873" i="1"/>
  <c r="F1873" i="1"/>
  <c r="D1873" i="1"/>
  <c r="C1873" i="1"/>
  <c r="B1873" i="1"/>
  <c r="K1872" i="1"/>
  <c r="J1872" i="1"/>
  <c r="H1872" i="1"/>
  <c r="G1872" i="1"/>
  <c r="F1872" i="1"/>
  <c r="D1872" i="1"/>
  <c r="C1872" i="1"/>
  <c r="B1872" i="1"/>
  <c r="J1871" i="1"/>
  <c r="H1871" i="1"/>
  <c r="G1871" i="1"/>
  <c r="F1871" i="1"/>
  <c r="D1871" i="1"/>
  <c r="C1871" i="1"/>
  <c r="B1871" i="1"/>
  <c r="K1870" i="1"/>
  <c r="J1870" i="1"/>
  <c r="H1870" i="1"/>
  <c r="G1870" i="1"/>
  <c r="F1870" i="1"/>
  <c r="D1870" i="1"/>
  <c r="C1870" i="1"/>
  <c r="B1870" i="1"/>
  <c r="J1869" i="1"/>
  <c r="H1869" i="1"/>
  <c r="G1869" i="1"/>
  <c r="F1869" i="1"/>
  <c r="D1869" i="1"/>
  <c r="C1869" i="1"/>
  <c r="B1869" i="1"/>
  <c r="K1868" i="1"/>
  <c r="J1868" i="1"/>
  <c r="H1868" i="1"/>
  <c r="G1868" i="1"/>
  <c r="F1868" i="1"/>
  <c r="D1868" i="1"/>
  <c r="C1868" i="1"/>
  <c r="B1868" i="1"/>
  <c r="K1867" i="1"/>
  <c r="J1867" i="1"/>
  <c r="H1867" i="1"/>
  <c r="G1867" i="1"/>
  <c r="F1867" i="1"/>
  <c r="D1867" i="1"/>
  <c r="C1867" i="1"/>
  <c r="B1867" i="1"/>
  <c r="K1866" i="1"/>
  <c r="J1866" i="1"/>
  <c r="H1866" i="1"/>
  <c r="G1866" i="1"/>
  <c r="F1866" i="1"/>
  <c r="D1866" i="1"/>
  <c r="C1866" i="1"/>
  <c r="B1866" i="1"/>
  <c r="K1865" i="1"/>
  <c r="J1865" i="1"/>
  <c r="H1865" i="1"/>
  <c r="G1865" i="1"/>
  <c r="F1865" i="1"/>
  <c r="D1865" i="1"/>
  <c r="C1865" i="1"/>
  <c r="B1865" i="1"/>
  <c r="K1864" i="1"/>
  <c r="J1864" i="1"/>
  <c r="H1864" i="1"/>
  <c r="G1864" i="1"/>
  <c r="F1864" i="1"/>
  <c r="D1864" i="1"/>
  <c r="C1864" i="1"/>
  <c r="B1864" i="1"/>
  <c r="K1863" i="1"/>
  <c r="J1863" i="1"/>
  <c r="H1863" i="1"/>
  <c r="G1863" i="1"/>
  <c r="F1863" i="1"/>
  <c r="D1863" i="1"/>
  <c r="C1863" i="1"/>
  <c r="B1863" i="1"/>
  <c r="K1862" i="1"/>
  <c r="J1862" i="1"/>
  <c r="H1862" i="1"/>
  <c r="G1862" i="1"/>
  <c r="F1862" i="1"/>
  <c r="D1862" i="1"/>
  <c r="C1862" i="1"/>
  <c r="B1862" i="1"/>
  <c r="K1861" i="1"/>
  <c r="J1861" i="1"/>
  <c r="H1861" i="1"/>
  <c r="G1861" i="1"/>
  <c r="F1861" i="1"/>
  <c r="D1861" i="1"/>
  <c r="C1861" i="1"/>
  <c r="B1861" i="1"/>
  <c r="K1860" i="1"/>
  <c r="J1860" i="1"/>
  <c r="H1860" i="1"/>
  <c r="G1860" i="1"/>
  <c r="F1860" i="1"/>
  <c r="D1860" i="1"/>
  <c r="C1860" i="1"/>
  <c r="B1860" i="1"/>
  <c r="K1859" i="1"/>
  <c r="J1859" i="1"/>
  <c r="H1859" i="1"/>
  <c r="G1859" i="1"/>
  <c r="F1859" i="1"/>
  <c r="D1859" i="1"/>
  <c r="C1859" i="1"/>
  <c r="B1859" i="1"/>
  <c r="K1851" i="1"/>
  <c r="K1858" i="1"/>
  <c r="J1858" i="1"/>
  <c r="H1858" i="1"/>
  <c r="G1858" i="1"/>
  <c r="F1858" i="1"/>
  <c r="D1858" i="1"/>
  <c r="C1858" i="1"/>
  <c r="B1858" i="1"/>
  <c r="K1857" i="1"/>
  <c r="J1857" i="1"/>
  <c r="H1857" i="1"/>
  <c r="G1857" i="1"/>
  <c r="F1857" i="1"/>
  <c r="D1857" i="1"/>
  <c r="C1857" i="1"/>
  <c r="B1857" i="1"/>
  <c r="K1856" i="1"/>
  <c r="J1856" i="1"/>
  <c r="H1856" i="1"/>
  <c r="G1856" i="1"/>
  <c r="F1856" i="1"/>
  <c r="D1856" i="1"/>
  <c r="C1856" i="1"/>
  <c r="B1856" i="1"/>
  <c r="K1855" i="1"/>
  <c r="J1855" i="1"/>
  <c r="H1855" i="1"/>
  <c r="G1855" i="1"/>
  <c r="F1855" i="1"/>
  <c r="D1855" i="1"/>
  <c r="C1855" i="1"/>
  <c r="B1855" i="1"/>
  <c r="K1854" i="1"/>
  <c r="J1854" i="1"/>
  <c r="H1854" i="1"/>
  <c r="G1854" i="1"/>
  <c r="F1854" i="1"/>
  <c r="D1854" i="1"/>
  <c r="C1854" i="1"/>
  <c r="B1854" i="1"/>
  <c r="K1853" i="1"/>
  <c r="J1853" i="1"/>
  <c r="H1853" i="1"/>
  <c r="G1853" i="1"/>
  <c r="F1853" i="1"/>
  <c r="D1853" i="1"/>
  <c r="C1853" i="1"/>
  <c r="B1853" i="1"/>
  <c r="K1852" i="1"/>
  <c r="J1852" i="1"/>
  <c r="H1852" i="1"/>
  <c r="G1852" i="1"/>
  <c r="F1852" i="1"/>
  <c r="D1852" i="1"/>
  <c r="C1852" i="1"/>
  <c r="B1852" i="1"/>
  <c r="J1851" i="1"/>
  <c r="H1851" i="1"/>
  <c r="G1851" i="1"/>
  <c r="F1851" i="1"/>
  <c r="D1851" i="1"/>
  <c r="C1851" i="1"/>
  <c r="B1851" i="1"/>
  <c r="K1850" i="1"/>
  <c r="J1850" i="1"/>
  <c r="H1850" i="1"/>
  <c r="G1850" i="1"/>
  <c r="F1850" i="1"/>
  <c r="D1850" i="1"/>
  <c r="C1850" i="1"/>
  <c r="B1850" i="1"/>
  <c r="J1849" i="1"/>
  <c r="H1849" i="1"/>
  <c r="G1849" i="1"/>
  <c r="F1849" i="1"/>
  <c r="D1849" i="1"/>
  <c r="C1849" i="1"/>
  <c r="B1849" i="1"/>
  <c r="J1848" i="1"/>
  <c r="H1848" i="1"/>
  <c r="G1848" i="1"/>
  <c r="F1848" i="1"/>
  <c r="D1848" i="1"/>
  <c r="C1848" i="1"/>
  <c r="B1848" i="1"/>
  <c r="K1847" i="1"/>
  <c r="J1847" i="1"/>
  <c r="H1847" i="1"/>
  <c r="G1847" i="1"/>
  <c r="F1847" i="1"/>
  <c r="D1847" i="1"/>
  <c r="C1847" i="1"/>
  <c r="B1847" i="1"/>
  <c r="K1846" i="1"/>
  <c r="J1846" i="1"/>
  <c r="H1846" i="1"/>
  <c r="G1846" i="1"/>
  <c r="F1846" i="1"/>
  <c r="D1846" i="1"/>
  <c r="C1846" i="1"/>
  <c r="B1846" i="1"/>
  <c r="K1845" i="1"/>
  <c r="J1845" i="1"/>
  <c r="H1845" i="1"/>
  <c r="G1845" i="1"/>
  <c r="F1845" i="1"/>
  <c r="D1845" i="1"/>
  <c r="C1845" i="1"/>
  <c r="B1845" i="1"/>
  <c r="K1844" i="1"/>
  <c r="J1844" i="1"/>
  <c r="H1844" i="1"/>
  <c r="G1844" i="1"/>
  <c r="F1844" i="1"/>
  <c r="D1844" i="1"/>
  <c r="C1844" i="1"/>
  <c r="B1844" i="1"/>
  <c r="J1843" i="1"/>
  <c r="H1843" i="1"/>
  <c r="G1843" i="1"/>
  <c r="F1843" i="1"/>
  <c r="D1843" i="1"/>
  <c r="C1843" i="1"/>
  <c r="B1843" i="1"/>
  <c r="J1842" i="1"/>
  <c r="H1842" i="1"/>
  <c r="G1842" i="1"/>
  <c r="F1842" i="1"/>
  <c r="D1842" i="1"/>
  <c r="C1842" i="1"/>
  <c r="B1842" i="1"/>
  <c r="J1841" i="1"/>
  <c r="H1841" i="1"/>
  <c r="G1841" i="1"/>
  <c r="F1841" i="1"/>
  <c r="D1841" i="1"/>
  <c r="C1841" i="1"/>
  <c r="B1841" i="1"/>
  <c r="J1840" i="1"/>
  <c r="H1840" i="1"/>
  <c r="G1840" i="1"/>
  <c r="F1840" i="1"/>
  <c r="D1840" i="1"/>
  <c r="C1840" i="1"/>
  <c r="B1840" i="1"/>
  <c r="J1839" i="1"/>
  <c r="H1839" i="1"/>
  <c r="G1839" i="1"/>
  <c r="F1839" i="1"/>
  <c r="D1839" i="1"/>
  <c r="C1839" i="1"/>
  <c r="B1839" i="1"/>
  <c r="J1838" i="1"/>
  <c r="H1838" i="1"/>
  <c r="G1838" i="1"/>
  <c r="F1838" i="1"/>
  <c r="D1838" i="1"/>
  <c r="C1838" i="1"/>
  <c r="B1838" i="1"/>
  <c r="K1837" i="1"/>
  <c r="J1837" i="1"/>
  <c r="H1837" i="1"/>
  <c r="G1837" i="1"/>
  <c r="F1837" i="1"/>
  <c r="D1837" i="1"/>
  <c r="C1837" i="1"/>
  <c r="B1837" i="1"/>
  <c r="K1836" i="1"/>
  <c r="J1836" i="1"/>
  <c r="H1836" i="1"/>
  <c r="G1836" i="1"/>
  <c r="F1836" i="1"/>
  <c r="D1836" i="1"/>
  <c r="C1836" i="1"/>
  <c r="B1836" i="1"/>
  <c r="K1835" i="1"/>
  <c r="J1835" i="1"/>
  <c r="H1835" i="1"/>
  <c r="G1835" i="1"/>
  <c r="F1835" i="1"/>
  <c r="D1835" i="1"/>
  <c r="C1835" i="1"/>
  <c r="B1835" i="1"/>
  <c r="H1768" i="1"/>
  <c r="K1834" i="1"/>
  <c r="J1834" i="1"/>
  <c r="H1834" i="1"/>
  <c r="G1834" i="1"/>
  <c r="F1834" i="1"/>
  <c r="D1834" i="1"/>
  <c r="C1834" i="1"/>
  <c r="B1834" i="1"/>
  <c r="K1833" i="1"/>
  <c r="J1833" i="1"/>
  <c r="H1833" i="1"/>
  <c r="G1833" i="1"/>
  <c r="F1833" i="1"/>
  <c r="D1833" i="1"/>
  <c r="C1833" i="1"/>
  <c r="B1833" i="1"/>
  <c r="K1832" i="1"/>
  <c r="J1832" i="1"/>
  <c r="H1832" i="1"/>
  <c r="G1832" i="1"/>
  <c r="F1832" i="1"/>
  <c r="D1832" i="1"/>
  <c r="C1832" i="1"/>
  <c r="B1832" i="1"/>
  <c r="K1831" i="1"/>
  <c r="J1831" i="1"/>
  <c r="H1831" i="1"/>
  <c r="G1831" i="1"/>
  <c r="F1831" i="1"/>
  <c r="D1831" i="1"/>
  <c r="C1831" i="1"/>
  <c r="B1831" i="1"/>
  <c r="K1830" i="1"/>
  <c r="J1830" i="1"/>
  <c r="H1830" i="1"/>
  <c r="G1830" i="1"/>
  <c r="F1830" i="1"/>
  <c r="D1830" i="1"/>
  <c r="C1830" i="1"/>
  <c r="B1830" i="1"/>
  <c r="K1829" i="1"/>
  <c r="J1829" i="1"/>
  <c r="H1829" i="1"/>
  <c r="G1829" i="1"/>
  <c r="F1829" i="1"/>
  <c r="D1829" i="1"/>
  <c r="C1829" i="1"/>
  <c r="B1829" i="1"/>
  <c r="K1828" i="1"/>
  <c r="J1828" i="1"/>
  <c r="H1828" i="1"/>
  <c r="G1828" i="1"/>
  <c r="F1828" i="1"/>
  <c r="D1828" i="1"/>
  <c r="C1828" i="1"/>
  <c r="B1828" i="1"/>
  <c r="K1827" i="1"/>
  <c r="J1827" i="1"/>
  <c r="H1827" i="1"/>
  <c r="G1827" i="1"/>
  <c r="F1827" i="1"/>
  <c r="D1827" i="1"/>
  <c r="C1827" i="1"/>
  <c r="B1827" i="1"/>
  <c r="J1826" i="1"/>
  <c r="H1826" i="1"/>
  <c r="G1826" i="1"/>
  <c r="F1826" i="1"/>
  <c r="D1826" i="1"/>
  <c r="C1826" i="1"/>
  <c r="B1826" i="1"/>
  <c r="J1825" i="1"/>
  <c r="H1825" i="1"/>
  <c r="G1825" i="1"/>
  <c r="F1825" i="1"/>
  <c r="D1825" i="1"/>
  <c r="C1825" i="1"/>
  <c r="B1825" i="1"/>
  <c r="J1824" i="1"/>
  <c r="H1824" i="1"/>
  <c r="G1824" i="1"/>
  <c r="F1824" i="1"/>
  <c r="D1824" i="1"/>
  <c r="C1824" i="1"/>
  <c r="B1824" i="1"/>
  <c r="J1823" i="1"/>
  <c r="H1823" i="1"/>
  <c r="G1823" i="1"/>
  <c r="F1823" i="1"/>
  <c r="D1823" i="1"/>
  <c r="C1823" i="1"/>
  <c r="B1823" i="1"/>
  <c r="J1822" i="1"/>
  <c r="H1822" i="1"/>
  <c r="G1822" i="1"/>
  <c r="F1822" i="1"/>
  <c r="D1822" i="1"/>
  <c r="C1822" i="1"/>
  <c r="B1822" i="1"/>
  <c r="J1821" i="1"/>
  <c r="H1821" i="1"/>
  <c r="G1821" i="1"/>
  <c r="F1821" i="1"/>
  <c r="D1821" i="1"/>
  <c r="C1821" i="1"/>
  <c r="B1821" i="1"/>
  <c r="K1820" i="1"/>
  <c r="J1820" i="1"/>
  <c r="H1820" i="1"/>
  <c r="G1820" i="1"/>
  <c r="F1820" i="1"/>
  <c r="D1820" i="1"/>
  <c r="C1820" i="1"/>
  <c r="B1820" i="1"/>
  <c r="K1819" i="1"/>
  <c r="J1819" i="1"/>
  <c r="H1819" i="1"/>
  <c r="G1819" i="1"/>
  <c r="F1819" i="1"/>
  <c r="D1819" i="1"/>
  <c r="C1819" i="1"/>
  <c r="B1819" i="1"/>
  <c r="K1818" i="1"/>
  <c r="J1818" i="1"/>
  <c r="H1818" i="1"/>
  <c r="G1818" i="1"/>
  <c r="F1818" i="1"/>
  <c r="D1818" i="1"/>
  <c r="C1818" i="1"/>
  <c r="B1818" i="1"/>
  <c r="J1817" i="1"/>
  <c r="H1817" i="1"/>
  <c r="G1817" i="1"/>
  <c r="F1817" i="1"/>
  <c r="D1817" i="1"/>
  <c r="C1817" i="1"/>
  <c r="B1817" i="1"/>
  <c r="K1816" i="1"/>
  <c r="J1816" i="1"/>
  <c r="H1816" i="1"/>
  <c r="G1816" i="1"/>
  <c r="F1816" i="1"/>
  <c r="D1816" i="1"/>
  <c r="C1816" i="1"/>
  <c r="B1816" i="1"/>
  <c r="K1815" i="1"/>
  <c r="J1815" i="1"/>
  <c r="H1815" i="1"/>
  <c r="G1815" i="1"/>
  <c r="F1815" i="1"/>
  <c r="D1815" i="1"/>
  <c r="C1815" i="1"/>
  <c r="B1815" i="1"/>
  <c r="K1814" i="1"/>
  <c r="J1814" i="1"/>
  <c r="H1814" i="1"/>
  <c r="G1814" i="1"/>
  <c r="F1814" i="1"/>
  <c r="D1814" i="1"/>
  <c r="C1814" i="1"/>
  <c r="B1814" i="1"/>
  <c r="K1813" i="1"/>
  <c r="J1813" i="1"/>
  <c r="H1813" i="1"/>
  <c r="G1813" i="1"/>
  <c r="F1813" i="1"/>
  <c r="D1813" i="1"/>
  <c r="C1813" i="1"/>
  <c r="B1813" i="1"/>
  <c r="K1812" i="1"/>
  <c r="J1812" i="1"/>
  <c r="H1812" i="1"/>
  <c r="G1812" i="1"/>
  <c r="F1812" i="1"/>
  <c r="D1812" i="1"/>
  <c r="C1812" i="1"/>
  <c r="B1812" i="1"/>
  <c r="K1811" i="1"/>
  <c r="J1811" i="1"/>
  <c r="H1811" i="1"/>
  <c r="G1811" i="1"/>
  <c r="F1811" i="1"/>
  <c r="D1811" i="1"/>
  <c r="C1811" i="1"/>
  <c r="B1811" i="1"/>
  <c r="J1810" i="1"/>
  <c r="H1810" i="1"/>
  <c r="G1810" i="1"/>
  <c r="F1810" i="1"/>
  <c r="D1810" i="1"/>
  <c r="C1810" i="1"/>
  <c r="B1810" i="1"/>
  <c r="K1809" i="1"/>
  <c r="J1809" i="1"/>
  <c r="H1809" i="1"/>
  <c r="G1809" i="1"/>
  <c r="F1809" i="1"/>
  <c r="D1809" i="1"/>
  <c r="C1809" i="1"/>
  <c r="B1809" i="1"/>
  <c r="K1808" i="1"/>
  <c r="J1808" i="1"/>
  <c r="H1808" i="1"/>
  <c r="G1808" i="1"/>
  <c r="F1808" i="1"/>
  <c r="D1808" i="1"/>
  <c r="C1808" i="1"/>
  <c r="B1808" i="1"/>
  <c r="J1807" i="1"/>
  <c r="H1807" i="1"/>
  <c r="G1807" i="1"/>
  <c r="F1807" i="1"/>
  <c r="D1807" i="1"/>
  <c r="C1807" i="1"/>
  <c r="B1807" i="1"/>
  <c r="J1806" i="1"/>
  <c r="H1806" i="1"/>
  <c r="G1806" i="1"/>
  <c r="F1806" i="1"/>
  <c r="D1806" i="1"/>
  <c r="C1806" i="1"/>
  <c r="B1806" i="1"/>
  <c r="K1805" i="1"/>
  <c r="J1805" i="1"/>
  <c r="H1805" i="1"/>
  <c r="G1805" i="1"/>
  <c r="F1805" i="1"/>
  <c r="D1805" i="1"/>
  <c r="C1805" i="1"/>
  <c r="B1805" i="1"/>
  <c r="C1790" i="1"/>
  <c r="B1804" i="1"/>
  <c r="C1804" i="1"/>
  <c r="D1804" i="1"/>
  <c r="F1804" i="1"/>
  <c r="G1804" i="1"/>
  <c r="H1804" i="1"/>
  <c r="J1804" i="1"/>
  <c r="B1803" i="1"/>
  <c r="C1803" i="1"/>
  <c r="D1803" i="1"/>
  <c r="F1803" i="1"/>
  <c r="G1803" i="1"/>
  <c r="H1803" i="1"/>
  <c r="J1803" i="1"/>
  <c r="K1803" i="1"/>
  <c r="K1802" i="1"/>
  <c r="J1802" i="1"/>
  <c r="H1802" i="1"/>
  <c r="G1802" i="1"/>
  <c r="F1802" i="1"/>
  <c r="D1802" i="1"/>
  <c r="C1802" i="1"/>
  <c r="B1802" i="1"/>
  <c r="K1801" i="1"/>
  <c r="J1801" i="1"/>
  <c r="H1801" i="1"/>
  <c r="G1801" i="1"/>
  <c r="F1801" i="1"/>
  <c r="D1801" i="1"/>
  <c r="C1801" i="1"/>
  <c r="B1801" i="1"/>
  <c r="J1800" i="1"/>
  <c r="H1800" i="1"/>
  <c r="G1800" i="1"/>
  <c r="F1800" i="1"/>
  <c r="D1800" i="1"/>
  <c r="C1800" i="1"/>
  <c r="B1800" i="1"/>
  <c r="K1799" i="1"/>
  <c r="J1799" i="1"/>
  <c r="H1799" i="1"/>
  <c r="G1799" i="1"/>
  <c r="F1799" i="1"/>
  <c r="D1799" i="1"/>
  <c r="C1799" i="1"/>
  <c r="B1799" i="1"/>
  <c r="K1798" i="1"/>
  <c r="J1798" i="1"/>
  <c r="H1798" i="1"/>
  <c r="G1798" i="1"/>
  <c r="F1798" i="1"/>
  <c r="D1798" i="1"/>
  <c r="C1798" i="1"/>
  <c r="B1798" i="1"/>
  <c r="K1797" i="1"/>
  <c r="J1797" i="1"/>
  <c r="H1797" i="1"/>
  <c r="G1797" i="1"/>
  <c r="F1797" i="1"/>
  <c r="D1797" i="1"/>
  <c r="C1797" i="1"/>
  <c r="B1797" i="1"/>
  <c r="K1796" i="1"/>
  <c r="J1796" i="1"/>
  <c r="H1796" i="1"/>
  <c r="G1796" i="1"/>
  <c r="F1796" i="1"/>
  <c r="D1796" i="1"/>
  <c r="C1796" i="1"/>
  <c r="B1796" i="1"/>
  <c r="J1795" i="1"/>
  <c r="H1795" i="1"/>
  <c r="G1795" i="1"/>
  <c r="F1795" i="1"/>
  <c r="D1795" i="1"/>
  <c r="C1795" i="1"/>
  <c r="B1795" i="1"/>
  <c r="J1794" i="1"/>
  <c r="H1794" i="1"/>
  <c r="G1794" i="1"/>
  <c r="F1794" i="1"/>
  <c r="D1794" i="1"/>
  <c r="C1794" i="1"/>
  <c r="B1794" i="1"/>
  <c r="J1793" i="1"/>
  <c r="H1793" i="1"/>
  <c r="G1793" i="1"/>
  <c r="F1793" i="1"/>
  <c r="D1793" i="1"/>
  <c r="C1793" i="1"/>
  <c r="B1793" i="1"/>
  <c r="K1792" i="1"/>
  <c r="J1792" i="1"/>
  <c r="H1792" i="1"/>
  <c r="G1792" i="1"/>
  <c r="F1792" i="1"/>
  <c r="D1792" i="1"/>
  <c r="C1792" i="1"/>
  <c r="B1792" i="1"/>
  <c r="K1791" i="1"/>
  <c r="J1791" i="1"/>
  <c r="H1791" i="1"/>
  <c r="G1791" i="1"/>
  <c r="F1791" i="1"/>
  <c r="D1791" i="1"/>
  <c r="C1791" i="1"/>
  <c r="B1791" i="1"/>
  <c r="K1790" i="1"/>
  <c r="J1790" i="1"/>
  <c r="H1790" i="1"/>
  <c r="G1790" i="1"/>
  <c r="F1790" i="1"/>
  <c r="D1790" i="1"/>
  <c r="B1790" i="1"/>
  <c r="K1789" i="1"/>
  <c r="J1789" i="1"/>
  <c r="H1789" i="1"/>
  <c r="G1789" i="1"/>
  <c r="F1789" i="1"/>
  <c r="D1789" i="1"/>
  <c r="C1789" i="1"/>
  <c r="B1789" i="1"/>
  <c r="J1788" i="1"/>
  <c r="H1788" i="1"/>
  <c r="G1788" i="1"/>
  <c r="F1788" i="1"/>
  <c r="D1788" i="1"/>
  <c r="C1788" i="1"/>
  <c r="B1788" i="1"/>
  <c r="J1787" i="1"/>
  <c r="H1787" i="1"/>
  <c r="G1787" i="1"/>
  <c r="F1787" i="1"/>
  <c r="D1787" i="1"/>
  <c r="C1787" i="1"/>
  <c r="B1787" i="1"/>
  <c r="J1786" i="1"/>
  <c r="H1786" i="1"/>
  <c r="G1786" i="1"/>
  <c r="F1786" i="1"/>
  <c r="D1786" i="1"/>
  <c r="C1786" i="1"/>
  <c r="B1786" i="1"/>
  <c r="J1785" i="1"/>
  <c r="H1785" i="1"/>
  <c r="G1785" i="1"/>
  <c r="F1785" i="1"/>
  <c r="D1785" i="1"/>
  <c r="C1785" i="1"/>
  <c r="B1785" i="1"/>
  <c r="K1784" i="1"/>
  <c r="J1784" i="1"/>
  <c r="H1784" i="1"/>
  <c r="G1784" i="1"/>
  <c r="F1784" i="1"/>
  <c r="D1784" i="1"/>
  <c r="C1784" i="1"/>
  <c r="B1784" i="1"/>
  <c r="K1783" i="1"/>
  <c r="J1783" i="1"/>
  <c r="H1783" i="1"/>
  <c r="G1783" i="1"/>
  <c r="F1783" i="1"/>
  <c r="D1783" i="1"/>
  <c r="C1783" i="1"/>
  <c r="B1783" i="1"/>
  <c r="K1782" i="1"/>
  <c r="J1782" i="1"/>
  <c r="H1782" i="1"/>
  <c r="G1782" i="1"/>
  <c r="F1782" i="1"/>
  <c r="D1782" i="1"/>
  <c r="C1782" i="1"/>
  <c r="B1782" i="1"/>
  <c r="J1781" i="1"/>
  <c r="H1781" i="1"/>
  <c r="G1781" i="1"/>
  <c r="F1781" i="1"/>
  <c r="D1781" i="1"/>
  <c r="C1781" i="1"/>
  <c r="B1781" i="1"/>
  <c r="J1780" i="1"/>
  <c r="H1780" i="1"/>
  <c r="G1780" i="1"/>
  <c r="F1780" i="1"/>
  <c r="D1780" i="1"/>
  <c r="C1780" i="1"/>
  <c r="B1780" i="1"/>
  <c r="K1779" i="1"/>
  <c r="J1779" i="1"/>
  <c r="H1779" i="1"/>
  <c r="G1779" i="1"/>
  <c r="F1779" i="1"/>
  <c r="D1779" i="1"/>
  <c r="C1779" i="1"/>
  <c r="B1779" i="1"/>
  <c r="K1778" i="1"/>
  <c r="J1778" i="1"/>
  <c r="H1778" i="1"/>
  <c r="G1778" i="1"/>
  <c r="F1778" i="1"/>
  <c r="D1778" i="1"/>
  <c r="C1778" i="1"/>
  <c r="B1778" i="1"/>
  <c r="K1777" i="1"/>
  <c r="J1777" i="1"/>
  <c r="H1777" i="1"/>
  <c r="G1777" i="1"/>
  <c r="F1777" i="1"/>
  <c r="D1777" i="1"/>
  <c r="C1777" i="1"/>
  <c r="B1777" i="1"/>
  <c r="J1776" i="1"/>
  <c r="H1776" i="1"/>
  <c r="G1776" i="1"/>
  <c r="F1776" i="1"/>
  <c r="D1776" i="1"/>
  <c r="C1776" i="1"/>
  <c r="B1776" i="1"/>
  <c r="J1775" i="1"/>
  <c r="H1775" i="1"/>
  <c r="G1775" i="1"/>
  <c r="F1775" i="1"/>
  <c r="D1775" i="1"/>
  <c r="C1775" i="1"/>
  <c r="B1775" i="1"/>
  <c r="J1774" i="1"/>
  <c r="H1774" i="1"/>
  <c r="G1774" i="1"/>
  <c r="F1774" i="1"/>
  <c r="D1774" i="1"/>
  <c r="C1774" i="1"/>
  <c r="B1774" i="1"/>
  <c r="J1773" i="1"/>
  <c r="H1773" i="1"/>
  <c r="G1773" i="1"/>
  <c r="F1773" i="1"/>
  <c r="D1773" i="1"/>
  <c r="C1773" i="1"/>
  <c r="B1773" i="1"/>
  <c r="J1772" i="1"/>
  <c r="H1772" i="1"/>
  <c r="G1772" i="1"/>
  <c r="F1772" i="1"/>
  <c r="D1772" i="1"/>
  <c r="C1772" i="1"/>
  <c r="B1772" i="1"/>
  <c r="J1771" i="1"/>
  <c r="H1771" i="1"/>
  <c r="G1771" i="1"/>
  <c r="F1771" i="1"/>
  <c r="D1771" i="1"/>
  <c r="C1771" i="1"/>
  <c r="B1771" i="1"/>
  <c r="K1770" i="1"/>
  <c r="J1770" i="1"/>
  <c r="H1770" i="1"/>
  <c r="G1770" i="1"/>
  <c r="F1770" i="1"/>
  <c r="D1770" i="1"/>
  <c r="C1770" i="1"/>
  <c r="B1770" i="1"/>
  <c r="K1769" i="1"/>
  <c r="J1769" i="1"/>
  <c r="H1769" i="1"/>
  <c r="G1769" i="1"/>
  <c r="F1769" i="1"/>
  <c r="D1769" i="1"/>
  <c r="C1769" i="1"/>
  <c r="B1769" i="1"/>
  <c r="J1768" i="1"/>
  <c r="G1768" i="1"/>
  <c r="D1768" i="1"/>
  <c r="C1768" i="1"/>
  <c r="B1768" i="1"/>
  <c r="J1767" i="1"/>
  <c r="H1767" i="1"/>
  <c r="G1767" i="1"/>
  <c r="F1767" i="1"/>
  <c r="D1767" i="1"/>
  <c r="C1767" i="1"/>
  <c r="B1767" i="1"/>
  <c r="J1766" i="1"/>
  <c r="H1766" i="1"/>
  <c r="G1766" i="1"/>
  <c r="F1766" i="1"/>
  <c r="D1766" i="1"/>
  <c r="C1766" i="1"/>
  <c r="B1766" i="1"/>
  <c r="J1765" i="1"/>
  <c r="H1765" i="1"/>
  <c r="G1765" i="1"/>
  <c r="F1765" i="1"/>
  <c r="D1765" i="1"/>
  <c r="C1765" i="1"/>
  <c r="B1765" i="1"/>
  <c r="J1764" i="1"/>
  <c r="H1764" i="1"/>
  <c r="G1764" i="1"/>
  <c r="F1764" i="1"/>
  <c r="D1764" i="1"/>
  <c r="C1764" i="1"/>
  <c r="B1764" i="1"/>
  <c r="J1763" i="1"/>
  <c r="H1763" i="1"/>
  <c r="G1763" i="1"/>
  <c r="F1763" i="1"/>
  <c r="D1763" i="1"/>
  <c r="C1763" i="1"/>
  <c r="B1763" i="1"/>
  <c r="J1762" i="1"/>
  <c r="H1762" i="1"/>
  <c r="G1762" i="1"/>
  <c r="F1762" i="1"/>
  <c r="D1762" i="1"/>
  <c r="C1762" i="1"/>
  <c r="B1762" i="1"/>
  <c r="J1761" i="1"/>
  <c r="H1761" i="1"/>
  <c r="G1761" i="1"/>
  <c r="F1761" i="1"/>
  <c r="D1761" i="1"/>
  <c r="C1761" i="1"/>
  <c r="B1761" i="1"/>
  <c r="J1760" i="1"/>
  <c r="H1760" i="1"/>
  <c r="G1760" i="1"/>
  <c r="F1760" i="1"/>
  <c r="D1760" i="1"/>
  <c r="C1760" i="1"/>
  <c r="B1760" i="1"/>
  <c r="J1759" i="1"/>
  <c r="H1759" i="1"/>
  <c r="G1759" i="1"/>
  <c r="F1759" i="1"/>
  <c r="D1759" i="1"/>
  <c r="C1759" i="1"/>
  <c r="B1759" i="1"/>
  <c r="J1758" i="1"/>
  <c r="H1758" i="1"/>
  <c r="G1758" i="1"/>
  <c r="F1758" i="1"/>
  <c r="D1758" i="1"/>
  <c r="C1758" i="1"/>
  <c r="B1758" i="1"/>
  <c r="K1757" i="1"/>
  <c r="J1757" i="1"/>
  <c r="H1757" i="1"/>
  <c r="G1757" i="1"/>
  <c r="F1757" i="1"/>
  <c r="D1757" i="1"/>
  <c r="C1757" i="1"/>
  <c r="B1757" i="1"/>
  <c r="J1756" i="1"/>
  <c r="H1756" i="1"/>
  <c r="G1756" i="1"/>
  <c r="F1756" i="1"/>
  <c r="D1756" i="1"/>
  <c r="C1756" i="1"/>
  <c r="B1756" i="1"/>
  <c r="J1755" i="1"/>
  <c r="H1755" i="1"/>
  <c r="G1755" i="1"/>
  <c r="F1755" i="1"/>
  <c r="D1755" i="1"/>
  <c r="C1755" i="1"/>
  <c r="B1755" i="1"/>
  <c r="K1754" i="1"/>
  <c r="J1754" i="1"/>
  <c r="H1754" i="1"/>
  <c r="G1754" i="1"/>
  <c r="F1754" i="1"/>
  <c r="D1754" i="1"/>
  <c r="C1754" i="1"/>
  <c r="B1754" i="1"/>
  <c r="K1753" i="1"/>
  <c r="J1753" i="1"/>
  <c r="H1753" i="1"/>
  <c r="G1753" i="1"/>
  <c r="F1753" i="1"/>
  <c r="D1753" i="1"/>
  <c r="C1753" i="1"/>
  <c r="B1753" i="1"/>
  <c r="K1752" i="1"/>
  <c r="J1752" i="1"/>
  <c r="H1752" i="1"/>
  <c r="G1752" i="1"/>
  <c r="F1752" i="1"/>
  <c r="D1752" i="1"/>
  <c r="C1752" i="1"/>
  <c r="B1752" i="1"/>
  <c r="K1751" i="1"/>
  <c r="J1751" i="1"/>
  <c r="H1751" i="1"/>
  <c r="G1751" i="1"/>
  <c r="F1751" i="1"/>
  <c r="D1751" i="1"/>
  <c r="C1751" i="1"/>
  <c r="B1751" i="1"/>
  <c r="J1750" i="1"/>
  <c r="H1750" i="1"/>
  <c r="G1750" i="1"/>
  <c r="F1750" i="1"/>
  <c r="D1750" i="1"/>
  <c r="C1750" i="1"/>
  <c r="B1750" i="1"/>
  <c r="K1749" i="1"/>
  <c r="J1749" i="1"/>
  <c r="H1749" i="1"/>
  <c r="G1749" i="1"/>
  <c r="F1749" i="1"/>
  <c r="D1749" i="1"/>
  <c r="C1749" i="1"/>
  <c r="B1749" i="1"/>
  <c r="K1748" i="1"/>
  <c r="J1748" i="1"/>
  <c r="H1748" i="1"/>
  <c r="G1748" i="1"/>
  <c r="F1748" i="1"/>
  <c r="D1748" i="1"/>
  <c r="C1748" i="1"/>
  <c r="B1748" i="1"/>
  <c r="J1747" i="1"/>
  <c r="H1747" i="1"/>
  <c r="G1747" i="1"/>
  <c r="F1747" i="1"/>
  <c r="D1747" i="1"/>
  <c r="C1747" i="1"/>
  <c r="B1747" i="1"/>
  <c r="K1746" i="1"/>
  <c r="J1746" i="1"/>
  <c r="H1746" i="1"/>
  <c r="G1746" i="1"/>
  <c r="F1746" i="1"/>
  <c r="D1746" i="1"/>
  <c r="C1746" i="1"/>
  <c r="B1746" i="1"/>
  <c r="K1745" i="1"/>
  <c r="J1745" i="1"/>
  <c r="H1745" i="1"/>
  <c r="G1745" i="1"/>
  <c r="F1745" i="1"/>
  <c r="D1745" i="1"/>
  <c r="C1745" i="1"/>
  <c r="B1745" i="1"/>
  <c r="K1744" i="1"/>
  <c r="J1744" i="1"/>
  <c r="H1744" i="1"/>
  <c r="G1744" i="1"/>
  <c r="F1744" i="1"/>
  <c r="D1744" i="1"/>
  <c r="C1744" i="1"/>
  <c r="B1744" i="1"/>
  <c r="K1743" i="1"/>
  <c r="J1743" i="1"/>
  <c r="H1743" i="1"/>
  <c r="G1743" i="1"/>
  <c r="F1743" i="1"/>
  <c r="D1743" i="1"/>
  <c r="C1743" i="1"/>
  <c r="B1743" i="1"/>
  <c r="K1742" i="1"/>
  <c r="J1742" i="1"/>
  <c r="H1742" i="1"/>
  <c r="G1742" i="1"/>
  <c r="F1742" i="1"/>
  <c r="D1742" i="1"/>
  <c r="C1742" i="1"/>
  <c r="B1742" i="1"/>
  <c r="K1741" i="1"/>
  <c r="J1741" i="1"/>
  <c r="H1741" i="1"/>
  <c r="G1741" i="1"/>
  <c r="F1741" i="1"/>
  <c r="D1741" i="1"/>
  <c r="C1741" i="1"/>
  <c r="B1741" i="1"/>
  <c r="K1740" i="1"/>
  <c r="J1740" i="1"/>
  <c r="H1740" i="1"/>
  <c r="G1740" i="1"/>
  <c r="F1740" i="1"/>
  <c r="D1740" i="1"/>
  <c r="C1740" i="1"/>
  <c r="B1740" i="1"/>
  <c r="J1739" i="1"/>
  <c r="H1739" i="1"/>
  <c r="G1739" i="1"/>
  <c r="F1739" i="1"/>
  <c r="D1739" i="1"/>
  <c r="C1739" i="1"/>
  <c r="B1739" i="1"/>
  <c r="K1738" i="1"/>
  <c r="J1738" i="1"/>
  <c r="H1738" i="1"/>
  <c r="G1738" i="1"/>
  <c r="F1738" i="1"/>
  <c r="D1738" i="1"/>
  <c r="C1738" i="1"/>
  <c r="AL8" i="1" s="1"/>
  <c r="B1738" i="1"/>
  <c r="K1737" i="1"/>
  <c r="J1737" i="1"/>
  <c r="H1737" i="1"/>
  <c r="G1737" i="1"/>
  <c r="F1737" i="1"/>
  <c r="D1737" i="1"/>
  <c r="C1737" i="1"/>
  <c r="B1737" i="1"/>
  <c r="K1736" i="1"/>
  <c r="J1736" i="1"/>
  <c r="H1736" i="1"/>
  <c r="G1736" i="1"/>
  <c r="F1736" i="1"/>
  <c r="D1736" i="1"/>
  <c r="C1736" i="1"/>
  <c r="B1736" i="1"/>
  <c r="J1735" i="1"/>
  <c r="H1735" i="1"/>
  <c r="G1735" i="1"/>
  <c r="F1735" i="1"/>
  <c r="D1735" i="1"/>
  <c r="C1735" i="1"/>
  <c r="B1735" i="1"/>
  <c r="K1734" i="1"/>
  <c r="J1734" i="1"/>
  <c r="H1734" i="1"/>
  <c r="G1734" i="1"/>
  <c r="F1734" i="1"/>
  <c r="D1734" i="1"/>
  <c r="C1734" i="1"/>
  <c r="B1734" i="1"/>
  <c r="K1733" i="1"/>
  <c r="J1733" i="1"/>
  <c r="H1733" i="1"/>
  <c r="G1733" i="1"/>
  <c r="F1733" i="1"/>
  <c r="D1733" i="1"/>
  <c r="C1733" i="1"/>
  <c r="B1733" i="1"/>
  <c r="K1732" i="1"/>
  <c r="J1732" i="1"/>
  <c r="H1732" i="1"/>
  <c r="G1732" i="1"/>
  <c r="F1732" i="1"/>
  <c r="D1732" i="1"/>
  <c r="C1732" i="1"/>
  <c r="B1732" i="1"/>
  <c r="K1731" i="1"/>
  <c r="J1731" i="1"/>
  <c r="H1731" i="1"/>
  <c r="G1731" i="1"/>
  <c r="F1731" i="1"/>
  <c r="D1731" i="1"/>
  <c r="C1731" i="1"/>
  <c r="B1731" i="1"/>
  <c r="K1730" i="1"/>
  <c r="J1730" i="1"/>
  <c r="H1730" i="1"/>
  <c r="G1730" i="1"/>
  <c r="F1730" i="1"/>
  <c r="D1730" i="1"/>
  <c r="C1730" i="1"/>
  <c r="B1730" i="1"/>
  <c r="K1729" i="1"/>
  <c r="J1729" i="1"/>
  <c r="H1729" i="1"/>
  <c r="G1729" i="1"/>
  <c r="F1729" i="1"/>
  <c r="D1729" i="1"/>
  <c r="C1729" i="1"/>
  <c r="B1729" i="1"/>
  <c r="J1728" i="1"/>
  <c r="H1728" i="1"/>
  <c r="G1728" i="1"/>
  <c r="F1728" i="1"/>
  <c r="D1728" i="1"/>
  <c r="C1728" i="1"/>
  <c r="B1728" i="1"/>
  <c r="J1727" i="1"/>
  <c r="H1727" i="1"/>
  <c r="G1727" i="1"/>
  <c r="F1727" i="1"/>
  <c r="D1727" i="1"/>
  <c r="C1727" i="1"/>
  <c r="B1727" i="1"/>
  <c r="K1726" i="1"/>
  <c r="J1726" i="1"/>
  <c r="H1726" i="1"/>
  <c r="G1726" i="1"/>
  <c r="F1726" i="1"/>
  <c r="D1726" i="1"/>
  <c r="C1726" i="1"/>
  <c r="B1726" i="1"/>
  <c r="K1725" i="1"/>
  <c r="J1725" i="1"/>
  <c r="H1725" i="1"/>
  <c r="G1725" i="1"/>
  <c r="F1725" i="1"/>
  <c r="D1725" i="1"/>
  <c r="C1725" i="1"/>
  <c r="B1725" i="1"/>
  <c r="K1724" i="1"/>
  <c r="J1724" i="1"/>
  <c r="H1724" i="1"/>
  <c r="G1724" i="1"/>
  <c r="F1724" i="1"/>
  <c r="D1724" i="1"/>
  <c r="C1724" i="1"/>
  <c r="B1724" i="1"/>
  <c r="A1724" i="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l="1"/>
  <c r="A1898" i="1" s="1"/>
  <c r="A1899" i="1" s="1"/>
  <c r="A1900" i="1" s="1"/>
  <c r="A1901" i="1" s="1"/>
  <c r="A1902" i="1" s="1"/>
  <c r="A1903" i="1" s="1"/>
  <c r="A1904" i="1" s="1"/>
  <c r="A1905" i="1" s="1"/>
  <c r="A1906" i="1" s="1"/>
  <c r="A1907" i="1" s="1"/>
  <c r="AL9" i="1"/>
  <c r="AN15" i="1"/>
  <c r="AM15" i="1"/>
  <c r="AL15" i="1"/>
  <c r="AO15" i="1" s="1"/>
  <c r="AO8" i="1" a="1"/>
  <c r="AO8" i="1" s="1"/>
  <c r="AN8" i="1"/>
  <c r="AM8" i="1"/>
  <c r="AP8" i="1"/>
  <c r="AO9" i="1" a="1"/>
  <c r="AO9" i="1" s="1"/>
  <c r="AN9" i="1"/>
  <c r="AM9" i="1"/>
  <c r="U111" i="4"/>
  <c r="AP9" i="1" l="1"/>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2" i="4"/>
  <c r="U113" i="4"/>
  <c r="U114" i="4"/>
  <c r="U115" i="4"/>
  <c r="U116" i="4"/>
  <c r="U117" i="4"/>
  <c r="U118" i="4"/>
  <c r="U119" i="4"/>
  <c r="U120" i="4"/>
  <c r="U121" i="4"/>
  <c r="U28" i="4"/>
  <c r="U20" i="4"/>
  <c r="U21" i="4"/>
  <c r="U22" i="4"/>
  <c r="U23" i="4"/>
  <c r="U24" i="4"/>
  <c r="U25" i="4"/>
  <c r="U26" i="4"/>
  <c r="U19" i="4"/>
  <c r="U16" i="4"/>
  <c r="U17" i="4"/>
  <c r="U15" i="4"/>
  <c r="U13" i="4"/>
  <c r="U14" i="4" s="1"/>
  <c r="U7" i="4"/>
  <c r="U8" i="4"/>
  <c r="U9" i="4"/>
  <c r="U10" i="4"/>
  <c r="U11" i="4"/>
  <c r="U6" i="4"/>
  <c r="U3" i="4"/>
  <c r="U4" i="4"/>
  <c r="U2" i="4"/>
  <c r="U12" i="4" l="1"/>
  <c r="U122" i="4"/>
  <c r="U18" i="4"/>
  <c r="U27" i="4"/>
  <c r="U5" i="4"/>
  <c r="U12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박재보(PARK JAE BO)</author>
  </authors>
  <commentList>
    <comment ref="R9" authorId="0" shapeId="0" xr:uid="{00000000-0006-0000-0000-000001000000}">
      <text>
        <r>
          <rPr>
            <b/>
            <sz val="9"/>
            <color indexed="81"/>
            <rFont val="돋움"/>
            <family val="3"/>
            <charset val="129"/>
          </rPr>
          <t>O,X,검토 중</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<sst xmlns="http://schemas.openxmlformats.org/spreadsheetml/2006/main" count="52459" uniqueCount="11336">
  <si>
    <t>○ 아이디어LIST</t>
    <phoneticPr fontId="1" type="noConversion"/>
  </si>
  <si>
    <t>변경전</t>
  </si>
  <si>
    <t>구 분</t>
  </si>
  <si>
    <t>본 사</t>
  </si>
  <si>
    <t>현 장</t>
  </si>
  <si>
    <t>전체</t>
  </si>
  <si>
    <t>변경후</t>
  </si>
  <si>
    <t>구분</t>
  </si>
  <si>
    <t>건축</t>
  </si>
  <si>
    <t>개발</t>
  </si>
  <si>
    <t>인프라</t>
  </si>
  <si>
    <t>지원</t>
  </si>
  <si>
    <t>보정</t>
  </si>
  <si>
    <t>보정 사유 : 아이디어 제안서 접수 없이 중점과제 진행</t>
  </si>
  <si>
    <t>접수</t>
  </si>
  <si>
    <t>T</t>
  </si>
  <si>
    <t xml:space="preserve"> - 문서 목적: 1. 아이디어 내용 정리(보고 자료 및 데이터 사용 필요),  2. 아이디어 제안, 채택 포상 지급,  3. 불인정, 불채택 건에 대한 피드백,   4. 업무 그레이존 방지(담당자 명확화, 접수 후 진행상황 점검)</t>
    <phoneticPr fontId="1" type="noConversion"/>
  </si>
  <si>
    <t>(불인정)</t>
  </si>
  <si>
    <t>인정 검토 중</t>
  </si>
  <si>
    <t>인정 검토중</t>
  </si>
  <si>
    <t>아이디어 접수자, 작성</t>
    <phoneticPr fontId="1" type="noConversion"/>
  </si>
  <si>
    <t>검토 후 담당자, 작성</t>
    <phoneticPr fontId="1" type="noConversion"/>
  </si>
  <si>
    <t>인정</t>
  </si>
  <si>
    <t>(불상정)</t>
  </si>
  <si>
    <t>NO</t>
    <phoneticPr fontId="1" type="noConversion"/>
  </si>
  <si>
    <t>Code</t>
  </si>
  <si>
    <t>제안자</t>
    <phoneticPr fontId="1" type="noConversion"/>
  </si>
  <si>
    <t>제안일</t>
    <phoneticPr fontId="1" type="noConversion"/>
  </si>
  <si>
    <t>TOP추진실 담당자</t>
    <phoneticPr fontId="1" type="noConversion"/>
  </si>
  <si>
    <t>담당자</t>
    <phoneticPr fontId="1" type="noConversion"/>
  </si>
  <si>
    <t>아이디어 제안 요약</t>
    <phoneticPr fontId="1" type="noConversion"/>
  </si>
  <si>
    <t>검토</t>
  </si>
  <si>
    <t>주요 일정 관리</t>
  </si>
  <si>
    <t>포상 시기</t>
    <phoneticPr fontId="1" type="noConversion"/>
  </si>
  <si>
    <t>비고</t>
    <phoneticPr fontId="1" type="noConversion"/>
  </si>
  <si>
    <t>상정 검토 중</t>
  </si>
  <si>
    <t>본부</t>
    <phoneticPr fontId="1" type="noConversion"/>
  </si>
  <si>
    <t>사업장</t>
    <phoneticPr fontId="1" type="noConversion"/>
  </si>
  <si>
    <t>사번</t>
    <phoneticPr fontId="1" type="noConversion"/>
  </si>
  <si>
    <t>직급</t>
    <phoneticPr fontId="1" type="noConversion"/>
  </si>
  <si>
    <t>소속</t>
  </si>
  <si>
    <t>성명</t>
    <phoneticPr fontId="1" type="noConversion"/>
  </si>
  <si>
    <t>(참고)
검토담당</t>
  </si>
  <si>
    <t>1차 검토
담당자</t>
  </si>
  <si>
    <t>대분류</t>
    <phoneticPr fontId="1" type="noConversion"/>
  </si>
  <si>
    <t>중분류</t>
    <phoneticPr fontId="1" type="noConversion"/>
  </si>
  <si>
    <t>소분류</t>
    <phoneticPr fontId="1" type="noConversion"/>
  </si>
  <si>
    <t>제안 제목</t>
    <phoneticPr fontId="1" type="noConversion"/>
  </si>
  <si>
    <t>제안 내용 상세</t>
    <phoneticPr fontId="1" type="noConversion"/>
  </si>
  <si>
    <t>제안 
인정</t>
    <phoneticPr fontId="1" type="noConversion"/>
  </si>
  <si>
    <t>채택 
현황</t>
    <phoneticPr fontId="1" type="noConversion"/>
  </si>
  <si>
    <t>인정
점수</t>
    <phoneticPr fontId="1" type="noConversion"/>
  </si>
  <si>
    <t>채택
점수</t>
    <phoneticPr fontId="1" type="noConversion"/>
  </si>
  <si>
    <t>검토 의견 및 제안자 피드백</t>
  </si>
  <si>
    <t>CFT구성 여부</t>
  </si>
  <si>
    <t>과제승인위원회 
상정 여부</t>
  </si>
  <si>
    <t>제안 인정</t>
    <phoneticPr fontId="1" type="noConversion"/>
  </si>
  <si>
    <t>채택 포상</t>
    <phoneticPr fontId="1" type="noConversion"/>
  </si>
  <si>
    <t>피드백 완료 여부</t>
  </si>
  <si>
    <t>중복</t>
  </si>
  <si>
    <t>승인위(예정)</t>
  </si>
  <si>
    <t>실행</t>
  </si>
  <si>
    <t>PR/P-M-CE-1</t>
  </si>
  <si>
    <t>현장</t>
  </si>
  <si>
    <t>2102486</t>
  </si>
  <si>
    <t>대리</t>
  </si>
  <si>
    <t>춘천 프리미엄 빌리지 건설공사</t>
  </si>
  <si>
    <t>황준하</t>
  </si>
  <si>
    <t xml:space="preserve">박재보, 박병규, </t>
  </si>
  <si>
    <t>박재보</t>
  </si>
  <si>
    <t>구매</t>
  </si>
  <si>
    <t>기계</t>
  </si>
  <si>
    <t>공사비</t>
  </si>
  <si>
    <t>(지급자재 전환)
욕실휀 지급자재 전환 및 연간단가 체결</t>
  </si>
  <si>
    <t>• 욕실휀 연간단가로 지정하여 지급자재로 전환 시 재료비 절감 효과 기대. 공동주택 세대 수가 많을수록 절감효과가 클 것으로 예상(ex 온도조절기)</t>
  </si>
  <si>
    <t>O</t>
  </si>
  <si>
    <t>　</t>
  </si>
  <si>
    <t>3차(240909)</t>
  </si>
  <si>
    <t>24년3분기(240920)</t>
  </si>
  <si>
    <t>Case4. (채택)피드백 완료</t>
  </si>
  <si>
    <t>목요일 오전 8시 기준 주간 업무일정 작성예정</t>
  </si>
  <si>
    <t>합계</t>
  </si>
  <si>
    <t>CO/Z-ID/A-CE-1</t>
  </si>
  <si>
    <t>본사</t>
  </si>
  <si>
    <t>2000173</t>
  </si>
  <si>
    <t>TOP추진실</t>
  </si>
  <si>
    <t>최재형</t>
  </si>
  <si>
    <t>차원재, 양창모, 차원재</t>
  </si>
  <si>
    <t>보험료</t>
  </si>
  <si>
    <t>산재보험료 산출 정확도 향상을 통한 원가추정 ↑</t>
  </si>
  <si>
    <t>• (유형효과) 절감 예상 금액 = 납품성 공종 금액x30%(노무비율)
x2.66% (추정 집행 요율)
• (투자비) 원가코드 개선을 위한 프로그래밍비용
• (과제수행 기간) 24년 08월 ~25년 07월(12달)
• (기타) 납품성 자재비(MEP장비납품 등)의 금액이 큰 현장의 경우 해당금액이 산재보험료 집행 모수에 반영되어 산재보험료 금액 상승</t>
  </si>
  <si>
    <t>X</t>
  </si>
  <si>
    <t xml:space="preserve">손익에 영향이 없는 내용. 다만, 회사의 투입(IT시스템 개발+매월 관리 인력) 대비 내부 원가관리의 원활/정확성을 위해 추진할 것인가에 대해서는 논의하였으나 현재는 필요성이 낮고 담당자가 매월 모든 계약 건을 확인하여야 되서 현실적으로 업무가 더 늘어남. 매월 고용산재 전사 금액(3월 년납 선급처리 후 1/12을 매월 원가 처리)을 본사/각 현장의 (직접인건비+간접인건비(외주/자재비*노무비율30%))*고용산재요율)를 기준으로 분배되어 본사/각 현장으로 원가투입이 됨. 특정현장이 실재 고용산재 납부시, 포함되지 않은 항목이 원가 배분시 투입되면 그 현장의 원가가 늘어나지만 타 현장의 원가는 줄어듬. 전사로 보면 동일함. </t>
  </si>
  <si>
    <t>Case2. (인정O,채택X)피드백 완료</t>
  </si>
  <si>
    <t>CO/I-TF-CE-1</t>
  </si>
  <si>
    <t>1907086</t>
  </si>
  <si>
    <t>건축견적팀</t>
  </si>
  <si>
    <t>조윤재</t>
  </si>
  <si>
    <t>양창모, 박준용, 양창모</t>
  </si>
  <si>
    <t>양창모</t>
  </si>
  <si>
    <t>수행-비공사성</t>
  </si>
  <si>
    <t>공통가설</t>
  </si>
  <si>
    <t>폐기물 처리비 투입기준 최신화, 혼폐 체적당 계약 및 집게차 운영을 통한 부피축소</t>
  </si>
  <si>
    <t>• (유형효과) 24년 실행대비 5% 절감, 25년 실행대비 6% 절감
• (투자비) 1,500만원(=집게차 임대료 250만원x6개월) [VAT 제외]
• (과제수행 기간) 24년 08월 ~25년 08월(12달)
• (기타) 실행편성 기준 현실화(혼폐, m3당 단가 적용), 현장 분리수거 강화 노력</t>
  </si>
  <si>
    <t>7차(250114)</t>
  </si>
  <si>
    <t>25년1분기(000000)</t>
  </si>
  <si>
    <t>Case3. (인정O,채택 검토)피드백 완료</t>
  </si>
  <si>
    <t>EN/EX-A/F-CE-1</t>
  </si>
  <si>
    <t>1103501</t>
  </si>
  <si>
    <t>차장</t>
  </si>
  <si>
    <t>정관희</t>
  </si>
  <si>
    <t>김태용, 송원일, 김태용</t>
  </si>
  <si>
    <t>김태용</t>
  </si>
  <si>
    <t>설계_건축외부</t>
  </si>
  <si>
    <t>건축_마감</t>
  </si>
  <si>
    <t>공동주택 외벽마감재 석재 → 세라믹타일</t>
    <phoneticPr fontId="1" type="noConversion"/>
  </si>
  <si>
    <t>• 석재 대체 자재 발굴 및 적용
 - 상품성을 저해하지 않으면서 석재의 역할을 대신할 수 있는 자재 발굴 및 적용
 - 기술혁신파트너몰 (https://partner.lh.or.kr/promote/view.asp)에 등재된 외장타일 적용
 여부 검토 필요 
 - 경량(10T) 자재이며 등재된 단가 25,000원/M2로 시공성과 원가 절감 가능
 - 인건비 절감 효과 클 것으로 기대 (협력사 인터뷰 및 견적수취로 추후 효과검증)
 - 시공사례 적어 현장 견학 필요 (춘천 파밀리에 리버파크_신동아건설)</t>
  </si>
  <si>
    <t>(1차검토 : 미채택)
포레나2.0은 단일석종 100%적용 중이며 해당석종(오련회) 자재단가는 20,000원 초중반/M2 수준으로 제안자재의 유의미한 절감 효과 없음</t>
  </si>
  <si>
    <t>EN/I-A/F-CE-1</t>
  </si>
  <si>
    <t>2202075</t>
  </si>
  <si>
    <t>과장</t>
  </si>
  <si>
    <t>임정근</t>
  </si>
  <si>
    <t>설계_건축내부</t>
  </si>
  <si>
    <t>욕실 골조벽면 액체방수 삭제</t>
    <phoneticPr fontId="1" type="noConversion"/>
  </si>
  <si>
    <t>욕실 벽체중 콘크리트면의 액체방수 설계제외 
(단, 조적벽과 만나는 코너부위 도막방수보강등은 유지)</t>
    <phoneticPr fontId="1" type="noConversion"/>
  </si>
  <si>
    <t>(1차검토 : 미채택)
'23년 외주 SE 2기 기 시행사항</t>
  </si>
  <si>
    <t>아이디어 제안</t>
  </si>
  <si>
    <t>EN/I-A/F-CE-2</t>
  </si>
  <si>
    <t>2200403</t>
  </si>
  <si>
    <t>이현지</t>
  </si>
  <si>
    <t>현관 타일 사이즈 변경 600*600 → 300*300</t>
    <phoneticPr fontId="1" type="noConversion"/>
  </si>
  <si>
    <t>• 현관창고는 수납의 공간으로 당사의 경우 현관과 동일한 타일 적용</t>
    <phoneticPr fontId="1" type="noConversion"/>
  </si>
  <si>
    <t>통합
(186번)</t>
  </si>
  <si>
    <t>(1차검토 : 타 과제와 통합)</t>
  </si>
  <si>
    <t>과제화 진행</t>
  </si>
  <si>
    <t>PR/P-M-CE-2</t>
  </si>
  <si>
    <t>2201216</t>
  </si>
  <si>
    <t>이현준</t>
  </si>
  <si>
    <t xml:space="preserve">(지급자재 전환)
외주계약 휀류(Ex. 지하 유인휀) → 구매자재 변경 </t>
  </si>
  <si>
    <t>- 현재 유인휀은 기계설비공사(외주공사) 내 자재비+노무비로 편성되어 있음
- 기계설비업체 입찰 단가에 의해 유인휀 단가 편차가 생김</t>
    <phoneticPr fontId="1" type="noConversion"/>
  </si>
  <si>
    <t>지난주</t>
  </si>
  <si>
    <t>&lt;&lt;여기부터 갱신</t>
  </si>
  <si>
    <t>EN/E-E-CE-1</t>
  </si>
  <si>
    <t>1700070</t>
  </si>
  <si>
    <t>이상준</t>
  </si>
  <si>
    <t xml:space="preserve">오정화, 오정화, </t>
  </si>
  <si>
    <t>오정화</t>
  </si>
  <si>
    <t>설계_전기</t>
  </si>
  <si>
    <t>전기</t>
  </si>
  <si>
    <t>강제전선관 타입변경
(후강전선관→나사없는 전선관)</t>
  </si>
  <si>
    <t>• 나사없는전선관 사용시 나사산이 없는 방식의 연결로 배관을 보다 쉽고 빠르게 체결 가능
  (볼트식 이음쇠 및 부속품 사용) 
• 후강전선관 대비 경량으로 취급이 용이하여 시공성 향상에 의한 노무비 절감 가능</t>
    <phoneticPr fontId="1" type="noConversion"/>
  </si>
  <si>
    <t>금주</t>
  </si>
  <si>
    <t>CO/I-TF-CE-2</t>
  </si>
  <si>
    <t>0703047</t>
  </si>
  <si>
    <t>창원IDC 신축공사</t>
  </si>
  <si>
    <t>윤재만</t>
  </si>
  <si>
    <t>박병규</t>
  </si>
  <si>
    <t>간이소화장치 재사용 (준공현장 자재 타현장 재사용)</t>
  </si>
  <si>
    <t>• 기존 현장의 준공 이전 가설 해체 시점에 간이소화장치 이동식 및 고정식을 신규 현장으로
이관하여 재설치 활용이 가능하고, 해당 현장 실행 편성 시 적용 여부에 따른 실행 감액 편성을 
통한 원가 절감 가능</t>
    <phoneticPr fontId="1" type="noConversion"/>
  </si>
  <si>
    <t>재사용 아이디어는 좋으나, 과거 유사한 형태로 진행되었던 사례를 봤을때, 현장에서 기존제품 관리 및 재사용화(제품화)가 어려워 전문업체를 통한 리사이클이 효과적이라 생각됨</t>
  </si>
  <si>
    <t>신규접수</t>
  </si>
  <si>
    <t>EN/E-E-CE-2</t>
  </si>
  <si>
    <t>0700716</t>
  </si>
  <si>
    <t>송인홍</t>
  </si>
  <si>
    <t>무인택배시설 삭제</t>
  </si>
  <si>
    <t>• 무인택배설비의 사용성 저하로 인해 FORENA 기본설계에서 삭제를 검토하고 별도로 건축심의 또는 조합(발주처)의 요구, LH/SH 심의의견 등에 따라서 선별 적용하는 기준으로 변경하는 것을 검토하고자 함</t>
    <phoneticPr fontId="1" type="noConversion"/>
  </si>
  <si>
    <t>일괄 삭제 또는 최적화(수량 최소화)와 관련하여 사업팀 협의가 필요한 제안임. 추후 재검토 예정</t>
  </si>
  <si>
    <t>EN/M-M-CE-1</t>
  </si>
  <si>
    <t>2203377</t>
  </si>
  <si>
    <t>송성무</t>
  </si>
  <si>
    <t xml:space="preserve">박병규, 박병규, </t>
  </si>
  <si>
    <t>설계_기계</t>
  </si>
  <si>
    <t>공동주택 세대 수도계량기함 동파방지열선 변경</t>
  </si>
  <si>
    <t>• [공동주택 개선방안]
: 세대 계량기 양수기함內 동파방지용 전기열선 일부층 보온솜으로 변경
- 지상1~2층, 최상층          : 양수기함(스티로폼) + 동파방지용 전기열선(1M)
- 지상3층 ~ 최상층의 직하층 : 양수기함(스티로폼) + 보온솜
 동파 우려가 적은 층(지상3층~최상층의 직하층) 열선 삭제, 보온솜으로 대체</t>
  </si>
  <si>
    <t>타사 사례 및 건축기계팀과 검토하여 15차 승인위원회 과제화 예정</t>
  </si>
  <si>
    <t>15차(251104)</t>
  </si>
  <si>
    <t>25년3,4분기(251209)</t>
  </si>
  <si>
    <t>CO/I-TF-CE-3</t>
  </si>
  <si>
    <t>해외</t>
  </si>
  <si>
    <t>0600067</t>
  </si>
  <si>
    <t>건축지원팀(파견)</t>
  </si>
  <si>
    <t>성정각</t>
  </si>
  <si>
    <t>준공현장 소화기 타현장 이관</t>
  </si>
  <si>
    <t>• 프로세스를 정립하여 준공현장의 소화기를 필요한 현장으로 이관
 각현장 별 소방안전관리자 취합 -&gt; 현장 관리팀 건축지원팀 보고후 이관 -&gt; 이관현장은 이관물량 제외 발주</t>
    <phoneticPr fontId="1" type="noConversion"/>
  </si>
  <si>
    <t>CO/D-A/F-CE-1</t>
  </si>
  <si>
    <t>2203417</t>
  </si>
  <si>
    <t>박민석</t>
  </si>
  <si>
    <t>안희진, 송원일, 김태용</t>
  </si>
  <si>
    <t>안희진</t>
  </si>
  <si>
    <t>수행-공사성</t>
  </si>
  <si>
    <t>현관문 보양지 준공청소 제거 → 입주자 직접제거로 변환</t>
  </si>
  <si>
    <t>• 상위 타 건설사는 근래 방화문 보양지를 입주 후 입주자가 제거하게 하여 원인미상 하자를 미연에 방지. (타공종 긁힘 하자 등)
• 세대현관문 설치 후 디지털도어락 설치 전까지 간이 도어핸들 또는 도어체크를 즉시 설치하여 바람 등의 의한 충격 파손 하자를 방지하여 AS원가 절감.</t>
    <phoneticPr fontId="1" type="noConversion"/>
  </si>
  <si>
    <t>현재에도 입주자 직접 제거분으로 처리하는 현장이
 있습니다. 공사팀 관계자의 의사결정을 통해 
결정할 수 있는 사항이어서
 아이디어로 채택되지 않았습니다.</t>
  </si>
  <si>
    <t>Case1. (인정X)피드백 완료</t>
  </si>
  <si>
    <t>EN/S-C-CE-1</t>
  </si>
  <si>
    <t>1500183</t>
  </si>
  <si>
    <t>김태경</t>
  </si>
  <si>
    <t>박준용, 박준용, 양창모</t>
  </si>
  <si>
    <t>박준용</t>
  </si>
  <si>
    <t>구조/토목</t>
  </si>
  <si>
    <t>토목</t>
  </si>
  <si>
    <t>흙막이 ↔ 외벽간 너비를 감안한 설계로 투입비용 절감</t>
  </si>
  <si>
    <t>• 합벽-흙막이 간격 축소 방안 검토(Case별 축소 방안마련)
• 각종 심의 후 흙막이 Line 변경은 어려우므로 심의전 설계검토하여 흙막이 Line 최적화 실시</t>
    <phoneticPr fontId="1" type="noConversion"/>
  </si>
  <si>
    <t>아이디어 인정, 과제 미채택
유관부서(기술혁신팀, 건축견적팀) 협의 통하여 비합벽 이격치수 확정 및 공유에 대한 필요성이 있습니다.</t>
  </si>
  <si>
    <t>EN/I-A/F-CE-3</t>
  </si>
  <si>
    <t>상가 바닥마감 기준 변경 비닐계타일 → 무근</t>
  </si>
  <si>
    <t>• 상가 바닥 마감변경(무근+비닐계타일 → 무근 마감)
- 분양시, 상가바닥 마감은 무근 마감임을 사전에 공지
• 상가 벽, 천정 마감도 사전에 마감 진행여부 확인 및 서명을 받아 삭제가 가능하다면 삭제
- 벽, 천정마감도 개별인테리어 실시로 마감을 원치 않은 계약자 발생
• 기타시설(지식산업센터, 업무시설) 등에도 점차 확대 적용</t>
  </si>
  <si>
    <t>(1차검토 : 미채택)
순수 분양형 근생 및 판매시설에 적용할 가능성이 있는 제한적 아이디어로, 발주처(시행사, 조합 등)와 협의 진행 시 마감 제외 외 별도 추가 요청이 빈번하여 오히려 현장 실행에 부담 줄 가능성이 높음</t>
  </si>
  <si>
    <t>CO/I-TF-CE-4</t>
  </si>
  <si>
    <t>1803688</t>
  </si>
  <si>
    <t>김주상</t>
  </si>
  <si>
    <t>승강기 설치전 E.V홀 또는 외부 윈치 설치하여 양중 및 하역</t>
  </si>
  <si>
    <t>• 엘리베이터 설치 전 엘리베이터 통로 또는 발코니 외부에 윈치를 설치하여 양중 및 하역 진행</t>
    <phoneticPr fontId="1" type="noConversion"/>
  </si>
  <si>
    <t>아이디어가 참신하여 아이디어 제안 인정되나,
안전에 대한 심층적 검토가 필요하여 미채택</t>
  </si>
  <si>
    <t>EN/EX-A/F-CE-2</t>
  </si>
  <si>
    <t>1000198</t>
  </si>
  <si>
    <t>구민정</t>
  </si>
  <si>
    <t>공동주택 저층부 석재마감 최소화</t>
  </si>
  <si>
    <t>• 지상1층(입주민의 접촉 구간)은 석재50%수준으로 적용하고, 지상2~3층 및 단차부(옹벽 등) 주1을 및 근생부 외벽은 석재뿜칠 적용하여 원가 경쟁력 확보
• 분양성 저해의 소지는 있으나, 심의 전 변경이 가능한 경우 적용 확대
• 조경 특화의 사례처럼 포레나 외부 특화 아이템을 별도로 만들어 준공시점 설계변경으로 도급 증액 유도</t>
  </si>
  <si>
    <t>EN/I-A/S-CE-1</t>
  </si>
  <si>
    <t>김태용, 송원일, 박준용</t>
  </si>
  <si>
    <t>건축_골조</t>
  </si>
  <si>
    <t>PIT 최소화를 통한 원가율 개선</t>
  </si>
  <si>
    <t>• 충주 용산 현장의 사례처럼 세대창고로 활용하거나, 포레나 지하 특화아이템을 개발
• 마감 공사가 단순한 수준 
 - 단위 세대별 지하 창고
 - 악기 연주 (드럼, 색소폰 등) 소음이 커서 집에서 하기 어려운 취미 활동 공간</t>
  </si>
  <si>
    <t>(1차검토 : 미채택)
지하 PIT 적용할 공간 아이템이 직접 제시되지 못 함</t>
  </si>
  <si>
    <t>EN/I-A/F-CE-4</t>
  </si>
  <si>
    <t>대림 이앤씨 평면 벤치마킹 및 무상제공 품목 조정</t>
  </si>
  <si>
    <t>• 대림이앤씨 평면 적용으로 절감 가능한 사항 (84이상 타입 기준) 
 - 확장시 안방 발코니 삭제 등 평면 조정
 1. 안방부위: 분합창, 대피구간 SD 1개소, 조적벽량 삭제
 2. 알파룸 WD 1개 및 주방팬트리도어 1개 삭제
- 무상제공 삭제
 1. 팬트리 시스템선반 (ㄷ → ㅡ) 변경
 2. 욕실 하1갑 옵션 판매 (당사 카운터탑 무상제공), 발코니 세탁선반 삭제 (당사 무상제공)
• 검토 제외 사항
 1. 골조 벽량 (향후, 기술팀/기계/전기팀과 협업 필요)</t>
  </si>
  <si>
    <t>통합
(중점)</t>
  </si>
  <si>
    <t>(1차검토 : 중점과제와 통합)
타사 평면들을 참조하여 절감형 포레나 평면 개발이
중점과제로 진행되고 있습니다. 아이디어로 인정되나
과제진행은 중점과제로 병합되어 진행될 예정입니다.</t>
  </si>
  <si>
    <t>EN/E-E-CE-3</t>
  </si>
  <si>
    <t>2202060</t>
  </si>
  <si>
    <t>강대구</t>
  </si>
  <si>
    <t>EPS실 콘센트 삭제</t>
  </si>
  <si>
    <t xml:space="preserve">• 아파트 EPS실 각종 전원 콘센트로 유지관리 콘센트 겸용 가능
• 타사 GS건설 EPS실 유지관리 콘센트 미설계 </t>
    <phoneticPr fontId="1" type="noConversion"/>
  </si>
  <si>
    <t>마감공사작업시 공사용 전원으로 유용하다는 현장의견이 많음. 공동주택의 경우 대부분 EPS/TPS 겸용으로 통신장비 예비 전원용으로도 활용가능 (ISP, 이동통신 등)</t>
  </si>
  <si>
    <t>EN/S-A/S-CE-1</t>
  </si>
  <si>
    <t>외주구매</t>
  </si>
  <si>
    <t>1907089</t>
  </si>
  <si>
    <t>구매팀</t>
  </si>
  <si>
    <t>권효준</t>
  </si>
  <si>
    <t>박준용, 송원일, 박준용</t>
  </si>
  <si>
    <t>D22 이하 기둥 철근 이음 시 B급이음 →  A급이음 적용</t>
  </si>
  <si>
    <t>• D22 이하 기둥 철근 이음 시 A급이음 적용</t>
    <phoneticPr fontId="1" type="noConversion"/>
  </si>
  <si>
    <r>
      <rPr>
        <sz val="11"/>
        <color rgb="FF000000"/>
        <rFont val="돋움"/>
        <family val="3"/>
        <charset val="129"/>
      </rPr>
      <t>아이디어 인정, 과제 미채택(통합)
해당내용</t>
    </r>
    <r>
      <rPr>
        <sz val="11"/>
        <color rgb="FF000000"/>
        <rFont val="Calibri"/>
        <family val="2"/>
      </rPr>
      <t>(A</t>
    </r>
    <r>
      <rPr>
        <sz val="11"/>
        <color rgb="FF000000"/>
        <rFont val="돋움"/>
        <family val="3"/>
        <charset val="129"/>
      </rPr>
      <t>급이음</t>
    </r>
    <r>
      <rPr>
        <sz val="11"/>
        <color rgb="FF000000"/>
        <rFont val="Calibri"/>
        <family val="2"/>
      </rPr>
      <t xml:space="preserve"> -&gt; </t>
    </r>
    <r>
      <rPr>
        <sz val="11"/>
        <color rgb="FF000000"/>
        <rFont val="돋움"/>
        <family val="3"/>
        <charset val="129"/>
      </rPr>
      <t>압축이음</t>
    </r>
    <r>
      <rPr>
        <sz val="11"/>
        <color rgb="FF000000"/>
        <rFont val="Calibri"/>
        <family val="2"/>
      </rPr>
      <t>)</t>
    </r>
    <r>
      <rPr>
        <sz val="11"/>
        <color rgb="FF000000"/>
        <rFont val="돋움"/>
        <family val="3"/>
        <charset val="129"/>
      </rPr>
      <t>을</t>
    </r>
    <r>
      <rPr>
        <sz val="11"/>
        <color rgb="FF000000"/>
        <rFont val="Calibri"/>
        <family val="2"/>
      </rPr>
      <t xml:space="preserve"> </t>
    </r>
    <r>
      <rPr>
        <sz val="11"/>
        <color rgb="FF000000"/>
        <rFont val="돋움"/>
        <family val="3"/>
        <charset val="129"/>
      </rPr>
      <t>적용하기</t>
    </r>
    <r>
      <rPr>
        <sz val="11"/>
        <color rgb="FF000000"/>
        <rFont val="Calibri"/>
        <family val="2"/>
      </rPr>
      <t xml:space="preserve"> </t>
    </r>
    <r>
      <rPr>
        <sz val="11"/>
        <color rgb="FF000000"/>
        <rFont val="돋움"/>
        <family val="3"/>
        <charset val="129"/>
      </rPr>
      <t>위해서는</t>
    </r>
    <r>
      <rPr>
        <sz val="11"/>
        <color rgb="FF000000"/>
        <rFont val="Calibri"/>
        <family val="2"/>
      </rPr>
      <t xml:space="preserve"> </t>
    </r>
    <r>
      <rPr>
        <sz val="11"/>
        <color rgb="FF000000"/>
        <rFont val="돋움"/>
        <family val="3"/>
        <charset val="129"/>
      </rPr>
      <t>원구조설계사의</t>
    </r>
    <r>
      <rPr>
        <sz val="11"/>
        <color rgb="FF000000"/>
        <rFont val="Calibri"/>
        <family val="2"/>
      </rPr>
      <t xml:space="preserve"> </t>
    </r>
    <r>
      <rPr>
        <sz val="11"/>
        <color rgb="FF000000"/>
        <rFont val="돋움"/>
        <family val="3"/>
        <charset val="129"/>
      </rPr>
      <t>별도</t>
    </r>
    <r>
      <rPr>
        <sz val="11"/>
        <color rgb="FF000000"/>
        <rFont val="Calibri"/>
        <family val="2"/>
      </rPr>
      <t xml:space="preserve"> </t>
    </r>
    <r>
      <rPr>
        <sz val="11"/>
        <color rgb="FF000000"/>
        <rFont val="돋움"/>
        <family val="3"/>
        <charset val="129"/>
      </rPr>
      <t>검토가</t>
    </r>
    <r>
      <rPr>
        <sz val="11"/>
        <color rgb="FF000000"/>
        <rFont val="Calibri"/>
        <family val="2"/>
      </rPr>
      <t xml:space="preserve"> </t>
    </r>
    <r>
      <rPr>
        <sz val="11"/>
        <color rgb="FF000000"/>
        <rFont val="돋움"/>
        <family val="3"/>
        <charset val="129"/>
      </rPr>
      <t>필요함</t>
    </r>
    <r>
      <rPr>
        <sz val="11"/>
        <color rgb="FF000000"/>
        <rFont val="Calibri"/>
        <family val="2"/>
      </rPr>
      <t>(</t>
    </r>
    <r>
      <rPr>
        <sz val="11"/>
        <color rgb="FF000000"/>
        <rFont val="돋움"/>
        <family val="3"/>
        <charset val="129"/>
      </rPr>
      <t>용역비</t>
    </r>
    <r>
      <rPr>
        <sz val="11"/>
        <color rgb="FF000000"/>
        <rFont val="Calibri"/>
        <family val="2"/>
      </rPr>
      <t xml:space="preserve"> </t>
    </r>
    <r>
      <rPr>
        <sz val="11"/>
        <color rgb="FF000000"/>
        <rFont val="돋움"/>
        <family val="3"/>
        <charset val="129"/>
      </rPr>
      <t>발생할</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있음</t>
    </r>
    <r>
      <rPr>
        <sz val="11"/>
        <color rgb="FF000000"/>
        <rFont val="Calibri"/>
        <family val="2"/>
      </rPr>
      <t xml:space="preserve">), </t>
    </r>
    <r>
      <rPr>
        <sz val="11"/>
        <color rgb="FF000000"/>
        <rFont val="돋움"/>
        <family val="3"/>
        <charset val="129"/>
      </rPr>
      <t>기술혁신팀</t>
    </r>
    <r>
      <rPr>
        <sz val="11"/>
        <color rgb="FF000000"/>
        <rFont val="Calibri"/>
        <family val="2"/>
      </rPr>
      <t xml:space="preserve"> </t>
    </r>
    <r>
      <rPr>
        <sz val="11"/>
        <color rgb="FF000000"/>
        <rFont val="돋움"/>
        <family val="3"/>
        <charset val="129"/>
      </rPr>
      <t>과제화중이며</t>
    </r>
    <r>
      <rPr>
        <sz val="11"/>
        <color rgb="FF000000"/>
        <rFont val="Calibri"/>
        <family val="2"/>
      </rPr>
      <t xml:space="preserve"> </t>
    </r>
    <r>
      <rPr>
        <sz val="11"/>
        <color rgb="FF000000"/>
        <rFont val="돋움"/>
        <family val="3"/>
        <charset val="129"/>
      </rPr>
      <t>현장</t>
    </r>
    <r>
      <rPr>
        <sz val="11"/>
        <color rgb="FF000000"/>
        <rFont val="Calibri"/>
        <family val="2"/>
      </rPr>
      <t xml:space="preserve"> </t>
    </r>
    <r>
      <rPr>
        <sz val="11"/>
        <color rgb="FF000000"/>
        <rFont val="돋움"/>
        <family val="3"/>
        <charset val="129"/>
      </rPr>
      <t>누락없이</t>
    </r>
    <r>
      <rPr>
        <sz val="11"/>
        <color rgb="FF000000"/>
        <rFont val="Calibri"/>
        <family val="2"/>
      </rPr>
      <t xml:space="preserve"> </t>
    </r>
    <r>
      <rPr>
        <sz val="11"/>
        <color rgb="FF000000"/>
        <rFont val="돋움"/>
        <family val="3"/>
        <charset val="129"/>
      </rPr>
      <t>적용가능한</t>
    </r>
    <r>
      <rPr>
        <sz val="11"/>
        <color rgb="FF000000"/>
        <rFont val="Calibri"/>
        <family val="2"/>
      </rPr>
      <t xml:space="preserve"> </t>
    </r>
    <r>
      <rPr>
        <sz val="11"/>
        <color rgb="FF000000"/>
        <rFont val="돋움"/>
        <family val="3"/>
        <charset val="129"/>
      </rPr>
      <t>프로세스를</t>
    </r>
    <r>
      <rPr>
        <sz val="11"/>
        <color rgb="FF000000"/>
        <rFont val="Calibri"/>
        <family val="2"/>
      </rPr>
      <t xml:space="preserve"> </t>
    </r>
    <r>
      <rPr>
        <sz val="11"/>
        <color rgb="FF000000"/>
        <rFont val="돋움"/>
        <family val="3"/>
        <charset val="129"/>
      </rPr>
      <t>마련중입니다</t>
    </r>
    <r>
      <rPr>
        <sz val="11"/>
        <color rgb="FF000000"/>
        <rFont val="Calibri"/>
        <family val="2"/>
      </rPr>
      <t>.</t>
    </r>
  </si>
  <si>
    <t>통합
(40번)</t>
  </si>
  <si>
    <t>CO/Z-PI-EXP-1</t>
  </si>
  <si>
    <t>0700706</t>
  </si>
  <si>
    <t>건축지원팀</t>
  </si>
  <si>
    <t>김필중</t>
  </si>
  <si>
    <t>차원재, 박재보, 고한울</t>
  </si>
  <si>
    <t>공통</t>
  </si>
  <si>
    <t>프로세스 개선</t>
  </si>
  <si>
    <t>전사경비</t>
  </si>
  <si>
    <t>벽걸이 달력 미지급</t>
  </si>
  <si>
    <t>• 대달력 전 직원 미제공 또는 최소 필요 수량 제공 또는 현장(팀)별 50% 제공
 - 효과 발생시 계열사 확대 시행</t>
    <phoneticPr fontId="1" type="noConversion"/>
  </si>
  <si>
    <t>통합
(180번)</t>
  </si>
  <si>
    <t>CO/I-TF-CE-5</t>
  </si>
  <si>
    <t>협력사 가설전기 사용료 부담</t>
  </si>
  <si>
    <t>• 협력사 계량기 설치 및 가설전기 사용료 개별 부담에 따른 전력 감소 및 전기사용료 절감</t>
  </si>
  <si>
    <t>통합
(266번)</t>
  </si>
  <si>
    <t>266번 제안과 통합</t>
  </si>
  <si>
    <t>CO/Z-PI-CE-1</t>
  </si>
  <si>
    <t>1104096</t>
  </si>
  <si>
    <t>문성호</t>
  </si>
  <si>
    <t>[단기목표] 중고거래 APP개발을 통한 자재현황관리 및 공유 
[중장기목표] 건축자재중고거래 e-커머스 사업(ex : 당근 플랫폼)</t>
  </si>
  <si>
    <t>[단기목표] 
▪ 개선전 : 현장 잉여공사자재 및 가설자재, 사무실 집기류 등 관리 소홀에 따른 손실 
▪ 개선후 : APP(ex : 당근 플랫폼)을 통한 실시간 전현장 자재 현황 파악 가능하여 현장 대 현장 공유를 통해 신규 구입 방지 및 긴급 필요 자재 공유하여 현장 원가 리스크 감소 (협력사도 참여) 
[중장기목표] ▪ e-커머스 사업을 통해 타건설사 및 협력업체까지 공유하는 방식의 건축자재중고거래 를 통해 마켓쉐어 될 수 있는 중고거래시장 개척 (이익창출 및 브랜드 가치 상승_재사용을 통한 ESG 경영과도 부합)</t>
  </si>
  <si>
    <t>방향성, 아이디어는 좋으나 논의 결과 개발비 및 투입 인력 등 회사의 역량 부족. 현실적으로 어려움</t>
  </si>
  <si>
    <t>PR/P-TF-CE-1</t>
  </si>
  <si>
    <t>1502614</t>
  </si>
  <si>
    <t>민경민</t>
  </si>
  <si>
    <t>박재보, 박준용, 양창모</t>
  </si>
  <si>
    <t>동절기보양자재 지급자재 → 철콘업체 지입자재로 전환</t>
  </si>
  <si>
    <t>• 철콘업체 지입자재로 입찰 진행</t>
  </si>
  <si>
    <t>과거 지입자재에서 지급자재로 변경된 품목임. 건설경기 활황시, 수급문제와 철콘업체의 과도한 단가 요구 및 비위 문제로 지급자재로 운영중임. 과거 논의가 많이 되었던 건으로 아이디어로 인정하기 어려움</t>
  </si>
  <si>
    <t>CO/Z-PI-CE-2</t>
  </si>
  <si>
    <t>1502615</t>
  </si>
  <si>
    <t>원당1구역 재개발</t>
  </si>
  <si>
    <t>민승기</t>
  </si>
  <si>
    <t>착준공지원팀 신설로 착준공 지원</t>
  </si>
  <si>
    <t>• (준공)‘24년 6개 / ‘25년 9개 / ‘26년 7개 준공 Risk 최소화 
• (착공) 향후 수주 PJ 착수 지원</t>
  </si>
  <si>
    <t>최근까지 수차례 논의 되었던 사안. 아이디어 제공자의 소속팀의 고유업무. 새로운 TOP아이디어로 인정되기 어려움</t>
  </si>
  <si>
    <t>CO/Z-PI-EXP-2</t>
  </si>
  <si>
    <t>1203784</t>
  </si>
  <si>
    <t>사원</t>
  </si>
  <si>
    <t>안혜림</t>
  </si>
  <si>
    <t>캘린더, 다이어리 종류별 개별 신청</t>
  </si>
  <si>
    <t>• 업무시스템 - 임직원공통 – 이벤트신청 메뉴를 활용한 개별신청으로, 현장 및 부서별 신청수량 조정이나 별도 취합이 필요 없음</t>
  </si>
  <si>
    <t>CO/Z-PI-EXP-3</t>
  </si>
  <si>
    <t>1300816</t>
  </si>
  <si>
    <t>외주팀</t>
  </si>
  <si>
    <t>이승현</t>
  </si>
  <si>
    <t>노트북 3년 이상 사용으로 원가절감시, 렌탈비용 50%에 상응하는 복지포인트 지급</t>
  </si>
  <si>
    <t>• 평소 노트북 관리를 통해 조기 렌탈 사용료 발생 방지
• 노트북 신청 주기 관리를 통한 원가 절감 달성시 렌탈 비용 50%에 상응 하는 복지포인트 지급</t>
  </si>
  <si>
    <t>현재 렌탈로 운영되어 사용주기 초과하여도 원가절감 효과가 없음. 현황 파악이 잘 못되어 아이디어로 인정 어려움</t>
  </si>
  <si>
    <t>PR/C-PI-CE-1</t>
  </si>
  <si>
    <t>2202025</t>
  </si>
  <si>
    <t>이철호</t>
  </si>
  <si>
    <t>고한울, 박재보, 고한울</t>
  </si>
  <si>
    <t>고한울</t>
  </si>
  <si>
    <t>외주</t>
  </si>
  <si>
    <t>준공후 협력업체 정산프로세스 수립</t>
  </si>
  <si>
    <t>• 준공 +1개월 : 협력업체 정산 계획 현황 서면 보고 
• 준공 +2개월 : 미정산 협력업체 정산 협의 현황 및 계획 서면 보고 
• 준공 +3개월 : 미정산 협력업체 정산 계획 사업부 대면 보고 (현장소장, 공사팀장, 공무팀장) 
→ 필요시 협력업체 담당자 / 현장 / 유관부서(건축지원,외주外) 본사 회의 실시 
현장설명서에 협력업체 정산 요청 방법 및 기한 관련 기준 추가 삽입</t>
  </si>
  <si>
    <t>통합</t>
    <phoneticPr fontId="1" type="noConversion"/>
  </si>
  <si>
    <t>하도급법 강화에 따른 협력사 정산 지연시 지연이자가 발생하여 당사 영영이익 감소에 큰 영향을 주고 있는 사안입니다. 프로세스 개선 및 업무 혁신을 통한 지연이자 최소화를 달성해야 합니다.
협력사와의 계약, 현장의 원가관리, 사업부 사업관리 등 많은 유관부서와의 연관성이 있는바, CFT 를 구성하여 종합적인 활동을 이끌어야 됩니다.</t>
  </si>
  <si>
    <t>N차(미정)</t>
  </si>
  <si>
    <t>정산 프로세스 및 지연이자에 대한 검토사항입니다.
(29번, 72번, 80번 유사함)</t>
  </si>
  <si>
    <t>CO/D-A/F-CS-1</t>
  </si>
  <si>
    <t>0600053</t>
  </si>
  <si>
    <t>임양순</t>
  </si>
  <si>
    <t>하자보수</t>
  </si>
  <si>
    <t>타일 뒷채움 부족 및 부착강도 하자소송비 저감 추진</t>
  </si>
  <si>
    <t xml:space="preserve">• 외주(타일공사)공사 현장설명서 개정, “뒷채움 기준”, “피해에 대한 보상", “부착강도 기준” 등 
• 외주(타일공사)공사 내역에 “타일 뒷채움 조사비”, “부착강도 시험비” 항목 신설 
• 현장별 자료 보존 및 소송 時 활용 </t>
  </si>
  <si>
    <t>통합</t>
  </si>
  <si>
    <t>CO/Z-ID/R-CE-1</t>
  </si>
  <si>
    <t>1202930</t>
  </si>
  <si>
    <t>정성훈</t>
  </si>
  <si>
    <t>차원재, 차원재, 박준용</t>
  </si>
  <si>
    <t>민원처리비</t>
  </si>
  <si>
    <t>C.G.L 미수령 보험금 수령 및 업무R&amp;R, 프로세스 개선</t>
  </si>
  <si>
    <t xml:space="preserve">• 연도별 잔여 추산금 (Outstanding Loss) 中 준공현장 위주 즉시 회수 </t>
  </si>
  <si>
    <t>EN/I-A/F-CE-5</t>
  </si>
  <si>
    <t>공용부 습식공사 벽돌자재 변경</t>
  </si>
  <si>
    <t>• 공동주택 기준층 공용부 습식공법 변경
• 기존 시멘트벽돌 → 변경 ALC블록</t>
  </si>
  <si>
    <t>(1차검토 : 미채택)
의미 있는 제안입니다. 하지만 실제 주거동 공용부 기준층에 조적벽체가 적용되는 사례는 ST 설치구간으로 극히 제한됩니다. 또한 지하층의 경우에도 주거동 승강기 홀 진입 복도에 적용되나, 이 또한 벽체 타일 마감에 있어 기존 시멘트 벽돌보다 신축줄눈 관리 등 시공 관리 포인트가 증가되어 현 시점에서는 과제화 사항에서 제외하였습니다.</t>
  </si>
  <si>
    <t>CO/D-A/F-CE-2</t>
  </si>
  <si>
    <t>균열 등 품질관리 로봇기술 도입</t>
  </si>
  <si>
    <t>• 외벽도장, 골조품질(균열 등)관리, 외부 준공청소용 로봇기계기술 도입</t>
  </si>
  <si>
    <t>미래지향적이긴 하나 단기에 적용할 만한 상용화된
기술이 없어 금회 채택되지 않았습니다.</t>
  </si>
  <si>
    <t>CO/D-C-CE-1</t>
  </si>
  <si>
    <t>2201276</t>
  </si>
  <si>
    <t>조예술</t>
  </si>
  <si>
    <t>안희진, 박준용, 양창모</t>
  </si>
  <si>
    <t xml:space="preserve">- 치환공사 표준 시공안 수립 </t>
  </si>
  <si>
    <t>• 현장 여건별 Case 구분하여 공사비, 공기 최적화 기준안 수립
• 착공 초기 공사용 장비 진입불가 기간 최소화 및 추후 정산시 합리적인 공사금액 반영 가능</t>
  </si>
  <si>
    <t>아이디어 인정, 과제 미채택
(아이디어 제안자 과제화 불필요 의견 수용)</t>
  </si>
  <si>
    <t>PR/P-PI-CE-1</t>
  </si>
  <si>
    <t>0600047</t>
  </si>
  <si>
    <t>부장</t>
  </si>
  <si>
    <t>기술혁신팀</t>
  </si>
  <si>
    <t>김준우</t>
  </si>
  <si>
    <t>박재보, 박재보, 고한울</t>
  </si>
  <si>
    <t>지급자재 관리 APP개발 및 지급자재 확대</t>
  </si>
  <si>
    <t>• 지급자재 관리 APP 개발 및 복합개발 지급자재 확대
• 지급자재 전산화 System 개발을 통한 Loss 저감</t>
    <phoneticPr fontId="1" type="noConversion"/>
  </si>
  <si>
    <t>아이디어는 인정되며
APP개발은 구체적이나 그 외 내용은 모호함
APP개발은 유관부서 협의결과 현실적으로 투자비는 예상치보다 훨씬 높으며 유니파이어와 연계가 불가피하나 실현가능성 낮음. (유니파이어 개발 시점에도 논의된적있으나 드랍) 업무적 편의 증대, 실제 절감 효과는 산출이 힘듬
그외 지급자재 확대 및 관리방안은 방향성만 있고 구체성이 부족</t>
  </si>
  <si>
    <t>EN/S-A/S-CE-2</t>
  </si>
  <si>
    <t>기초 우마 철근 등 보강근 -&gt; 중공철근/GFRP</t>
  </si>
  <si>
    <t>• 기초 우마 철근 등 보강근 -&gt; 중공철근/GFRP
• 우마철근 및 보강용 철근 대체품 사용</t>
  </si>
  <si>
    <t>GFRP는 현시점에 건축 구조물에 적용은 어려우며, 강도대비 단가는 저렴하나, 우마 철근의 특성상 고강도를 요구하지 않으므로 경제성 확보가 어려움</t>
  </si>
  <si>
    <t>EN/I-A/F-CE-6</t>
  </si>
  <si>
    <t>2102764</t>
  </si>
  <si>
    <t>박규선</t>
  </si>
  <si>
    <t>빗물저수조/소화수조 천장 방수 삭제</t>
  </si>
  <si>
    <t>• 빗물저수조/소화수조 천장 방수 삭제
• 안산 고잔연립 9구역 주택재건축 정비사업 : 외주비 5,900,000원 절감</t>
  </si>
  <si>
    <t>(1차검토 : 미채택)
제안 자체는 권장되어야 할 좋은 내용입니다. 다만, 최근 건식저수조 적용 사례가 점차 확대되는 추세이며 또한 각 현장별로 저수조 천정의 방수 삭제는 단순 선택으로 비교적 간단히 처리할 수 있는 사항이므로 과제화 항목에서는 제외하였습니다.</t>
  </si>
  <si>
    <t>EN/S-C-CE-2</t>
  </si>
  <si>
    <t>2202067</t>
  </si>
  <si>
    <t>김지민</t>
  </si>
  <si>
    <t>공장제작형 철근망(SP-CIP)을 활용한 CIP공사 원가절감</t>
  </si>
  <si>
    <t>• 공장제작형 철근망(SP-CIP)을 활용한 CIP공사 원가절감
• 철근망 조립비 및 재료비 포함 재래식 공법대비 약 10%절감
Ex) 상인천초교 CIP철근망 재료+가공비 : 5억 -&gt; STG800 적용시 4.5억 0.5억 절감</t>
  </si>
  <si>
    <t>3차 과제승인위 상정완료</t>
  </si>
  <si>
    <t>통합
(Main)</t>
  </si>
  <si>
    <t>EN/S-A/S-CE-3</t>
  </si>
  <si>
    <t>2203375</t>
  </si>
  <si>
    <t>박현흠</t>
  </si>
  <si>
    <t>공동주택 지하층 PIT 보+DECK 슬래브 적용</t>
  </si>
  <si>
    <t>• 공동주택 지하층 PIT 보+DECK 슬래브 적용
• 공동주택 지하층 PIT 보+DECK 슬래브 적용을 통한 시공성 개선 및 원가절감</t>
  </si>
  <si>
    <t>6차 과제승인위 상정완료</t>
  </si>
  <si>
    <t>6차(241203)</t>
  </si>
  <si>
    <t>24년4분기(241220)</t>
  </si>
  <si>
    <t>EN/S-A/S-CE-4</t>
  </si>
  <si>
    <t>1104091</t>
  </si>
  <si>
    <t>백창현</t>
  </si>
  <si>
    <t>지하주차장 압축기둥 다월철근 50% 적용</t>
  </si>
  <si>
    <t>• 지하주차장 압축기둥 다월철근 50% 적용
• 지하주차장 기둥 다월철근 최적화를 통한 원가절감</t>
  </si>
  <si>
    <t>2차 과제승인위 상정완료</t>
  </si>
  <si>
    <t>2차(240829)</t>
  </si>
  <si>
    <t>EN/S-A/S-CE-5</t>
  </si>
  <si>
    <t>1203416</t>
  </si>
  <si>
    <t>최기영</t>
  </si>
  <si>
    <t>공동주택 철근 강도 상향(D13 이하 철근 SD500)</t>
  </si>
  <si>
    <t>• 공동주택 철근 강도 상향(D13 이하 철근 / SD500)
• 공동주택 D13이하 철근 SD500 적용을 통한 원가절감</t>
  </si>
  <si>
    <t>아이디어 인정, 과제 미채택(통합)
TOP추진실 중점추진과제(공동주택 철근량 최적화)로 통합하여 진행예정이므로 아이디어만 인정하였습니다.</t>
  </si>
  <si>
    <t>통합
(TOP)</t>
  </si>
  <si>
    <t>][</t>
  </si>
  <si>
    <t>EN/S-A/S-CE-6</t>
  </si>
  <si>
    <t>2203374</t>
  </si>
  <si>
    <t>최영후</t>
  </si>
  <si>
    <t>주차장을 TR 기초 적용</t>
  </si>
  <si>
    <t>• 주1을 TR 기초 적용
• 주1을 TR(Tapered Reinforced) 적용을 통한 원가절감</t>
  </si>
  <si>
    <t>아이디어 미인정
해당기술은 원천기술 업체와 기술협약(적용실적에 따른 인센티브 수급)이 되어있는 아이템이므로 단순 설계적용 추진으로 아이디어 인정은 불가합니다.</t>
  </si>
  <si>
    <t>EN/S-C-CE-3</t>
  </si>
  <si>
    <t>1700665</t>
  </si>
  <si>
    <t>박대하</t>
  </si>
  <si>
    <t>초고강도 PHC 파일 적용</t>
  </si>
  <si>
    <t xml:space="preserve">• 비용절감 효과 
1) 파일 지지력 상향을 통한 파일 총 길이 저감 
   ① 저감 요소 : 지지력 상향을 통한 파일 개수 저감 
   ② 증가 요소 : 연암 정착으로 공당 정착 길이 증가 
   → 증가 요소보다 저감 기대 효가가 크며 원가 절감이 예상 됨. 
  ※ 풍화대가 깊어 암반정착에 대한 소요 파일 길이가 과도할 것으로 예상될 경우 미적용 
2) 벽체 하부 파일 1열 배치 시 추가적인 기초 두께 저감 예상 </t>
  </si>
  <si>
    <t>아이디어 인정, 과제 미채택
해당 설계법은 일반적인 구조설계 업무 최적화 기법이며, 기 시행중인 파일컨설팅 업무에 포함된 사항이므로 과제화는 불필요합니다.</t>
  </si>
  <si>
    <t>중요한 과제이나 상인천초교 프로젝트 설계결과 접수 후 과제 구체화 예정</t>
  </si>
  <si>
    <t>EN/I-A/F-CE-7</t>
  </si>
  <si>
    <t>기획</t>
  </si>
  <si>
    <t>1703079</t>
  </si>
  <si>
    <t>투자전략팀</t>
  </si>
  <si>
    <t>김진혁</t>
  </si>
  <si>
    <t>욕실 바닥 단열재 스펙 다운을 통한 원가 절감</t>
  </si>
  <si>
    <t>• 재료비 최소 약 1,000만원 절감
 (1,000세대 기준 / 비드법 2종1호 -&gt; 2종3호 기준)</t>
  </si>
  <si>
    <t>(1차검토 : 미채택)
포레나 공동주택 표준 매뉴얼 기 정립사항</t>
  </si>
  <si>
    <t>EN/I-A/F-CE-8</t>
  </si>
  <si>
    <t>1202921</t>
  </si>
  <si>
    <t>박찬기</t>
  </si>
  <si>
    <t>공동주택 단열설계 최적화 방안 적용</t>
  </si>
  <si>
    <t>• 공동주택 단열설계 최적화 방안 적용
포레나 단위세대 합리적 단열설계 변경을 통한 원가절감</t>
  </si>
  <si>
    <t>(1차검토 : 중점과제와 통합)
제안하신 내용 중 다용도실을 난방구간으로 포함하는 부분은 적용이 가능할 것으로 판단됩니다. 주요 10개사 중 대우, GS, DL, 현대 등 점차 설계 적용 비율이 증가되고 있습니다. 단위세대 관련 타 제안과 통합하여 과제화 예정입니다.</t>
  </si>
  <si>
    <t>EN/S-A/S-CE-7</t>
  </si>
  <si>
    <t>2100609</t>
  </si>
  <si>
    <t>박종호</t>
  </si>
  <si>
    <t>3D Shop 모델 운영 및 분석을 통한 원가상승 방지</t>
  </si>
  <si>
    <t>• 3D 모델기반 철골공사 물량관리
• 3D Shop 모델 운영 및 분석을 통한 원가상승 방지</t>
  </si>
  <si>
    <t>5차 과제승인위 상정완료</t>
  </si>
  <si>
    <t>5차(241104)</t>
  </si>
  <si>
    <t>EN/S-A/S-CE-8</t>
  </si>
  <si>
    <t>2002027</t>
  </si>
  <si>
    <t>정성호</t>
  </si>
  <si>
    <t>BIM 기반 철근공사관리
(BIM기반 적산 및 웹 기반 철근공사관리 플랫폼 도입)</t>
  </si>
  <si>
    <t>• BIM 기반 철근공사관리
  (BIM기반 적산 및 웹 기반 철근공사관리 플랫폼 도입)</t>
  </si>
  <si>
    <t>9차 과제승인위 상정완료</t>
  </si>
  <si>
    <t>9차(250327)</t>
  </si>
  <si>
    <t>EN/S-A/S-CE-9</t>
  </si>
  <si>
    <t>1000160</t>
  </si>
  <si>
    <t>김정수</t>
  </si>
  <si>
    <t>H-MENT 확대 적용(수도권, 인프라 사업부)</t>
  </si>
  <si>
    <t xml:space="preserve">• H-MENT 확대 적용 추진 </t>
  </si>
  <si>
    <t>EN/S-A/F-CE-1</t>
  </si>
  <si>
    <t>2101159</t>
  </si>
  <si>
    <t>구경모</t>
  </si>
  <si>
    <t>박준용, 송원일, 김태용</t>
  </si>
  <si>
    <t>콘크리트/모르타르 + 재활용 PET섬유</t>
  </si>
  <si>
    <t>• 재활용PET섬유를 활용한 옥상무근모르타르의 생산시스템 구축</t>
  </si>
  <si>
    <t>아이디어 인정, 과제 미채택
PET 섬유를 활용하는 아이디어 자체는 좋으나, PET섬유 주요수급원인 안전망이 PP소재로 적용중이라서 원자재 수급이 어렵다고 판단하여 아이디어만 인정하였습니다.</t>
  </si>
  <si>
    <t>EN/E-E-CE-4</t>
  </si>
  <si>
    <t>0301109</t>
  </si>
  <si>
    <t>서울역 역세권 개발사업 호텔</t>
  </si>
  <si>
    <t>변세준</t>
  </si>
  <si>
    <t>단위세대 통신수구 수량 최적화</t>
  </si>
  <si>
    <t>• 단위세대 통신수구 수량 축소(14구→8구)
• 추후 '초고속 정보통신 1등급 수준' 홍보는 불가함. 
분양성 관련 사업팀 판단 필요</t>
  </si>
  <si>
    <t>타사 사례 및 분양성을 고려했을때, 즉시 적용이 어려운 제안임</t>
  </si>
  <si>
    <t>EN/E-E-CE-5</t>
  </si>
  <si>
    <t xml:space="preserve">홈네트워크 및 무인경비 공사범위 최적화 </t>
  </si>
  <si>
    <t>• 거실동체감지기,자석감지기,전자책도서관 삭제
• 홈넷카드수량축소(4개→2개) : 활용성 저하</t>
  </si>
  <si>
    <t>향후, 재검토</t>
  </si>
  <si>
    <t>EN/E-E-CE-6</t>
  </si>
  <si>
    <t>IoT보안솔루션(OTP보안) 삭제</t>
  </si>
  <si>
    <t>• IoT보안솔루션(OTP보안)삭제 
: 개정법규적용에 의한 이중화구성으로 삭제 가능하다고 판단됨</t>
  </si>
  <si>
    <t>통합
(51번)</t>
  </si>
  <si>
    <t>51번 제안과 통합</t>
  </si>
  <si>
    <t>EN/E-E-CE-7</t>
  </si>
  <si>
    <t>1300253</t>
  </si>
  <si>
    <t>건축전기팀</t>
  </si>
  <si>
    <t>김재구</t>
  </si>
  <si>
    <t xml:space="preserve">전력간선 스펙 다각화(알루미늄 합금케이블) </t>
  </si>
  <si>
    <t>• (당초) 구리 케이블 → (변경) 구리 케이블, 알루미늄 합금 케이블 
  - 사업승인이전현장 또는 최초 도급 제안현장 적용가능
   (구리케이블로 사업승인득한 현장은 변경 어려움. 조합 및 감리원 설득필요)</t>
  </si>
  <si>
    <t>1차(240822)</t>
  </si>
  <si>
    <t>EN/E-E-CE-8</t>
  </si>
  <si>
    <t>무인택배 시스템 최적화</t>
  </si>
  <si>
    <t xml:space="preserve">• 무인택배시스템 설계 기준 최적화 진행  
 - 당사 FORENA 브랜드 품질저하 이슈 나오지 않는 수준 검토 
 - 타사 동향 파악하여 적용개소 설정 
• 적용 예정안 
 - 무인택배 시스템 적용개소 축소 
  : (당초) 각 동 1개소, 전체 세대의 15% 수준 적용 
  → (변경) 주ㆍ부 출입구 인근 동에 적용(2~3개소), 전체 세대의 6~8% 수준 적용 </t>
  </si>
  <si>
    <t>EN/E-E-CE-9</t>
  </si>
  <si>
    <t>대기전력 차단장치(스위치, 콘센트) 최적화</t>
  </si>
  <si>
    <t xml:space="preserve">• 대기전력 자동차단장치 설계 기준 최적화 진행  
  - 당사 FORENA 브랜드 품질저하 이슈 나오지 않는 수준 검토 
  - 타사 동향 파악하여 적용개소 설정 
• 적용 예정안 
  - 단위세대 적용개소 축소 
  : (당초) 거실, 안방, 각방, 주방 +지역조례  → (변경) 거실, 안방, 각방 외 미적용 
  - 주민공동시설, 근린생활시설 미적용 </t>
  </si>
  <si>
    <t>통합
(215)</t>
  </si>
  <si>
    <t>215번 제안과 통합</t>
  </si>
  <si>
    <t>EN/E-E-CE-10</t>
  </si>
  <si>
    <t>2202059</t>
  </si>
  <si>
    <t>권창재</t>
  </si>
  <si>
    <t xml:space="preserve">스마트 복합 살균조명 옵션 상품 개발 </t>
  </si>
  <si>
    <t xml:space="preserve">• 스마트 복합 살균조명 옵션 상품개발로 수익창출
• 일반가구(신발장 하부), 주방가구(상1갑 하부) 등의 간접조명을 살균조명 기능이 반영된 제품 
• IOT App연동을 통한 원격제어 기능을 추가하여 살균기능 제어 기능 추가(ON/OFF 시간설정) </t>
  </si>
  <si>
    <t>구체적인 개발방향성에 대한 검토 및 옵션수요에 대한 디자인팀 협의 필요. 추후 진행 예정</t>
  </si>
  <si>
    <t>EN/M-M-CE-2</t>
  </si>
  <si>
    <t>0601384</t>
  </si>
  <si>
    <t>건축기계팀</t>
  </si>
  <si>
    <t>박민희</t>
  </si>
  <si>
    <t xml:space="preserve">임시소방시설 연간단가 및 리사이클(Recycling) 시행 </t>
  </si>
  <si>
    <t xml:space="preserve">• 임시소방시설 재활용 위한 연간단가 및 업체선정 
- 현장 종료 후 소화기, 간이소화장치의 외관 보수, 기능 보증 등을 통하여 신규 현장에 재활용 
- 재활용이 불가능한 파손된 제품은 신규로 구입 / 전체 제품 중 약50% 재활용 가능 추정 </t>
  </si>
  <si>
    <t>CO/D-M-CE-1</t>
  </si>
  <si>
    <t xml:space="preserve">안희진, 박병규, </t>
  </si>
  <si>
    <t xml:space="preserve">기계실 고중량 배관 가대 적용(용접삭제) </t>
  </si>
  <si>
    <t xml:space="preserve">• 기계실 상부 고중량 배관용 가대 적용(시공기준 재정립) 
고중량용 배관 가대를 적용하여 기계실 내 용접작업 삭제 
용접작업 삭제로 화재 위험 감소 </t>
  </si>
  <si>
    <t>시공성 개선은 확실하나 원가절감 부분 검토 필요(원가절감X)</t>
  </si>
  <si>
    <t>CO/Z-M-CE-1</t>
  </si>
  <si>
    <t>1105017</t>
  </si>
  <si>
    <t>잠실MICE TFT</t>
  </si>
  <si>
    <t>조영수</t>
  </si>
  <si>
    <t xml:space="preserve">차원재, 박병규, </t>
  </si>
  <si>
    <t>차원재</t>
  </si>
  <si>
    <t>공사비</t>
    <phoneticPr fontId="1" type="noConversion"/>
  </si>
  <si>
    <t xml:space="preserve">접이식 스크린 방화셔터 </t>
  </si>
  <si>
    <t xml:space="preserve">• 접이식  스크린 방화셔터의 경우 방화 스크린을 두개 이상 적용하는 경우 혹은 ㄱ자 벽면처럼 일정한 각도를 두어 배치하는 경우 스크린이 펼쳐진 상태에서는 외부 화염 발생 시 구조적인 강직성이 약하여 스크린 사이로 화염이나 연기가 통과될 수 있는 위험을 대응할 수 있음. 
 1. ㄱ자형 벽면의 방화구획 확보 가능 
 2. 자유로운 각도 및 곡선형 셔터 설치 가능 
 3. ㄱ자 접합부위 무기둥으로 시공이 가능하여 넓은 시야 확보 가능 </t>
  </si>
  <si>
    <t>인증완료된 이후 적용가능 현장 있을 경우 진행할
예정입니다.</t>
  </si>
  <si>
    <t>윤기윤</t>
  </si>
  <si>
    <t>EN/M-M-CE-3</t>
  </si>
  <si>
    <t xml:space="preserve">계단실 급기 가압 방식의 댐퍼 시스템 </t>
  </si>
  <si>
    <t>• 특별피난계단의 계단실 및 비상용 승강장에 급기가압 제연설비가 설치되어야 하나, 신기술 도입 및 공사비 절감을 위해 계단실을 풍도로 사용하는 계단실 가압 방식을 적용하고자 함.</t>
  </si>
  <si>
    <t>새로운 제연 가압방식으로 소방방재청 승인 필요</t>
  </si>
  <si>
    <t>EN/M-M-CE-4</t>
  </si>
  <si>
    <t xml:space="preserve">지하침출수 열원활용방안 </t>
  </si>
  <si>
    <t>• 영구배수 및 지하침출수를 우수조, 중수조에 저장하여 히트펌프를 통한 냉난방 열원으로 이용
 1. 냉난방요금 절약 
 2. 하수도 요금 절약(광역시 이상) 
 3. 사수방지 제품 미필요</t>
  </si>
  <si>
    <t>검토중</t>
  </si>
  <si>
    <t>차후진행</t>
  </si>
  <si>
    <t>잠실 마이스 TFT의견으로 현장 특수성 및 구체적인 방법 제안 필요</t>
  </si>
  <si>
    <t>CO/I-TF-CE-6</t>
  </si>
  <si>
    <t>비콘을 이용한 근로자 안전관리방안</t>
  </si>
  <si>
    <t>1.안전모 스마트태그 부착으로 작업자 위치확인
2.중장비 비콘설치를 통한 접근시 경고알람 송출 등
3.현장상황에 따라서 접근시 위험이 예상되는 지하 피트층이나, 최상층 단부 등 위험지역을 별도 설정해서 사전에 허가된 근로자만 출입에 제한한 방식을 다양한 방법으로 근로자의 동선 및 작업관리</t>
  </si>
  <si>
    <t>일부 내용 수정 및 재검토하여 과제화여부 재판단하겠음.</t>
  </si>
  <si>
    <t>EN/M-M-CE-5</t>
  </si>
  <si>
    <t>1300815</t>
  </si>
  <si>
    <t>최중현</t>
  </si>
  <si>
    <t xml:space="preserve">지하 펌핑배수배관 재질변경(강관⇒PVC) </t>
  </si>
  <si>
    <t xml:space="preserve">• 열전도율이 낮은 PVC재질로 변경에 따른 결로 발생현상 피해 저하 
• 시공성 향상에 따른 인건비 절감 가능 
• 타 사 적용 현장 확인/ 검증 후 당 사 기준 정립 </t>
  </si>
  <si>
    <t>25년1분기(250421)</t>
  </si>
  <si>
    <t>EN/M-M-CE-6</t>
  </si>
  <si>
    <t>1803686</t>
  </si>
  <si>
    <t>최호영</t>
  </si>
  <si>
    <t xml:space="preserve">단위세대 난방코일피치 기준 재정립 </t>
  </si>
  <si>
    <t>단위세대 침실 난방코일피치 기준 재정립
(당초) 200mm → (변경) 230mm</t>
  </si>
  <si>
    <t>PR/C-E-CE-1</t>
  </si>
  <si>
    <t>1104094</t>
  </si>
  <si>
    <t>오정수</t>
  </si>
  <si>
    <t xml:space="preserve">고한울, 오정화, </t>
  </si>
  <si>
    <t>핵심공종(ELEV) 실 투입기간을 계약기간으로 적용 / 공종관리 진행</t>
  </si>
  <si>
    <t>실제 하도급 투입기간을 하도급 계약기간으로 적용 
- 계약 미이행 시 패널티 부여
- 공종관리 및 정산에 따른 투명한 정산/투입으로 분쟁 및 지연이자 최소화
- 적정 투입 인원 및 자재 납품을 계약기간으로 명기
- 1대당/일로 지연/돌관비용 적용하여 계약진행 _ 하도급 정산의 증감을 명확화
원인 명확화에 따른 지연사유 및 돌관비용 집행 명확화
- 선행공종 지연에 따른 1대당/일로 지연/돌관비용 적용하여 계약진행
- 잡업인원 미투입에 따른 업체 패널티 부여
- 공종관리 및 정산에 따른 투명한 정산/투입으로 분쟁 및 지연이자 최소화</t>
    <phoneticPr fontId="1" type="noConversion"/>
  </si>
  <si>
    <t>외주팀에서 승강기 연간단가 검토중.
CFT 구성하여, 명확한 기준 수립을 통해 공사수행을 원활하게 하고, 불필요한 분쟁을 최소화 할수 있도록 연간단가 계약조건 검토 요망</t>
  </si>
  <si>
    <t>EN/E-E-CE-11</t>
  </si>
  <si>
    <t>공용부전기 사용실태 분석을 통한 최적설계방안 수립</t>
  </si>
  <si>
    <t xml:space="preserve">공용변압기 이용율 미확인 : 전기 예상부하용량에 수용율을 적용한 변압기 용량 선정
- 변압기 용량에 따른 케이블 굵기 및 차단기 선정
- 원자재값 상승에 따른 자재비 및 시공 공사비 원가 증가
- 입주민 공용전기료금 금액 증가
• 포레나 준공단지 전기부하 사용량에 따른 변압기 및 케이블 원가절감 추진
전력계통영향평가 미적용에 따른 사업비 및 인허가 단축
- 약 2,000~2000세대 이상 전기 예상 계약용량 10MW
- 변압기 용량 최적화 설계로 전기 계약용량 </t>
  </si>
  <si>
    <t>EN/E-E-CE-12</t>
  </si>
  <si>
    <t>안면인식 로비폰 적용</t>
    <phoneticPr fontId="1" type="noConversion"/>
  </si>
  <si>
    <t>실물키의 휴대 불편함 및 분실의 위험이 없는 안면인식 로비폰(제안)
- 원가절감 및 입주민 공동출입구 출입 보안강화 아이템으로 적용 검토함
• (기타) 스마트 언텍스(Untact) 기술 도입으로 보안성 강화 및 원가절감   
- 스마트 원패스키(스마트폰APP)은 동일 하게 적용
- 실물형 카드 및 원패스 키 삭제
- 아파트 동출입구에 안면인식 출입기 적용을 통한 보안성 강화</t>
    <phoneticPr fontId="1" type="noConversion"/>
  </si>
  <si>
    <t>기 품의 완료된 건으로, 원가절감 여부에 대한 재검토가 필요합니다.
(원패스키 삭제가 건축전기팀 품의 '스마트파킹시스템 개선안'에도 중복적용 되어있음)</t>
  </si>
  <si>
    <t>CO/I-TF-CE-7</t>
  </si>
  <si>
    <t>안면인식 건강관리 시스템 활용</t>
  </si>
  <si>
    <t xml:space="preserve">• 안면인식 건강관리 시스템 활용
- 근로자 건강광리를 통한 우발 손실 제외
코로나 및 근로환경의 더위 등에 따른 근로자 건강관리 중요
- 근로자 개인질병의 사망 시에도 인적/물적 손해 발생
- 신규채용자 교육시 개인의 건상상태 확인 / 체크 </t>
  </si>
  <si>
    <t>아이디어는 참신하나 시스템의 정확도에 따른 활용도 관련검토가 추가적으로 필요하여 금번에는 미채택 하였습니다.</t>
  </si>
  <si>
    <t>EN/E-E-CE-13</t>
  </si>
  <si>
    <t>공동주택 단위세대 조명밀도 5.5W/m2 이하 기준 마련</t>
  </si>
  <si>
    <t>• 단위세대 별 조명밀도 기준 강화 (現 6.49[W/㎡] → 5.25[W/㎡]))
- 선제적인 설계 대응을 통한 신재생에너지 시공원가 절감
- 분양가 경쟁력 확보 등 기준 마련
단위세대 조명밀도 절감에 따른 친환경 주택 법규 대응 / 시공성 향상   
- ZEB(제로에너지건축물) 정책에 따른 기본 대응방안 마련
- 에너지절약형 친환경주택 건설기준(국토교통부) 대응
- 원가절감(재료비 + 신재생에너지 투입비) 및 시공성 향상</t>
  </si>
  <si>
    <t>(CFT 구성 및 과제정의서 작성중)
디자인팀, 구매팀 협업 진행예정 (디자인검토 및 기존 연간단가 변경계약 관련사항 등)</t>
  </si>
  <si>
    <t>EN/E-E-CE-14</t>
  </si>
  <si>
    <t>공동주택 공용부조명 연단가 진행</t>
    <phoneticPr fontId="1" type="noConversion"/>
  </si>
  <si>
    <t>• 등기구 상품 종류 축소 및 시공방안 획일화를 통한 시공성 향상 및 원가절감
- 2024년 어워드 출품 및 2024년 현장 첫 적용으로 원가절감 진행
등기구 디자인 및 시공방법 단순화
- 타공종 간섭사항 최소화 _ 시공성 향상
- 등기구 수량 최소화 _ 원가경쟁력 확보 및 시공성 향상
- 상가 등 타공/보강 등 건축 폐기물 미발생</t>
  </si>
  <si>
    <t>기 품의완료 및 현장 적용중인 사항으로,
제안 인정 불가합니다.</t>
  </si>
  <si>
    <t>EN/E-E-CE-15</t>
  </si>
  <si>
    <t>공동주택 APP 상품 _ IoT 디바이스 업체 APP 도입으로 원가절감
공동주택 H/N 제어 및 커뮤니티 APP 외주화</t>
  </si>
  <si>
    <t>• 2020년 FORENA APP 개발 / 적용 후 업데이트 미수행 _ 경쟁력 약화
• 분양세대수 하락에 따라 개발비 투입원가 증가
• 부동산 경기 하락에 따른 분양물량 저하 _ 포레나 APP 업데이트 미진행
• 삼성전자, 삼성물산 등 IoT APP 외주화에 따른 원가절감 추진</t>
  </si>
  <si>
    <t>FORENA APP 업데이트에 필요한 금액 확인 및
삼성물산(홈닉), 현대통신 등 원가경쟁력 갖춘 업체와 금액 비교 검토 필요합니다.</t>
  </si>
  <si>
    <t>PR/C-PI-CE-2</t>
  </si>
  <si>
    <t>공탁 / 간접비 사전 정산 진행 프로세스 확립 (지연이자 절감)</t>
  </si>
  <si>
    <t>정산 합의 지연에 따른 지연이자 절감 방안 모색
- 정산 합의 지연에 따른 현장 정산금액 공탁 등의 집행 (실정보고 이후)
- 간접비의 경우 2달이내 집행
정산 합의 지연에 따른 지연이자 절감 방안 모색
- 정산 합의 지연에 따른 현장 정산금액 공탁 등의 집행 (실정보고 이후)
- 간접비의 경우 2달이내 집행</t>
    <phoneticPr fontId="1" type="noConversion"/>
  </si>
  <si>
    <t>통합
(29번)</t>
  </si>
  <si>
    <t>(채택 불인정)
"준공후, 협력업체 정산프로세스 수립_이철호 2갑"과 목적은 유사하나 방법이 상이함. 논의 후 진행</t>
  </si>
  <si>
    <t>PR/C-E-CE-2</t>
  </si>
  <si>
    <t>오정화</t>
    <phoneticPr fontId="1" type="noConversion"/>
  </si>
  <si>
    <t>무선통신보조설비 설계 표준화 및 연단가 금액 구축 (공동주택)</t>
    <phoneticPr fontId="1" type="noConversion"/>
  </si>
  <si>
    <t>• 공동주택 무선통신보조설비 설계 표준화 및 연단가 금액 구축
- 공동주택의 경우 시스템적/금액적 이슈사항 없음 _ 연단가 업체 선정
- 분리발주의 경우 해당업체 연단가 금액으로 도급계약 유도 및 업체 관리
- 업체 관리 및 A/S 용이</t>
    <phoneticPr fontId="1" type="noConversion"/>
  </si>
  <si>
    <t>설계 및 내역 표준화는 가능하나, 발주 가능한 분양예정 물량이 많지 않아, 즉각적인 연단가 업체선정 입찰진행은 어려울것으로 예상됨</t>
  </si>
  <si>
    <t>EN/E-E-CE-16</t>
  </si>
  <si>
    <t>전기실 무패드 및 지하주1을 천정형 스피커 적용</t>
  </si>
  <si>
    <t>• 타 공종 간섭 최소화로 시공성 향상 및 건축 원가 절감 
- 전기실 무패드 적용 (단, 전기실 바닥 FL이 지하주1을보다 낮은경우 제외)
- 지하주1을 기둥에 적용하는 스피커 → 천정형으로 적용 (시공성 향상)</t>
  </si>
  <si>
    <t>통합
(354번)</t>
  </si>
  <si>
    <t>354번 제안과 통합(전기실 무패드) 
지하주1을 천정형 스피커는 기 적용중임</t>
  </si>
  <si>
    <t>EN/E-E-CE-17</t>
  </si>
  <si>
    <t>무인택배 삭제 및 신규 옵션상품 개발 (엘리베이터홀 CCTV 옵션 적용)</t>
    <phoneticPr fontId="1" type="noConversion"/>
  </si>
  <si>
    <t>• 공동주택 무인택배 삭제 + 엘리베이터홀 CCTV 옵션
- 무인택배 이용율 저하 (쿠팡배송 및 냉동식품 새벽배송 등)
- AI 카메라 등 상품개발에 따른 상품성 강화 연계</t>
  </si>
  <si>
    <t>CO/Z-E-CE-1</t>
  </si>
  <si>
    <t xml:space="preserve">차원재, 오정화, </t>
  </si>
  <si>
    <t>전기차 충전설비 최적설계 및 그룹 Synergy 강화 아이템 발굴</t>
  </si>
  <si>
    <t>• 단지 외부(내부) 전기차 충전 스테이션 적용
  - 지하주1을 적용 대비 소방 시설물(방화구획/소화설비) 절감
  - 외부 지붕 구주몰 디자인 기획 / 조경상품 개발 연계
• 지하주1을 과금형 콘센트 적용을 통한 원가절감 추진
  - 과금형콘센트의 경우 완속충전기로 인정
  - 완속충전기 대비 50~70만원/대당 절감 x 주1을면수의 7%
• 그룹 및 포레나 상품 상징성
  - 외부 구조물 태양광 연계 _ 환경 친화적 &amp; 공용전기료 절감
  - 에너지 모니터링 설비 도입을 통한 기기 오작동, 차단 및 AS 연계 (w/한화 모티브)</t>
  </si>
  <si>
    <t>통합
(299번)</t>
  </si>
  <si>
    <t>299번 항목과 통합</t>
  </si>
  <si>
    <t>CO/Z-E-CE-2</t>
  </si>
  <si>
    <t xml:space="preserve">H²-EMS (Hanwha - Energy Management System) 구축 </t>
    <phoneticPr fontId="1" type="noConversion"/>
  </si>
  <si>
    <t>• 에너지절감, 사용자 편의성 향상, 관리비절감의 Intelligent System 도입 必
- BEMS, 자동제어, 전력제어, 조명제어, 원격검침 + 신재생에너지 통합
- 면허(통신면허) 관련 이슈 해결 및 일원화 관리로 공정관리 진행</t>
  </si>
  <si>
    <t>공종간 업무스코프 정리가 필요한 사항입니다.</t>
  </si>
  <si>
    <t>EN/E-E-CE-18</t>
  </si>
  <si>
    <t>TV 및 방송자재 등 장비성 연단가 납품/시공</t>
    <phoneticPr fontId="1" type="noConversion"/>
  </si>
  <si>
    <t>- TV 헤드앤드, 방송 앰프 등 전문성 자재의 설계 표준화 / 내역화 진행</t>
    <phoneticPr fontId="1" type="noConversion"/>
  </si>
  <si>
    <t>CO/I-TF-CE-8</t>
  </si>
  <si>
    <t>대형 복합시설 공사 수행과정 푸드테크 도입 (생산성 향상 목적)</t>
  </si>
  <si>
    <t>• 삼성물산 평택 반도체 공장 등 벤치마킹 진행
- 근로자 식사, 휴식 및 화장실 공간의 제공을 통한 생산성 향상
• 푸드테크(커피바리스타 로봇 등)
- 공동주택 커뮤니티 적용 등을 통한 상품성 강화 및 마케팅활용 _ 그룹 스마트 상품
- 대형복합 건설현장 도입을 통한 고품질의 서비스 제공</t>
  </si>
  <si>
    <t>아이디어는 참신하나 생산성과 원가투입간 관련검토가 추가적으로 필요하여 금번에는 미채택 하였습니다.</t>
  </si>
  <si>
    <t>PR/C-PI-CE-3</t>
  </si>
  <si>
    <t>1000208</t>
  </si>
  <si>
    <t>그린솔루션TFT</t>
  </si>
  <si>
    <t>제은수</t>
  </si>
  <si>
    <t>지연이자 최소화(정산)</t>
  </si>
  <si>
    <t>현장 정산 예상 금액의 80%(변동 가능) 선에서 先 변경계약 및 집행 後 정산 품의 정상 진행
- 예상금액/러프한 자료 수준으로 본부 지원팀 先 품의 후 현재와 같은 백데이터 증빙 추가 재품의
- 지급 이후에도 노무비닷컴을 통한 기성금의 관리가 가능함
- 하도급 업체에서 미동의시 법원 공탁처리를 통한 지연이자 증가 방지</t>
  </si>
  <si>
    <t>CO/Z-YY-CE-1</t>
  </si>
  <si>
    <t>차원재, 고한울, 박재보</t>
  </si>
  <si>
    <t>현장관리비</t>
  </si>
  <si>
    <t>Half Time 현채직 신설</t>
  </si>
  <si>
    <t>• Half Time 현채직 신설
- 오전근무 / 오후근무 / 10시~15시 근무 등 유연한 Half Time 현채직 채용 신설
• 현장 준공시 필요 인원 증원
- 평상시 인건비 절감분으로, 준공 등 추가 인원 필요시 증원</t>
  </si>
  <si>
    <t>(건축지원팀, 인사기획팀 협의 완료)
아이디어로는 인정하였으나 현실적인 노무리스크, 인력출력에 대한 관리 문제로 유관부서 협의 후 불채택 되었습니다.
현장 여건 상, 안전사고의 우려 / 관리 포인트의 증가 등으로 인해 사업부에는 효용보다는 제한사항이 많을 것으로 판단됩니다</t>
  </si>
  <si>
    <t>PR/C-ID/H-CE-1</t>
  </si>
  <si>
    <t>고한울, 박재보, 안희진</t>
  </si>
  <si>
    <t>안전관리비</t>
  </si>
  <si>
    <t>하도급 업체 안전관리비 투입금액 명확화</t>
  </si>
  <si>
    <t>발주시 직공비화 후 변경계약
- 발주시 안전난간대, 추락방지망, 안전관리자 투입MM 등 직공비 내역화 입찰
- 낙찰 후 해당 금액 직공비에서 감액 및 안전관리비 증액</t>
    <phoneticPr fontId="1" type="noConversion"/>
  </si>
  <si>
    <t>하도급 계약 내역서에 안전관리비 항목을 세분화 한다는 것은
실행편성시에도 하도급 안전관리비 항목을 내역화 한다 부분과하도급법에 대한 상세한 논의가 필요합니다.</t>
  </si>
  <si>
    <t>CO/D-A/F-CS-2</t>
  </si>
  <si>
    <t>도장, 타일공사 직영팀 운영</t>
  </si>
  <si>
    <t>• 도장, 타일공사 직영팀 운영
- 고객서비스팀 산하 직영팀 운영(초기 1팀씩, 효과 확인 후 증원)
- 평상시 준공현장 하자처리 수행, 필요시 현장 지원
- 현장 지원 금액 현장 원가 안분 및 해당 시공 수량 하도급 감액</t>
    <phoneticPr fontId="1" type="noConversion"/>
  </si>
  <si>
    <t>작업의 연속성, 우수노동자 고용 유지 등의 장점보다
리스크가 큰 아이디어로 판단됩니다.</t>
  </si>
  <si>
    <t>CO/Z-PI-CE-3</t>
  </si>
  <si>
    <t>준공 이후 하도급 계좌 변경</t>
  </si>
  <si>
    <t>• 준공 이후 하도급 계좌 변경으로 노무비 닷컴 해지</t>
  </si>
  <si>
    <t>(건축지원팀 협의 완료)
현장마다 상이한 부분이 있으나 현재, 대부분의 현장준공 후 노무비닷컴에서 미적용현장으로 하여 더 이상 수수료를 지급하지 않고 있습니다. 아이디어는 인정되나 과제화는 필요하지 않는 것으로 협의하였습니다.</t>
  </si>
  <si>
    <t>CO/I-E-CE-1</t>
  </si>
  <si>
    <t xml:space="preserve">양창모, 오정화, </t>
  </si>
  <si>
    <t>현장 내 LTE 신호 증폭기 사용</t>
  </si>
  <si>
    <t>현장 내 LTE 신호 증폭기 사용
- SK, KT, LG 협의 현장 내 LTE 중계기 설치 요청
- 현장 진행에 따른 LTE 신호 도달 불가 구간 신호 증폭기 구매/설치</t>
  </si>
  <si>
    <t>건축전기팀에서 검토 진행중 아이템</t>
  </si>
  <si>
    <t>CO/Z-PI-CE-4</t>
  </si>
  <si>
    <t>각종 용역, 구독서비스 팀/현장 간 공유</t>
    <phoneticPr fontId="1" type="noConversion"/>
  </si>
  <si>
    <t>• 용역, 구독 서비스 관리 게시판 등 신설로 필요시 공유</t>
    <phoneticPr fontId="1" type="noConversion"/>
  </si>
  <si>
    <t>sample 현장기준 구독/용역 서비스 현황에 대한 데이터 필요하며, 공유가 가능한 범위 등 base line  추가 분석 필요, 해당 내용 보강 시 제안서 재검토 가능</t>
  </si>
  <si>
    <t>CO/Z-PI-CE-5</t>
  </si>
  <si>
    <t>웹하드 서비스 NAS 대체</t>
    <phoneticPr fontId="1" type="noConversion"/>
  </si>
  <si>
    <t>• 1개 현장에 NAS 설치 후 전 현장 개별 아이디 공유 사용
• 보안 관련 지속 모니터링</t>
  </si>
  <si>
    <t>원가효율화팀/DT팀 기 검토 중인 건으로 DT Security 보안사항 검토 시 문제 없으면 NAS대체 진행 예정</t>
  </si>
  <si>
    <t>EN/M-M-CE-7</t>
  </si>
  <si>
    <t>1806183</t>
  </si>
  <si>
    <t>2을</t>
  </si>
  <si>
    <t>권민수</t>
  </si>
  <si>
    <t>공동주택 냉난방급탕 통합형 열원설비 제안</t>
  </si>
  <si>
    <t>• [공동주택 개선방안]
- 냉방난방급탕 열원 통합설계 대체 
- 공기열 히트펌프 + 수축열 탱크 설계 (전기)</t>
    <phoneticPr fontId="1" type="noConversion"/>
  </si>
  <si>
    <t>시스템 미개발 및 적용시 필요한 법규 개정 필요</t>
  </si>
  <si>
    <t>EN/M-M-CE-8</t>
  </si>
  <si>
    <t>준 개방형 지열설비공사 활용안</t>
  </si>
  <si>
    <t xml:space="preserve">[개선방안]
- 개방형 : 공 무너지지 않는 특허를 가진 특정업체 발굴 
: 타사 대형현장 방문확인 (w/기계팀) 및 준 개방형 지열 설치 현황 파악 
: 무너지지 않는 지열공의 정량적 평가 필요 ex) 100공 설치 中 99공 정상운영  
[개선방안]
1. 준 개방형 지열설계로 1) 냉난방 열원 2) 신재생 의무비율 동시 확보
→ (당초) 열원설계(냉동기,냉각탑,보일러) → (변경) 지열설비공사 대체로 원가절감 (-8억) 예상
→ (당초) 신재생설계(PV,BIPV,집광채광등) → (변경) 지열설비공사 대체로 원가절감 (-2억) 예상
</t>
    <phoneticPr fontId="1" type="noConversion"/>
  </si>
  <si>
    <t>준개방형 지열설계업체 검증 및 열원설계 대체보단 비중확대를 통한 원가절감 검토 필요</t>
  </si>
  <si>
    <t>EN/M-M-CE-9</t>
  </si>
  <si>
    <t>0600068</t>
  </si>
  <si>
    <t>수서역세권TFT</t>
  </si>
  <si>
    <t>심은보</t>
  </si>
  <si>
    <t>판매시설 주방 및 화장실 직배기 적용으로 시공비 절감</t>
  </si>
  <si>
    <t>당해층에서 배기 할 수 있도록 천정내부 휀 및 주방탈취기 적용
화장실 직배기의 경우 선택적으로 탈취기 적용
중수조 배기덕트도 적용 검토</t>
    <phoneticPr fontId="1" type="noConversion"/>
  </si>
  <si>
    <t>현장 VE진행</t>
  </si>
  <si>
    <t>CO/Z-PI-EXP-4</t>
  </si>
  <si>
    <t>2201093</t>
  </si>
  <si>
    <t>박진성</t>
  </si>
  <si>
    <t>신년 캘린더&amp;다이어리 구매금액 절감 방안</t>
  </si>
  <si>
    <t>• 신년 캘린더 및 다이어리 수요조사 시, 사업부별 지원팀에서 해당 사업부의 각 팀의인원+연말
까지 충원 또는 결원될 것으로 정확히 예상되는 인원(예상 불가 시, 현 팀원 수로만 적용)
으로만 수량을 확정하고, 위에 언급된 예상이 불확실한 수량 및 팀장 또는 임원의 영업용 수량은 사업부 지원팀에서
여유 수량을 확보하는 것으로 개선(각 팀에서 요청 시 지원팀에서 불출)</t>
  </si>
  <si>
    <t>CO/Z-PI-EXP-5</t>
  </si>
  <si>
    <t>0900288</t>
  </si>
  <si>
    <t>수서역 대체주차장 신축공사</t>
  </si>
  <si>
    <t>노은식</t>
  </si>
  <si>
    <t>한화 건설 Archive</t>
  </si>
  <si>
    <t>• OPEN SOURCE 형식의 사용자 참여 방식 :  조직원들, 각 현장 및 팀의 데이터를 전사 공동의 공유 및 활용 가능한 데이터로 구축_ 안전, 원가, 품질, 공기 관리 등 전 분야에 관한 기술 자료, 각종 업무 양식, 전사 기준, 금액 자료 및 실제 사례 등 전반위적으로 구성 가능
(특히, 현장 업무 진행 시에 실제 작업을 수행하는 협력업체_ 기술/금액 검토 연락 POOL 및 실제 수행 실적, 특허 등 각종 기술 자료 등 포함)
 → 보안성:  기본적으로 조직원만 로그인하여 접근 가능하도록 ⇒ 자료의 민감성에 따라 접근 권한 및 출력 제한 설정
 → 신뢰성:  업로드 자료의 출처 표기(Ex. 사번 표시) ⇒ 자료에 관한 추가 문의 가능
 → 보상:  자료 업로드의 양과 질에 따라 평가 ⇒ Ex. 인사 평가 등에 반영하여 동기 부여
• 챗 GPT 방식 :  딥러닝 등의 기술을 통해 필요하고, 원하는 자료를 찾아가는 과정의 효율성
제고 (‘APPENDIX. HanmiGPT’ 참조)
 → 자료를 찾는데에 그치지 않고, 실사용에 도움이 되는 검토 진행 및 사용가능한 결과물(특히, 각종 양식_ 내용 기입 포함 등)로 바로 생성하는 등 업무 진행에 효율성을 극대화 할 수 있음
 → 업무 수단으로도 활용 가능 :  Ex. 동영상 및 녹음 파일로 회의록 작성 및 요약, 시사점 도출
    Ex. 협력업체 제출 파일 업로드하여 통합 출력일보 작성, 저장 (→ 추후 업무 자료로 활용)
 → 관리, 안전 업무 등 확장 가능 :  Ex. 경비(교통비, 통신비, 식대 등) 증빙만 업로드 → 결제
양식으로 바로 작성 (해당 업무로 직원 각각 월 1회 최소 1H ~ 반나절 가량 소요 중)</t>
  </si>
  <si>
    <t>한화그룹 AI(AIDA) 운영 중이며, 해당 제안은 AIDA의 최종 고도화 방향. AIDA는 그룹 자체 지식베이스 학습을 통한 답변 형식이며(Chat-GPT아님) 한미글로벌 형태의 Chat-GPT 기반 플랫폼 구축을 위해서는 다수의 인력과 예산이 소요될 것으로 예상됨. 명확한 기대효과 산출 없이 과제화 진행 어려움.</t>
  </si>
  <si>
    <t>CO/D-A/S-CE-1</t>
  </si>
  <si>
    <t>안희진, 송원일, 박준용</t>
  </si>
  <si>
    <t>외주부 인양시스템 분진망 넘버링 명기 의무화</t>
  </si>
  <si>
    <t xml:space="preserve">• 유닛마다 넘버링 명기하여 인양 작업 시 고층부 – 지상 간 의사소통 정확/효율성 증대 도모
 :  현재 타사 등 다수의 현장에 기적용 중이며, 추가 금액 소요 없을 것으로 판단됨
</t>
    <phoneticPr fontId="1" type="noConversion"/>
  </si>
  <si>
    <t>CO/I-YY-CE-1</t>
  </si>
  <si>
    <t>0700235</t>
  </si>
  <si>
    <t>김순철</t>
  </si>
  <si>
    <t>양창모, 고한울, 박재보</t>
  </si>
  <si>
    <t>현장직원 개인 통신비(30,000원) 대체로 태블릿 PC 월렌탈 지급</t>
  </si>
  <si>
    <t>• 각종회의시 출력물 없이 태블릿 PC를 이용하여 회의 진행
• 현장내에서 협력업체 / 감독 / 감리 업무 진행시 공사관련 자료들 실시간 업무에 적용가능
• 향후 개발 업무프로세스도 태블릿 PC를 이용하여 적용 가능</t>
  </si>
  <si>
    <t>아이디어는 참신하나 복리후생 저하될 수 있어, 관련검토가 추가적으로 필요하여 금번에는 미채택 하였습니다.</t>
  </si>
  <si>
    <t>CO/I-TF-CE-9</t>
  </si>
  <si>
    <t>0701850</t>
  </si>
  <si>
    <t>대전역세권 TFT</t>
  </si>
  <si>
    <t>정창수</t>
  </si>
  <si>
    <t>건축사업부 폐기물 처리비 10% 절감</t>
  </si>
  <si>
    <t>• 마감공사와 겹치는 부대토목이나 조경공사시 폐기물 박스를 다지는 비용을 내역화하여 계약
 Ex. 폐기물 박스 처리 (1일 1회 다지기) 
• 협력업체에게 서비스로 요청의 경우가 아닌 일과 종료 또는 일과 전 폐기물을 장비이용하여 다지는 것을 내역화하여 폐기물 비용 절감 가능</t>
    <phoneticPr fontId="1" type="noConversion"/>
  </si>
  <si>
    <t>3번 동일, 제안시기도 유사</t>
  </si>
  <si>
    <t>EN/S-A/S-CE-10</t>
  </si>
  <si>
    <t>지하주차장을 역타 철골보 최적설계 적용에 따른 철골 물량 절감</t>
  </si>
  <si>
    <t>• 지하 (철골)골조는 비내진 상세 및 기준 적용 가능하여 단부보강형(변단면) 철골보 적용 가능
• 장변방향 집중하중 재하 및 단부 보강형(변단면) 철골보 적용으로 구조 부재 최적 단면 크기 구조 계획 추진</t>
    <phoneticPr fontId="1" type="noConversion"/>
  </si>
  <si>
    <t>아이디어 인정, 과제 미채택
해당아이템은 도급계약 이전 사업성 개선 실적</t>
  </si>
  <si>
    <t>EN/S-A/S-CE-11</t>
  </si>
  <si>
    <t>내진설계범주 완화(D→C)에 따른 철골 물량 절감</t>
  </si>
  <si>
    <t>• 기존 지반조사 자료 분석 결과 양질의 지반 확인하여 추가 전단파 속도 자료를 확보하여 내진설계범주 하향(D→C) 적용 가능성 발견 (지진하중 약 20% 경감)
• 당사 기술검토 결과 원설계사에 제안 후 추진 협의 완료
• 백화점 부지 추가 지반조사를 통해 전단파 속도 자료 추가 (NBH-4, NBH-8) 확보하여 내진설계범주 C 산정 후 인허가 得 예정</t>
    <phoneticPr fontId="1" type="noConversion"/>
  </si>
  <si>
    <t>EN/S-A/S-CE-12</t>
  </si>
  <si>
    <t>백화점 지상층 철골보 최적단면 적용 철골 물량 절감</t>
  </si>
  <si>
    <t>• 지상층 철골보 주문형 제작제품 (현대제철 RH+ or 포스코 Pos-H) 적용 검토 제안
• 장변방향 집중하중 재하 및 단부 보강형(변단면) 철골보 적용으로 구조 부재 최적 단면 크기 구조 계획 추진</t>
    <phoneticPr fontId="1" type="noConversion"/>
  </si>
  <si>
    <t>CO/Z-PI-EXP-6</t>
  </si>
  <si>
    <t>0200217</t>
  </si>
  <si>
    <t>서울역 역세권 개발사업 CM</t>
  </si>
  <si>
    <t>황승환</t>
  </si>
  <si>
    <t>신규 컴퓨터 업무프로그램 설치</t>
  </si>
  <si>
    <t>• 전담 인력 등이 사전에 필요한 프로그램을 설치하여 배포하고, 사용자는 사전 품의를 득 해야하는 프로그램만 설치하여 사용함</t>
  </si>
  <si>
    <t>비용이 상승하는 부분으로 TOP과제로 부적합하고 단순 건의사항</t>
  </si>
  <si>
    <t>CO/I-TF-CE-10</t>
  </si>
  <si>
    <t>2202058</t>
  </si>
  <si>
    <t>이철원</t>
  </si>
  <si>
    <t>현장사무실 인버터타입 에어컨 설치</t>
  </si>
  <si>
    <t>• 현장개설 및 현장설명회 진행시 협력사 사무실의 에어컨은 일정연식 이후의 인버터타입 에어컨을 적용하여 설치하도록 명시하며, 협력사 사무실 안전팀 점검시 에어컨 설치현황 점검진행</t>
    <phoneticPr fontId="1" type="noConversion"/>
  </si>
  <si>
    <t>　아이디어 인정 과제 불체택
현장별 상이 및 기적용 현장 다수</t>
  </si>
  <si>
    <t>CO/D-A/S-CE-2</t>
  </si>
  <si>
    <t>9623552</t>
  </si>
  <si>
    <t>유현복</t>
  </si>
  <si>
    <t>BIM을 이용한 철골물량 산출</t>
  </si>
  <si>
    <t>• BIM을 이용하여 실시공용 물량산출을 하여 추정원가 관리 및 정산을 실시하여
협력업체와 정산을 정확히 할 수 있음</t>
    <phoneticPr fontId="1" type="noConversion"/>
  </si>
  <si>
    <t>통합
(46번)</t>
  </si>
  <si>
    <t>프로그램 구매, 현설조건 변경(데이터 파일 제출) 등을 통한 직접관리 추진</t>
  </si>
  <si>
    <t>PR/P-M-CE-3</t>
  </si>
  <si>
    <t>1101071</t>
  </si>
  <si>
    <t>송종원</t>
  </si>
  <si>
    <t>양변기커버 구분 발주</t>
  </si>
  <si>
    <t>• 위생도기 구매자재 발주시 양변기와 양변기커버 별도 항목으로 구성
 양변기커버 수량은 전체양변기수량 – 비데수량으로 산정</t>
    <phoneticPr fontId="1" type="noConversion"/>
  </si>
  <si>
    <t>EN/S-A/S-CE-13</t>
  </si>
  <si>
    <t>1000080</t>
  </si>
  <si>
    <t>박상욱</t>
  </si>
  <si>
    <t>이형강종 합성보(S-Beam) 적용</t>
    <phoneticPr fontId="1" type="noConversion"/>
  </si>
  <si>
    <t>• 철골 beam 설계시 중앙부 모멘트 및 스팬 처짐 등으로 단면 결정. 이때 중앙부의 큰 모멘트 부분은 하부플랜지 영역에서 큰 응력이 발생하며 이 부분의 강도를 상향시키는 공법. 상부 플랜지 및 웨브는 SM355적용하고 하부플랜지는 SM420 적용하는 이형강종 H Section 철골보(S-Beam) 적용</t>
    <phoneticPr fontId="1" type="noConversion"/>
  </si>
  <si>
    <t>아이디어 인정, 과제 미채택
착공 후 현장 VE로 진행</t>
  </si>
  <si>
    <t>CO/I-TF-CE-11</t>
  </si>
  <si>
    <t>2102454</t>
  </si>
  <si>
    <t>김부희</t>
  </si>
  <si>
    <t>현장정리비 별도 내역화 및 현장정리 업체 계약</t>
  </si>
  <si>
    <t>• 협력업체 계약시 현장정리비, 방통타설 대비 현장정리비 별도 내역화.
• 협력업체 계약 전 현장정리계획서(인원투입 시점, 투입인원 등 포함) 제출 및 계약담당자 검토
• 현장정리비용 용역투입 근거 확인 후 기성금 지급
• 외부점검 전 현장 전체 청소, 방통타설 전 청소 등 다수 인원이 필요시 청소전담 업체사용.
• 해당 청소업체 연간단가 계약으로 비용 절감.</t>
    <phoneticPr fontId="1" type="noConversion"/>
  </si>
  <si>
    <t>과제정의서 작성중</t>
  </si>
  <si>
    <t>8차(250219)</t>
  </si>
  <si>
    <t>CO/Z-PI-CE-6</t>
  </si>
  <si>
    <t>0600046</t>
  </si>
  <si>
    <t>김광민</t>
  </si>
  <si>
    <t>복합개발 및 일반건축 관련 현장 전문 설계인력 조직 구축</t>
  </si>
  <si>
    <t>• 원활한 공사 수행을 위해 복합개발 및 일반건축의 설계 기준 정립 및 현장 지원, 파견 등 효율적인 설계 인력 관리를 위한 조직 구축</t>
  </si>
  <si>
    <t>아이디어 인정을 위해서는 추가적인 현황 분석이 필요함
1) 현재 개발사업 involve되어 업무를 진행하는 복합개발사업TF/디자인팀/사업지원팀/기술혁신팀/건축기계팀/건축전기팀 등 설계 관련 유관부서들의 R&amp;R이 문제인 것인지, 수행 인력이 문제인 것인지에 대한 확인 필요함
2) 설계를 통합 관리하는 인력이 필요하다면, 채용으로 확보가 용이하지 않을 것으로 판단되며, 관련한 경험과 레코드를 보유한 설계사와 co-work을 하는것이 적합한 방향으로 판단됨</t>
  </si>
  <si>
    <t>CO/D-TF-CE-1</t>
  </si>
  <si>
    <t>0700699</t>
  </si>
  <si>
    <t>강희혁</t>
  </si>
  <si>
    <t>크렉보수 기준 정립 및 연단가업체 선정</t>
  </si>
  <si>
    <t>• 크렉보수 연단가 업체 선정
  크렉 크키 및 원인에 따른 기술적 구분 등을 통하여 크렉보수 관리 체계화 
  각종 점검 등 즉각적인 대응이 가능하고, 당사만의 콘크리트 품질 기준 정립
• 기존 현장별 크렉 발생 데이터베이스를 통해 연단가 업체 집행으로 원가 절감 유도</t>
    <phoneticPr fontId="1" type="noConversion"/>
  </si>
  <si>
    <t>CO/D-A/S-CE-3</t>
  </si>
  <si>
    <t>0700712</t>
  </si>
  <si>
    <t>배성목</t>
  </si>
  <si>
    <t>현장 內 Mobile B/P 설치</t>
  </si>
  <si>
    <t>• 현장 내 별도의 부지(약 800평) 확보하여 Mobile B/P 설치 時, 일 1,000 m3 안정적 공급 가능
• 부족분 인근 공장 레미콘 출하 요청</t>
  </si>
  <si>
    <t>차후진행</t>
    <phoneticPr fontId="1" type="noConversion"/>
  </si>
  <si>
    <t>(25.06.02)잠실MICE 도급계약 후, 실착공 준비시 추가 검토</t>
  </si>
  <si>
    <t>EN/I-A/F-CE-9</t>
  </si>
  <si>
    <t>강마루 재질 변경 (現 합판 → 섬유판)</t>
  </si>
  <si>
    <t>섬유판 강마루 사용으로 인한 원가 상승 Risk 감소 및 안정정 공급 가능</t>
    <phoneticPr fontId="1" type="noConversion"/>
  </si>
  <si>
    <t>(1차검토 : 미채택)
섬유판 강마루는 현 시점에서 생산업체 Pool 협소, 시공 관리 포인트 증가 등으로 면밀한 시장성 안착 후 적용이 필요한 품목입니다. 현 시점에서도 주요 10개사 중 대우가 유일하게 옵션품목으로만 활용하고 있습니다. 방통의 습기가 완전히 제거되어야만 바닥 품질 확보가 가능하므로 아직까지는 돌관비율이 높은 각 현장 특성을 감안할 때 적용시점이 적절하지 않은 것으로 판단하였습니다.</t>
  </si>
  <si>
    <t>CO/I-ID/H-CE-1</t>
  </si>
  <si>
    <t>양창모, 박재보, 안희진</t>
  </si>
  <si>
    <t>현장 內 개구부 덮개 재질 변경</t>
  </si>
  <si>
    <t>• 플라스틱 개구부 덮개 사용
 개구부덮개 원형 사각형 : 에코세이프티 (naver.com)</t>
  </si>
  <si>
    <t>최근 기계약(서울역북부) 단가 대비 절감 X
(제안 아이템 견적가) 33,000원/ea 
(서울역북부 계약가) 25,000원/ea</t>
  </si>
  <si>
    <t>EN/I-A/F-CE-10</t>
  </si>
  <si>
    <t>0500552</t>
  </si>
  <si>
    <t>유승완</t>
  </si>
  <si>
    <t>공동주택 동일연도 착공현장 공용부 특화 마감재 표준화</t>
  </si>
  <si>
    <t>• 연간 공용부 마감재 규격 / 색상 등을 표준화
- 연간단가 통합 발주
- 현장 시공 표준화
- 하자보수용 자재 발주 Process 개선</t>
    <phoneticPr fontId="1" type="noConversion"/>
  </si>
  <si>
    <t>(1차검토 : 미채택)
FORENA 공동주택 공용부 마감은 현재 상품 등급별로 세 가지로 나누어 표준화 적용되어 있으며, 각 자재 중 특히 현장별로 크게 상이하였던 타일류는 자재를 통일하여 '23년 발주 현장부터 통합발주를 적용하고 있습니다. 이미 시행되고 보완까지 진행중인 제안 내용이므로 과제 채택 범위에서 제외하였습니다.</t>
  </si>
  <si>
    <t>CO/Z-PI-EXP-7</t>
  </si>
  <si>
    <t>0201028</t>
  </si>
  <si>
    <t>미추8구역 재개발</t>
  </si>
  <si>
    <t>이상록</t>
  </si>
  <si>
    <t>종이없는 사무실 조성</t>
    <phoneticPr fontId="1" type="noConversion"/>
  </si>
  <si>
    <t>1. 복사지 사용제한 ---&gt; 인당/팀당 복사용지 배분, 추가사용은 관리조직 관리
2. 종이컵 사용제한 ---&gt; 개인컵 활용
3. 복사지 이면지 활용/ 종이자원 분리수거 재활용 관리</t>
    <phoneticPr fontId="1" type="noConversion"/>
  </si>
  <si>
    <t>24년 판관비 기준 소모성인쇄비 예산은 약 6,700만원 수준이며, 절감이 필요한 분야이나 강제적인 형태의 운영보다는 현장/팀 단위의 절약 캠페인 및 자율적 참여가 적절한 것으로 판단됨</t>
  </si>
  <si>
    <t>EN/M-M-CE-10</t>
  </si>
  <si>
    <t>2201256</t>
  </si>
  <si>
    <t>이태혁</t>
  </si>
  <si>
    <t>매입 스리브 재질 변경</t>
  </si>
  <si>
    <t>• 최초 내역작성시 강관스리브(지수판 포함)을 제외한 슬리브의 재질을 PVC스리브로 내역화 
  현장 검토시 필수로 강관스리브가 필요하지 않은 이상 PVC적용</t>
    <phoneticPr fontId="1" type="noConversion"/>
  </si>
  <si>
    <t>금액미비로 미상정</t>
  </si>
  <si>
    <t>CO/Z-PI-EXP-8</t>
  </si>
  <si>
    <t>복합기 출력시 양면 인쇄 사용</t>
  </si>
  <si>
    <t>• 모든 출력물은 양면 인쇄로 진행
  프린터 기본설정을 양면인쇄로 설정</t>
    <phoneticPr fontId="1" type="noConversion"/>
  </si>
  <si>
    <t>다수의 분들이 출력물 감소에 대해 아이디어를 주셨습니다. 구체적인 방안(ex, 실질적 관리방안)이 부족하여 캠페인성으로 끝날 가능성이 높아 제안으로 불인정하였습니다. 또한, 업무에 따라 호불호가 있을 부분으로 이에 대한 임직원 설득 방법이 필요하나 현 아이디어에서는 내용이 부족합니다.</t>
  </si>
  <si>
    <t>EN/E-E-CE-19</t>
  </si>
  <si>
    <t>2201218</t>
  </si>
  <si>
    <t>최순권</t>
  </si>
  <si>
    <t>강전 케이블 도체 재질 변경</t>
  </si>
  <si>
    <t>• 동(구리)가 아닌 알루미늄합금 도체를 적용한 케이블을 사용하여 공사 비용 절감.</t>
    <phoneticPr fontId="1" type="noConversion"/>
  </si>
  <si>
    <t>통합
(53번)</t>
  </si>
  <si>
    <t>53번 제안과 통합</t>
  </si>
  <si>
    <t>CO/D-Z-CE-1</t>
  </si>
  <si>
    <t>0600098</t>
  </si>
  <si>
    <t>건축안전팀</t>
  </si>
  <si>
    <t>지현종</t>
  </si>
  <si>
    <t>안희진, 안희진, 김태용</t>
  </si>
  <si>
    <t>기타공종</t>
  </si>
  <si>
    <t>우수유도 설비</t>
  </si>
  <si>
    <t>- 계단실 및 AD구간 우수유도 시설 설치</t>
    <phoneticPr fontId="1" type="noConversion"/>
  </si>
  <si>
    <t>CO/I-ID/H-CE-2</t>
  </si>
  <si>
    <t>2100474</t>
  </si>
  <si>
    <t>정인환</t>
  </si>
  <si>
    <t>(소방) 하향식 피난구 덮개에 매미커버 설치</t>
  </si>
  <si>
    <t>• 납품 하향식 피난구에 경첩 등 별도의 시건장치를 설치하는 불합리한 방향보다는
매미 커버를 설치하여 상부에서 필요시 개방하여 자재를 받아 운반하고, 작업 종료시 단순 덮어놓는게 아닌 재시건 (현장에서 개구부가 개방된 것을 보면 별도의 도구가 없이 즉시 폐합)</t>
    <phoneticPr fontId="1" type="noConversion"/>
  </si>
  <si>
    <t>4차(241016)</t>
  </si>
  <si>
    <t>CO/I-TF-CE-12</t>
  </si>
  <si>
    <t>안전환경</t>
  </si>
  <si>
    <t>2201126</t>
  </si>
  <si>
    <t>안전보건운영팀</t>
  </si>
  <si>
    <t>이종선</t>
  </si>
  <si>
    <t>(VITA LOAD NAVIGATOR)</t>
  </si>
  <si>
    <t xml:space="preserve">• 하중에 대한 바람 또는 선회 충격에도 불구하고 사전 설정된 방향으로 하중을 안정적으로 유지함 
• 크레인 움직임 및 바람 조건에 따라 동적으로 조정되어 가장 까다로운 환경에서도 고정밀 리프팅이 가능함
• 인양물 흔들림으로 인한 부딪힘 사고 감소 효과 </t>
    <phoneticPr fontId="1" type="noConversion"/>
  </si>
  <si>
    <t>아이디어가 참신하여 아이디어 제안 인정되나, 국내도입 초기로 관련 원가검토가 추가적으로 필요하여 금번에는 미채택되었으며 추후 관련실적 및 원가투입관련한 내용 보충하여 과제화 진행해보겠습니다.</t>
  </si>
  <si>
    <t>CO/I-ID/H-CE-3</t>
  </si>
  <si>
    <t>0400437</t>
  </si>
  <si>
    <t>이성우</t>
  </si>
  <si>
    <t>CCTV 업체선정 기준 변경</t>
  </si>
  <si>
    <t xml:space="preserve">• 업체선정시 경쟁력있는 업체 선정 
- 연간단가 업체는 계열사를 벗어나 실질적 경쟁력 있는 업체로 선정 
- CCTV업체 수는 계속 증가하고 있으므로 일부 업체만 제한두지 말고 
- 매년 신규 선발 또는 현장에 소개 
• 임대 -&gt; 구매로 하여 타현장 지속 사용 </t>
    <phoneticPr fontId="1" type="noConversion"/>
  </si>
  <si>
    <t>아이디어가 참신하여 아이디어 제안 인정되나, 업체선정 기준변경 관련검토가 추가적으로 필요하여 금번에는 미채택 하였습니다.</t>
  </si>
  <si>
    <t>PR/C-A/F-CE-1</t>
  </si>
  <si>
    <t>9623611</t>
  </si>
  <si>
    <t>고객서비스팀(현장)</t>
  </si>
  <si>
    <t>이성섭</t>
  </si>
  <si>
    <t>고한울, 송원일, 김태용</t>
  </si>
  <si>
    <t>PL창짝에 유리끼우기 공장 시행으로 양중 및 공정 개선</t>
  </si>
  <si>
    <t xml:space="preserve">• 공장에서 PL창짝에 유리 끼우기 작업 후 현장에 반입하여 양중 즉시 PL창 설치 완료 가능 
→ 현장 양중 횟수 감소 
→ 세대에서 PL창짝에 유리끼우기, 코킹 양생 후 창짝 끼우기 등의 공정이 양중 후 즉시 끼우기로 단순화되어 현장 업무 개선 효과
</t>
    <phoneticPr fontId="1" type="noConversion"/>
  </si>
  <si>
    <t>통합
(167번)</t>
  </si>
  <si>
    <t>타사에서 적용 사례가 있으며, 유관부서와 개략적인 검토 후
실효성 있을시 과제선정을 할 수 있습니다.</t>
  </si>
  <si>
    <t>CO/D-A/S-CE-4</t>
  </si>
  <si>
    <t>1105005</t>
  </si>
  <si>
    <t>아산배방 생활숙박시설</t>
  </si>
  <si>
    <t>오정출</t>
  </si>
  <si>
    <t>세대 자재인양구(필러서포트용) 추가설치</t>
  </si>
  <si>
    <t xml:space="preserve"> 자재인양구 타설 시 추가 슬리브 설치하여, 하부층 폐합 후 필러 서포트 상부층 인상 시 추가 슬리브 사용하여 작업.
- 자재인양구 세대 중앙부 위치로 인상에 효율적.
- 하향식 피난구 사용금지로 자재파손 방지
- 하향식 피난구 사용 시 개구부 방치 등으로 추락 사례 방지 가능</t>
    <phoneticPr fontId="1" type="noConversion"/>
  </si>
  <si>
    <t>통합
(116번)</t>
  </si>
  <si>
    <t>CO/Z-PI-CE-7</t>
  </si>
  <si>
    <t>1601851</t>
  </si>
  <si>
    <t>오남영</t>
  </si>
  <si>
    <t>장비, 가설구조물 전문가 신규 채용</t>
  </si>
  <si>
    <t xml:space="preserve">• 전문화 및 역량강화
 - 타워크레인, 시스템동바리, 갱폼 최초 셋팅 시 확인 점검(history 관리) 및 교육
(현행 3rd Party 점검이 진행되나, 관련 직원에 대한 교육 사항은 제한적 실행. ) </t>
  </si>
  <si>
    <t>CFT구성이 난해하며 원가절감이나 프로세스 개선인 TOP활동에 부합되기 어렵습니다. 건의사항으로 해당업무 주관팀에서 진행해야할 업무입니다.</t>
  </si>
  <si>
    <t>CO/D-PI-CE-1</t>
  </si>
  <si>
    <t>9606424</t>
  </si>
  <si>
    <t>1갑</t>
  </si>
  <si>
    <t>김주년</t>
  </si>
  <si>
    <t>안희진, 박재보, 고한울</t>
  </si>
  <si>
    <t>송원일</t>
  </si>
  <si>
    <t>돌관공사 최소화를 위한 공사초기 셋팅 집중관리</t>
    <phoneticPr fontId="1" type="noConversion"/>
  </si>
  <si>
    <t xml:space="preserve">• 본공사 착공후 가설공사와 토공사 착공단계 까지 초기에 타이트한 관리를 통해 돌관공사 최소화 </t>
    <phoneticPr fontId="1" type="noConversion"/>
  </si>
  <si>
    <t>PR/C-PI-CE-4</t>
  </si>
  <si>
    <t>1203264</t>
  </si>
  <si>
    <t>권지희</t>
  </si>
  <si>
    <t>공동수급 신규 현장의 경우 도급계약 체결 시 ‘공동수급협정서’ 필수 작성 문서로 프로세스 변경 요청</t>
  </si>
  <si>
    <t>공동 수급 신규 현장의 경우 ‘일괄 하도급보증보험’ 가입하면 일반 하도급보증보험 가입 차액이 최소 3천만원 이상의 절감 효과</t>
  </si>
  <si>
    <t>JV현장이 운영됨에 있어 '공동수급협정서' 작성은 법적으로
필수적으로 작성하게 되어 있습니다. 추가적인 아이디어 제안
이라기 보다는 당연히 해야되는 업무이므로 해당 업무를 놓치지 않는 프로세스 방안이 필요합니다.</t>
  </si>
  <si>
    <t>EN/E-E-CE-20</t>
  </si>
  <si>
    <t>0400575</t>
  </si>
  <si>
    <t>박광희</t>
  </si>
  <si>
    <t>컴팩트 수배전반 타입 적용을 통한 원가절감</t>
    <phoneticPr fontId="1" type="noConversion"/>
  </si>
  <si>
    <t>• 고압반(HV) 컴팩트 타입적용을 통한 원가절감
1. 4면 일반타입에서 2면 컴팩트타입 변경을 통해 설치면수 감소(-2면)
2. 면수 가소에 따라 전기실 공관활용성 증대 기대</t>
    <phoneticPr fontId="1" type="noConversion"/>
  </si>
  <si>
    <t>건축전기팀에서 검토 진행중</t>
  </si>
  <si>
    <t>PR/P-L-CE-1</t>
  </si>
  <si>
    <t>1202938</t>
  </si>
  <si>
    <t>서용호</t>
  </si>
  <si>
    <t>박재보, 양창모, 차원재</t>
  </si>
  <si>
    <t>조경</t>
  </si>
  <si>
    <t>조경시설물 구매 직발주 전환</t>
  </si>
  <si>
    <t>• 공장검수, 면담, 샘플시공 발주(비용지불) 등의 검증절차를 거쳐 구매 업체 Pool 운영하여 조경시설물 당사 직접 발주 (우수 Sample 수행 중 현장 납품을 통한 투자비 회수 가능)
• 기존 등록공종과 마찬가지로 매년 협력업체 평가 및 신규등록을 통한 원가 경쟁구도 형성
• 하자 책임소재의 구분 명확화를 통한 원가상승(입찰 시 하자보수 예상비용 반영) 요인 제거</t>
  </si>
  <si>
    <t>PR/C-A/S-CE-1</t>
  </si>
  <si>
    <t>0601377</t>
  </si>
  <si>
    <t>우형민</t>
  </si>
  <si>
    <t>고한울, 송원일, 박준용</t>
  </si>
  <si>
    <t>Gang-Form 관련 추가 사양 품목 연간 단가 계약 추진</t>
  </si>
  <si>
    <t>#1. ELEV. 방호선반 : 안전사고 예방, 연단가化 비용 절감
#2. 소음방지판넬 : 민원 대응, 연단가化 비용 절감
#3. 이탈방지레일 : 안전사고 예방, 연단가化 비용 절감
#4. 차양시설 : 온열질환 예방, 근로자 휴게시 그늘 제공
• 외주팀 : 갱폼 관련 추가 사양 연간 단가 업체 선정(품목별 제조사, 최저가 입찰)
• 외주팀 &amp; 현장 : 갱폼 납품 업체 선정
(현장별 적용 추가 사양 지정 → 갱폼 납품 현설 및 입찰 → 업체선정 → Shop Dwg. 
→ 추가 사양 품목 수량 산출)
• 외주팀 &amp; 현장 : 갱폼 추가 사양 업체 연단가 계약 시행품의
• 갱폼 차양시설 제작/설치 방안 연구 → 제조/납품/설치업체 발굴</t>
    <phoneticPr fontId="1" type="noConversion"/>
  </si>
  <si>
    <t>안전 및 품질에 대한 사회적 관심이 높아지면서 갱폼의 추가
사양을 적용하고, 연간단가 계약을 통해 품질과 원가절감을
함께 추진할 수 있습니다.
(25.06.02)갱폼 관련 아이디어 제안들 모아서 추진 가능 여부 검토</t>
  </si>
  <si>
    <t>PR/P-PI-CE-2</t>
  </si>
  <si>
    <t>1002918</t>
  </si>
  <si>
    <t>이병수</t>
  </si>
  <si>
    <t>(인프라)철근발주시 규격별 세분화 발주를 통한 할증 저감</t>
  </si>
  <si>
    <t xml:space="preserve">발주시 철근샵 검토를 통해 loss량 줄여 소요 규격별 세분화 발주를 정착시키고자 함
Ex. 100톤 발주(8m 장철근 일괄) → 100톤 발주(6m 20톤, 8m 50톤,10m 30톤) </t>
    <phoneticPr fontId="1" type="noConversion"/>
  </si>
  <si>
    <t>개발/건축은 기시행 중이며 인프라 사업부에 해당되는 내용입니다. 금번, 아이디어 제안은 인프라 사업부는 해당되지 않아 제안 포상은 죄송하게도 미지급됩니다. 다만, 인프라지원팀 및 구매팀에 내용은 전달하겠습니다</t>
  </si>
  <si>
    <t>EN/M-M-CE-11</t>
  </si>
  <si>
    <t>0601386</t>
  </si>
  <si>
    <t>환경기술팀</t>
  </si>
  <si>
    <t>이용준</t>
  </si>
  <si>
    <t xml:space="preserve">프리미엄 환기시스템 추가 옵션 </t>
  </si>
  <si>
    <t>추가 옵션 선택에 따른 이윤 발생
- 시스템 에어컨과 전열교환기 연동제어를 통한 에너지 절감효과 어필로 옵션선택율 상승효과 기대
- 단위세대 기준 세대당 00만원 추가 이윤 발생 
: ex) 옵션금액 140만원 / 납품금액 110만원 Sim (옵션 선택율 30% 기준 / 포스코이앤씨 최근 분양 더샵 기준)
: 000 세대 기준 00억 추가 이윤 예상 (옵션금액 확인 및 세대환기설비공사 원가상승으로 변동가능)</t>
    <phoneticPr fontId="1" type="noConversion"/>
  </si>
  <si>
    <t>옵션화 방안은 긍정적이나, 기시행된 아이디어</t>
  </si>
  <si>
    <t>PR/C-A/F-CE-2</t>
  </si>
  <si>
    <t>1703077</t>
  </si>
  <si>
    <t>장동호</t>
  </si>
  <si>
    <t>난간대 공사 통합 발주 및 연간단가 체결</t>
  </si>
  <si>
    <t>• 계단난간, 발코니난간, 금속난간을 난간대 공사로 통합하여 발주하며, 업체 풀은 난간대 생산가능 업체로 구성하여 원가 절감 유도.
• 포레나 2.0 표준상세를 바탕으로 연간단가 체결하여 규모의 경제를 활용하여 추가 원가절감
• 연간단가 체결하여 현장 발주 업무 간소화 도모</t>
    <phoneticPr fontId="1" type="noConversion"/>
  </si>
  <si>
    <t>EN/EX-A/F-CE-3</t>
  </si>
  <si>
    <t>1402803</t>
  </si>
  <si>
    <t>정다희</t>
  </si>
  <si>
    <t>공동주택 외벽 마감자재 변경</t>
  </si>
  <si>
    <t>• 외벽 마감재 변경 (기존 석재→타일)을 통한 시공성 향상 및 자재비 절감 효과 기대
- 자재 경량화에 따른 시공성 향상 (석재 단위중량 80kg , 타일 45kg)
- 석재 대비 패턴 및 디자인 다양하여 포레나 등급 별 익스테리어디자인 다각화 가능</t>
    <phoneticPr fontId="1" type="noConversion"/>
  </si>
  <si>
    <t>(1차검토 : 미채택)
타일의 경우 석재 대비 시공디테일 처리 등에 있어 석재 대비 까다로워 추가로 직공비 검토가 필수적입니다. 현재 FORENA 2.0 단일 석종(오련회) 단가 23,000원/M2로 타일과 비슷하거나 더 저렴합니다.
최근 사례를 검토했을 때 주거동에 타일을 직접 적용한 현장은 오히려 석재 대비 고급화를 필요로 하는 강남권 위주로 적용되어 원가절감의 방향보다는 도급 상향을 위한 업그레이드 아이템으로 쓰이고 있음을 고려하여 최종적으로 제안은 인정하였으나 과제 채택은 적절하지 않음으로 평가하였습니다.</t>
  </si>
  <si>
    <t>CO/Z-PI-EXP-9</t>
  </si>
  <si>
    <t>0300098</t>
  </si>
  <si>
    <t>황효진</t>
  </si>
  <si>
    <t>협력사 안전재해/하자보수 집계 시스템 개발</t>
  </si>
  <si>
    <t>-단기적으론 절감효과를 볼수 없다고 생각할수 있으나 장기적으로 봤을때 꾸준히 데이터가 쌓이고 공유가 된다면 민원, 하자 개선, 포레나 이미지에도 영향을 줄수 있음(하자없는 포레나)</t>
  </si>
  <si>
    <t>프로세스 변경은 필요합니다. 다만, 시스템 연동에 대한 검토가
 필요합니다.</t>
  </si>
  <si>
    <t>EN/I-A/F-CE-11</t>
  </si>
  <si>
    <t>1700666</t>
  </si>
  <si>
    <t>디자인팀(현장)</t>
  </si>
  <si>
    <t>강석완</t>
  </si>
  <si>
    <t>공동주택 세대내 비내력벽 설계기준 변경</t>
  </si>
  <si>
    <t>• 경량벽체, 비내력 골조벽간 호환 가능 하도록 두께 조정, 통일
Ex) 경량벽체 - 비내력 벽체 두께 기준 통일 : 120mm 
경량벽체 – 0.5B 조적간(욕실) 벽체 두께 기준 통일 : 150mm 
• 비내력 골조벽 경량벽체로 변경하여 건식+습식공사 간소화</t>
    <phoneticPr fontId="1" type="noConversion"/>
  </si>
  <si>
    <t xml:space="preserve">(1차검토 : 타 과제와 통합 검토중_19,45,132번)
세대 관련 여러 제안사항과 함께 통합하여 검토 필요한 제안사항입니다. 내벽 두께에 대한 VE도 물론 필요한 사항이라 제안 인정여부에 대해서 추가 검토를 진행할 예정입니다. </t>
  </si>
  <si>
    <t>CO/Z-ID/Z-EXP-1</t>
  </si>
  <si>
    <t>1003081</t>
  </si>
  <si>
    <t>강승훈</t>
  </si>
  <si>
    <t>차원재, 차원재, 양창모</t>
  </si>
  <si>
    <t>기타경비</t>
  </si>
  <si>
    <t>천장형 전기차 충전 사업화(시공기술 개발)</t>
  </si>
  <si>
    <t>기술보완을 통한 추가 원가절감 및 대외판매 증대</t>
    <phoneticPr fontId="1" type="noConversion"/>
  </si>
  <si>
    <t>(1차검토 : 채택)</t>
  </si>
  <si>
    <t>EN/EX-L-CE-1</t>
  </si>
  <si>
    <t>0500392</t>
  </si>
  <si>
    <t>디자인팀</t>
  </si>
  <si>
    <t>권재훈</t>
  </si>
  <si>
    <t>김태용, 양창모, 차원재</t>
  </si>
  <si>
    <t>정비사업(인천학익4) 조경 특화 제안</t>
  </si>
  <si>
    <t>조경특화 제안으로 수익 창출</t>
    <phoneticPr fontId="1" type="noConversion"/>
  </si>
  <si>
    <t>(1차검토 : 미채택 / '24년 하반기 추가 과제화 예정)
현재는 특정 현장(학익4)에 국한된 아이템으로, 실질적인 가시 단계(하반기)에 추가 과제화 리스트에 포함할 예정입니다.</t>
  </si>
  <si>
    <t>CO/Z-PI-SNA-1</t>
  </si>
  <si>
    <t>2400572</t>
  </si>
  <si>
    <t>고객서비스팀</t>
  </si>
  <si>
    <t>김여진</t>
  </si>
  <si>
    <t>판관비</t>
  </si>
  <si>
    <t>세금계산서 및 법인카드 상신시 문서제목에 팀명 추가</t>
    <phoneticPr fontId="1" type="noConversion"/>
  </si>
  <si>
    <t>문서제목에 팀명이 기재되어있지 않아 상세내용 찾기가 어려움</t>
    <phoneticPr fontId="1" type="noConversion"/>
  </si>
  <si>
    <t>ITSM으로 의뢰하면 적용예정</t>
  </si>
  <si>
    <t>EN/M-M-CE-12</t>
  </si>
  <si>
    <t>1302544</t>
  </si>
  <si>
    <t>강한승</t>
  </si>
  <si>
    <t>가설 오수 배관 골조 벽체 매립 </t>
  </si>
  <si>
    <t>골조 공사 진행 시 계단실 등 골조벽체에 오수 배관(PB 배관) 매립을 함으로써 매립된 배관에 소변기 설치</t>
    <phoneticPr fontId="1" type="noConversion"/>
  </si>
  <si>
    <t xml:space="preserve">오수배관 매립시공으로 가설공사 시공성은 향상되나, 추후 하자 및 민원 발생 우려가 있어 과제채택에는 한계가 있음 </t>
  </si>
  <si>
    <t>EN/I-A/F-CE-12</t>
  </si>
  <si>
    <t>2203413</t>
  </si>
  <si>
    <t>품질관리팀</t>
  </si>
  <si>
    <t>김선훈</t>
  </si>
  <si>
    <t>안방 발코니 건식화</t>
  </si>
  <si>
    <t>안방 발코니 건식화, 타일 방통 몰탈 두께 축소</t>
    <phoneticPr fontId="1" type="noConversion"/>
  </si>
  <si>
    <t>(1차검토 : 미채택)
발코니를 유지한 상태에서 건식화를 적용하는 사항은 발코니 자체의 기능(빨래건조대)과 상충되는 사항입니다. 현재 DL, 롯데건설이 적용중인 안방 발코니 완전 확장을 중점적으로 검토하고 있으며, 상품성과도 밀접한 관련이 있어, 마케팅, 사업, 디자인, 기계/전기팀과 추가 검토를 진행하여 안방 발코니는 완전 확장하는 평면으로 변경 검토할 예정입니다.</t>
  </si>
  <si>
    <t>EN/M-M-CE-13</t>
  </si>
  <si>
    <t>2203378</t>
  </si>
  <si>
    <t>김재현</t>
  </si>
  <si>
    <t xml:space="preserve">기계설비 설계기준 개정 </t>
  </si>
  <si>
    <t>• 타사대비 보수적인 설계기준 개정
- 지하주1을 열선범위/단위세대 급수입상관/옥외배관매립레벨
• 기타 설계기준 개정
- (당초)욕실 직배기 시 주방쪽 외벽으로 우회 도출
  (변경) 욕실 인접한 방 커튼박스 300축소 이후 각방 외벽으로 토출</t>
  </si>
  <si>
    <t>열선적용 범위 및 입상관 설계조정은 채택. 단, 욕실휀 배관의 인접방으로의 배관유도는 냄새하자등을 고려 부적절함</t>
  </si>
  <si>
    <t>CO/Z-ID/Z-CE-1</t>
  </si>
  <si>
    <t>2203393</t>
  </si>
  <si>
    <t>김태호</t>
  </si>
  <si>
    <t>비품 연간단가 시행</t>
  </si>
  <si>
    <t>• 비품 연간단가 시행하여 비품 구매 비용절감 
(MRO 업체 선정을 통한 비품 구매 통합 관리,
사무용품, 소모품, 탕비용품 등 구매 가능)</t>
    <phoneticPr fontId="1" type="noConversion"/>
  </si>
  <si>
    <t>현장지원팀 검토 중</t>
  </si>
  <si>
    <t>12차(050623)</t>
  </si>
  <si>
    <t>현장지원팀 김남호 과장 과제 수행</t>
  </si>
  <si>
    <t>EN/E-E-CE-21</t>
  </si>
  <si>
    <t>1103626</t>
  </si>
  <si>
    <t>양준호</t>
  </si>
  <si>
    <t xml:space="preserve">공동주택 통합배선 및 홈네트워크 간선 변경에 따른 금액절감 </t>
  </si>
  <si>
    <t>각 동별 최하층 TPS에 통합 IDF함 설치</t>
    <phoneticPr fontId="1" type="noConversion"/>
  </si>
  <si>
    <t>유관부서 협의 중. 설계변경안에 따른 절감금액 추가검토 필요</t>
  </si>
  <si>
    <t>CO/D-A/S-CE-5</t>
  </si>
  <si>
    <t>1300238</t>
  </si>
  <si>
    <t>우상민</t>
  </si>
  <si>
    <t>AL폼 슬라브 코팅제 (박리제 대용) 적용 </t>
  </si>
  <si>
    <t>거푸집 박리제 자재변경을 통한 시공성 개선, 우발손실 방지 및 품질확보</t>
    <phoneticPr fontId="1" type="noConversion"/>
  </si>
  <si>
    <t>EN/I-A/F-CE-13</t>
  </si>
  <si>
    <t>0703041</t>
  </si>
  <si>
    <t xml:space="preserve">계단실 기준층(벽, 천정) / E/V홀(천정) 무늬코트 마감 삭제 </t>
  </si>
  <si>
    <t>고객의 통행이 많은 계단실 저층부(3F이하)는 제외하고 계단실 기준층(3F이상)과 E/V홀 천정부위의 무늬코트마감을 삭제</t>
    <phoneticPr fontId="1" type="noConversion"/>
  </si>
  <si>
    <t>(1차검토 : 미채택)
현재 무늬코트를 제외하고 계단실의 견출 등 골조 정리를 손 쉽게 커버할 수 있는 다른 대체수단이 뚜렷하지 않아 본 제안사항은 인정하지 않기로 결정되었습니다.</t>
  </si>
  <si>
    <t>CO/D-A/S-CE-6</t>
  </si>
  <si>
    <t>1300826</t>
  </si>
  <si>
    <t>이호승</t>
  </si>
  <si>
    <t>철근 Shop Dwg. 담당 부서 신설</t>
  </si>
  <si>
    <t>• 철근 shop dwg. 작성 전담 부서 신설
• 철근 shop dwg. 작성에 전문성을 지닌 직원 채용(또는 기존 직원 순환 배치)
• 골조공사시 철근 shop dwg. 작성 전담 직원 파견(1명)
• 철근 shop dwg. 작성지침을 정하고 최적화 설계
• 철근 shop dwg. 전담 부서에서 전 현장 철근 사용량 관리</t>
    <phoneticPr fontId="1" type="noConversion"/>
  </si>
  <si>
    <t>EN/I-A/F-CE-14</t>
  </si>
  <si>
    <t>2201275</t>
  </si>
  <si>
    <t>조성환</t>
  </si>
  <si>
    <t xml:space="preserve">공동주택 로이유리 사용 최적화 방안 </t>
  </si>
  <si>
    <t>단위세대 북향 창의 경우, 로이유리 대신 단열성능을 갖춘 복층 일반유리 설치</t>
  </si>
  <si>
    <t>(1차검토 : 미채택)
현재 제주도를 제외하고 친환경주택의 건설기준을 만족하는 수준에서 로이유리를 제외한 복층유리를 적용할 수 없으므로, 본 제안사항은 인정하지 않기로 결정되었습니다.</t>
  </si>
  <si>
    <t>CO/D-A/F-CE-3</t>
  </si>
  <si>
    <t>조선연</t>
  </si>
  <si>
    <t>생활성/사용성 하자 사전방지 시스템 구축을 통한 보수비용 절감</t>
  </si>
  <si>
    <t>- 키불출 기준 1개월(기간 미정)후 오염, 스크레치, 긁힘, 찢김 등의 생활성/사용성 하자 접수 불가 기준 확립 및 입주시 배포, 입주자 확인
-&gt; 입주자 거부시 대응 방안 마련 필요
-&gt; 하자처리를 기피하려는게 아닌 추후 갈등을 피하기 위한 목적임을 입주자에게 인식시켜 입주자의 거부감을 없애야 함</t>
    <phoneticPr fontId="1" type="noConversion"/>
  </si>
  <si>
    <t>EN/I-A/F-CE-15</t>
  </si>
  <si>
    <t>정용휘</t>
  </si>
  <si>
    <t>V.E 전담팀 운영(기존 프리콘팀)</t>
  </si>
  <si>
    <t>전담팀을 운영하면 V.E관련 노하우 축적으로 시간도 절약되고 기본적인 적용 항목을  선정할 수 있어 효과적일 것으로 생각됨</t>
    <phoneticPr fontId="1" type="noConversion"/>
  </si>
  <si>
    <t>(1차검토 : 미채택)
조직구성에 대한 부분은 TOP 업무 범위에 벗어나는 부분으로 본 제안사항은 과제에 포함될 수 없음을 안내 드립니다.</t>
  </si>
  <si>
    <t>EN/M-M-CE-14</t>
  </si>
  <si>
    <t>1103496</t>
  </si>
  <si>
    <t>이형철</t>
  </si>
  <si>
    <t>일반건축물 공조배관 드레인 입상배관 관종 변경 검토</t>
  </si>
  <si>
    <t xml:space="preserve">(당초) 강관 → (변경) PVC 
강관 대비 경량 및 조립이 용이하여 투입비용 절감 및 시공성 향상 </t>
    <phoneticPr fontId="1" type="noConversion"/>
  </si>
  <si>
    <t>배관자재 변경으로 자재비 및 인건비 절감효과 예상
당사 설계기준 변경 필요</t>
  </si>
  <si>
    <t>EN/I-A/F-CE-16</t>
  </si>
  <si>
    <t>0600052</t>
  </si>
  <si>
    <t>충주 용산주공 재건축</t>
  </si>
  <si>
    <t>이무근</t>
  </si>
  <si>
    <t>복합공정 부위 3D 시뮬레이션 구현</t>
  </si>
  <si>
    <t xml:space="preserve">• 주방, 욕실, 현관, 거실(천정) 등 복합 공정의 검토가 필요한 부위 3D 시뮬레이션 구현
•  현장 셈플시공前 3D 시뮬레이션 프리콘을 통한 유관공정 검토 가능 
•  단계적 시행을 통한 내부 기술력 확보
  -&gt; '25년 단위세대 복합공정 부위(주방, 욕실, 현관, 거실) 시뮬레이션 구현
  -&gt; '26년 공동주택, 초고층 기준층 1CYCLE 구현
  -&gt; '27년~'30년 공사 일련의 과정을 3D시뮬레이션으로 프리콘 시행 (초기가설-&gt;골조-&gt;마감-&gt;부대토목-&gt;조경) </t>
  </si>
  <si>
    <t>(1차검토 : 미채택)
제안하신 시뮬레이션 적용에 따른 투입비 및 활용성에 대해서 공동주택의 경우 효용대비 과도하다 판단되어 본 제안은 인정하지 않기로 결정되었습니다.</t>
  </si>
  <si>
    <t>CO/I-PI-CE-1</t>
  </si>
  <si>
    <t>2203376</t>
  </si>
  <si>
    <t>이동욱</t>
  </si>
  <si>
    <t>양창모, 박재보, 고한울</t>
  </si>
  <si>
    <t>하자소송비 절감 및 품질향상 방안</t>
  </si>
  <si>
    <t xml:space="preserve">• 설계도면,시방서검토 및 내역단순화로 소송리스크 제거
• 주요 공종의 소송비 절감 및 공사비 절감 방안
• 현장시공단계에서의 주요 하자 공종, 본 공사 자료 확보 
• Mock-up 전∙후로 주요 하자공종에 대한 품질점검 </t>
    <phoneticPr fontId="1" type="noConversion"/>
  </si>
  <si>
    <t>EN/I-A/F-CE-17</t>
  </si>
  <si>
    <t>0600066</t>
  </si>
  <si>
    <t>김태준</t>
  </si>
  <si>
    <t>가전업체(삼성 비스포크, LG SIGNATURE 등) 콜라보 단지조성</t>
  </si>
  <si>
    <t>• 가전제품의 경우 묶음으로 구매할 경우 할인 폭이 높아짐
• 묶음으로 가전을 구매할 경우 추가되는 가전제품도 동일 회사 제품을 선택할 가능성이 높음
• 동일회사제품으로 가전을 구성하게 되면 스마트홈 반영에 매우 유리함
• 삼성 및 LG전자 모두 가전제품 구독서비스를 운영하고 있어 초기 투입비용에 대한 부담을 줄여주며 하자 및 민원에 대한 서비스 운영을 가전회사에 전가할 수 있음
• 공동주택 시공의 특성 상 준공 전 해당 가전 중 일부는 사전 설치되어야 하므로 가전제품 외형에 대한 빌트인 특성을 반영해야 함</t>
  </si>
  <si>
    <t>(1차검토 : 미채택)
현재 월패드 IoT 연동기능 확보를 위해 당사는 분양 시 LG 제품 위주로 통일하여 유상옵션 품목 구성을 하고 있으며, 삼성 제품은 당사 월패드 연동기능이 확보되지 않아(삼성_연동기능 확보 위한 개발비 투입 거부) 적용되고 있지 않습니다. 묶음 구매 또는 구독 등의 사항은 매출 셰어 특성인 가전옵션 품목에 있어 당사 수익성을 저해할 수 있으므로 제안은 인정하되 과제화 사항에서는 제외하였습니다.</t>
  </si>
  <si>
    <t>EN/I-A/F-CE-18</t>
  </si>
  <si>
    <t>입주지원센터 사무실 건축현장 실시공 반영</t>
  </si>
  <si>
    <t xml:space="preserve">• 준공 후 건축현장 사무실 철수 시 일부 자재류 재활용 가능
- 잉여 테이블 및 의자, 파티션, 케비넷 등을 입주지원센터로 이동하여 재활용 가능
• 당 현장 시공 시 입주지원센터 사무실 공사를 반영하여 추 후 공사대비 원가절감
• 입주지원센터 사무실 임대료 및 이사비용 등 절감
• 입주지원센터 사무실 이동으로 인한 입주민 불편사항 최소화 </t>
  </si>
  <si>
    <t>(1차검토 : 미채택 / '24년 하반기 과제화 예정_151,172통합)
제안 내용을 반영하기 위해서는 지하 PIT가 바닥면적에 산입되어야 합니다. 초기 설계 시 이미 해당 공간이 향후 발주처에 창고 또는 사무실 등으로 제공될 수 있도록 협의가 완료된 현장에 적용 가능하므로, 향후 위 조건을 만족할 수 있는 경우로 한정하여 제안을 보완 후 재 제출해주시기 바랍니다.</t>
  </si>
  <si>
    <t>CO/D-A/F-CE-4</t>
  </si>
  <si>
    <t>2202046</t>
  </si>
  <si>
    <t>유병욱</t>
  </si>
  <si>
    <t>원인불명 및 非방수 구간 누수 연간단가 유도 배관 처리</t>
    <phoneticPr fontId="1" type="noConversion"/>
  </si>
  <si>
    <t>• 유도배관 설치 연간 단가 시행으로 빠른 처리
- 빠른 처리 위해 간단한 서면 보고 후 바로 시행.
- 빠른 누수처리 하여 추가 손상되는 마감재  보호 및 고객만족 상승.</t>
    <phoneticPr fontId="1" type="noConversion"/>
  </si>
  <si>
    <t>EN/EX-A/F-CE-4</t>
  </si>
  <si>
    <t>1300236</t>
  </si>
  <si>
    <t>송용화</t>
  </si>
  <si>
    <t>외벽 도장 마감재 변경을 통한 하자보수비용 절감</t>
  </si>
  <si>
    <t>• 외부용 친환경 실리콘 페인트 적용
특징 : 방수성과 내오염성 우수 / 재도장 주기를 크게 연장하여 건물의 유지보수비용 절감 / 콘크리트 중성화 방지</t>
  </si>
  <si>
    <t>(1차검토 : 검토중)
KS2급:5만원/통, KS1급:6.5만원/통, 실리콘:9.5만원/통
(KS2급 내구연한 3~4년, 실리콘 9년 이상)</t>
  </si>
  <si>
    <t>EN/EX-A/S-CE-1</t>
  </si>
  <si>
    <t>2101024</t>
  </si>
  <si>
    <t>김주복</t>
  </si>
  <si>
    <t>설계변경 선 반영을 통한 하자보수비용 절감</t>
  </si>
  <si>
    <t>보도블럭과 상가 입구와 100mm 이상 단차를 두어 우수유입 방지,입구부위는 동일 레벨, 이외 부위는 보도블럭 구배를 주어 100mm 이상 단차 시공 설계 반영</t>
    <phoneticPr fontId="1" type="noConversion"/>
  </si>
  <si>
    <t>(1차검토 : 미채택)
제안 자체는 매우 타당한 내용입니다만, 해당 단차 및 구배 사항을 건축도면에 적용하기 위해서는 약 2m 정도의 보도 길이가 확보되어야 합니다. 현장별 근생 앞 제반사항이 서로 다르기 때문에, 그리고 도정사업의 경우 기반시설과 공동주택 공사 주체가 서로 상이하기 때문에 위 제안 사항이 해결하고자 하는 문제점은 각 현장별 노력이 필요한 사항이며 매뉴얼화 하거나 표준 지침을 제정하기에는 적당한 주제가 아니므로 제안은 인정하고 과제화 사항에서는 제외하였습니다.</t>
  </si>
  <si>
    <t>EN/M-M-CE-15</t>
  </si>
  <si>
    <t>2102429</t>
  </si>
  <si>
    <t>강성준</t>
  </si>
  <si>
    <t>실외기실 에어컨 드레인 표준시공 확립</t>
  </si>
  <si>
    <t>• 에어컨 응축수 드레인 처리 방안 표준시공 확립
1. 전유부 : 에어컨 응축수 방류 → 바닥 배수구 or 수직 배관 삽입으로 확립 (이경엘보 사용)
2. 공용부(외부 제외) : 실외기 드레인판 및 바닥배수구 연결 내역 확인 및 반영</t>
    <phoneticPr fontId="1" type="noConversion"/>
  </si>
  <si>
    <t>에어컨 드레인 당해층배수 표준화 안 참조(기술공지)</t>
  </si>
  <si>
    <t>EN/I-A/F-CE-19</t>
  </si>
  <si>
    <t>0500561</t>
  </si>
  <si>
    <t>대전 학하 민간임대</t>
  </si>
  <si>
    <t>최민우</t>
  </si>
  <si>
    <t>세대 천정 시트락보드 적용</t>
  </si>
  <si>
    <t>천장재 석고보드 자재 SPEC 변경 : 일반석고보드 -&gt; 시트락 보드 (처짐 저항성 @450 간격 1등급 확보/천장 M-BAR 간격 : 300mm -&gt; 450mm 변경)</t>
  </si>
  <si>
    <t>PR/C-A/S-CE-2</t>
  </si>
  <si>
    <t>2201240</t>
  </si>
  <si>
    <t>광명1R 재개발</t>
  </si>
  <si>
    <t>김기훈</t>
  </si>
  <si>
    <t>갱폼 수직통로 계단 적용 및 갱폼높이 조정</t>
  </si>
  <si>
    <t>▶ 갱폼 수직이동 통로는 계단설치, 갱폼 GS 벤치마킹
- 견출,갱폼작업자가 수직운반도중 자재나 공구 낙하위험요소 해소
- 갱폼 CAGE 총높이 8.135m (4단) / 갱폼 철판 두께 4T</t>
    <phoneticPr fontId="1" type="noConversion"/>
  </si>
  <si>
    <t>과제정의서 없음</t>
  </si>
  <si>
    <t>CO/I-PI-CS-1</t>
  </si>
  <si>
    <t>2201273</t>
  </si>
  <si>
    <t>홍성록</t>
  </si>
  <si>
    <t>입주자 사전점검 대행업체 가이드라인 설정 및 
맞춤형 고객 만족 서비스 상품화</t>
  </si>
  <si>
    <t>• 점검대행 업체 가이드라인 설정 
- 대행 업체 방문 시 확약서 수령 : 마감재 훼손, 점검스티커 오염, 불법영업 금지 등
점검 시 주의사항 교육 : 현장별 코킹계획, 조인트계획, 창틀떨림 브라켓시공, 단열시공 기준, 실내공기질 측정기준, 건축오차범위 등 설명(현장직원 및 스마트 매니져 지원 필요)
• 맞춤형 고객 만족 서비스 상품화(분양 옵션)
- 주부품질점검(BS) 매니져를 통해 해당세대 진행 사항 및 문의사항에 대한 답변
(사진 및 텍스트) 서비스 진행
- 입주자 사전점검 참석이 어려운 세대에 대하여 자체점검 대행 서비스진행</t>
  </si>
  <si>
    <t>아이디어는 참신하나 해당 가이드라인 확립 후 배포 등의
방법으로 해당사안 진행하실 수 있을거라 사료되어
금번에는 해당아이디어 미채택 하였습니다.</t>
  </si>
  <si>
    <t>EN/E-E-CS-1</t>
  </si>
  <si>
    <t>1000210</t>
  </si>
  <si>
    <t>장호식</t>
  </si>
  <si>
    <t xml:space="preserve">승강기 내·외부 CCTV 설치로 하자 원인 규명 </t>
  </si>
  <si>
    <t xml:space="preserve">본공사 승강기 설치시 CCTV의 설치 및 시스템 구축이 늦어서 공사용 승강기로 사용 전 
승강기홀 및 해당호기 카 내부에 CCTV 설치하여 각종 사고에 대한 증거를 확보하고자 함.
(증거 확보시 원인 규명 및 책임자 추적 가능하여, 하자 대폭 감소 예상) </t>
  </si>
  <si>
    <t>통합
(174번)</t>
  </si>
  <si>
    <t>CCTV 시스템 구축방안에 대한 세부계획 수립이 필요합니다.
(설치 및 관리주체, 저장장치 구성방식 등)</t>
  </si>
  <si>
    <t>CO/D-A/F-CE-5</t>
  </si>
  <si>
    <t>2102475</t>
  </si>
  <si>
    <t>윤석환</t>
  </si>
  <si>
    <t>지하주차장 중층 PC 방수턱</t>
  </si>
  <si>
    <t>• PC 방수턱을 사용함으로서 개선방향
- 번거로운 방수턱 시공을 개선할 수 있는 건식 제품으로 간단한 설치만으로 CON’C 구체와 일체화 시공이 가능하며, 방수 성능의 증대
- 제조공장에서 진공압출성형(Auto-Clave)방식으로 제작되어 PC방수턱의 기밀도 향상 및 강도 확보</t>
  </si>
  <si>
    <t>(25.06.02)방수턱 관련 아이디어 제안들 모아서 추진 가능 여부 검토</t>
  </si>
  <si>
    <t>CO/D-PI-CE-2</t>
  </si>
  <si>
    <t>1202924</t>
  </si>
  <si>
    <t>유태상</t>
  </si>
  <si>
    <t>주요공정 시공계획서 피드백</t>
  </si>
  <si>
    <t>• 본공사 중 주요공정 시공계획서 작성 후 품질팀, 고객서비스팀에 검토 협조 요청
→ 품질팀, 고객서비스팀 검토 후 품질 기준, 예상 발생 가능한 하자 피드백 실시
→ 실행 변경이 필요한 사항은 견적팀에 내용 전달 후 기준 반영
→ 본공사팀은 피드백 사항 검토 후 공사 적용 가능 여부 확인 및 반영</t>
  </si>
  <si>
    <t>EN/I-M-SA-1</t>
  </si>
  <si>
    <t>2200401</t>
  </si>
  <si>
    <t>유재훈</t>
  </si>
  <si>
    <t xml:space="preserve">김태용, 박병규, </t>
  </si>
  <si>
    <t>분양</t>
  </si>
  <si>
    <t>공동주택 단위세대 공용욕실 욕조 옵션화 검토</t>
  </si>
  <si>
    <t>• 욕조를 옵션계약으로 추진하여 원하는 세대만 선택하여 설치하도록 변경
  욕조를 선택하지 않은 세대에 대하여 샤워수전 설치</t>
  </si>
  <si>
    <t>(1차검토 : 미채택)
제안한 사항은 현 시점에서 유상옵션 품목으로 전환하기에는 일반적인 소비자 요구 수준으로 판단할 시 그 정도가 과다하여 분양 시 큰 저항이 있을 수 있다고 판단됩니다. 따라서 제안 인정 및 과제화 사항에서 제외하였습니다.</t>
  </si>
  <si>
    <t>EN/I-A/F-CE-20</t>
  </si>
  <si>
    <t>2102469</t>
  </si>
  <si>
    <t>안상수</t>
  </si>
  <si>
    <t>공동주택 골프연습장 차음설계</t>
  </si>
  <si>
    <t>골프연습장 등의 편의시설 사용시 해당 구간 진동 및 차음 설계를 더욱 고려하여 설계
또는 부대시설을 전유부와 인접하지 않도록 별도로 독립적인 구조물로 설계(소음발생 여지가 있는(골프연습장, 헬스장 등) 부대시설만 따로 소규모 부대시설 시공)
골프 진동 소음 하자 접수 시, 소음 원인 진단 및 차음보수공사시 과다 비용 발생 예상
Ex) 해당 층 슬라브 및 인접 코어 전체 차음재 시공</t>
  </si>
  <si>
    <t>(1차검토 : 미채택)
단열재를 통한 일반적인 차음설계는 현재도 적용되고 있으며, 단순 추가 차음 강화 사항은 원가가 증가되는 사항으로 과제화 되기 어렵습니다.</t>
  </si>
  <si>
    <t>CO/I-ID/Z-CS-1</t>
  </si>
  <si>
    <t>1103509</t>
  </si>
  <si>
    <t>신호승</t>
  </si>
  <si>
    <t>양창모, 차원재, 양창모</t>
  </si>
  <si>
    <t>하자소송 판결에 따른 비용/손실 절감 (1단계-단기과제/사후조치)</t>
  </si>
  <si>
    <t>• 1단계-단기 과제 (사후조치) 로드맵 (개괄적 과제 추진 방향)
  - 위와 같은 문제점을 해결하고 개선하기 위해서는 사업(계약)/시공/관리/소송 등 전단계에 걸쳐 체계적인 노력과 인원, 비용 투입, 조직 및 전문가 양성, 경영진의 지속적 관심이 필요함
  - 본건 1단계 과제에서는 그 중 단기적으로 실행 가능하고 즉각적인 비용 절감 효과를 누릴 수 있는 사후적 조치의 추진을 제안하고자 하며, 본건 과제와 실천 방안과 효과가 구별될 수 있는 단위로 나누어 2단계, 3단계 등 후속 과제를 추가적으로 제안하고자 하며, 소송→관리→시공→사업(계약) 단계로 단기→중기→장기적으로 실행 가능하고 효과가 높은 과제부터 우선순위에 따라 단계적, 체계적으로 후속 과제 및 세부 과제를 제안하고 추진하고자 함
• 1단계-단기과제/사후조치_1. 협력사/하자보수보증사에 대한 소송고지 (현재 진행중)
  - 하자소송 진행 과정에서 본공사 협력사로부터 시공 근거자료, 성능시험 근거자료 등을 확보하고, 추후 협력사/보증사에게 소송 결과에 따른 손해배상금/보증금 등을 청구하기 위한 목적으로 소송고지 신청 진행
• 1단계-단기과제/사후조치_2. 협력사에 대한 손해배상/구상(전부) 청구 또는 분담금(일부) 청구
  - 1단계-사후조치로서 하자소송 판결 이후 당사는 협력사와 관계, 본공사 정산 관련 사실관계, 협력사 경영상황, 하자의 원인/유형/시점 등에 따라 차등적·단계적 방법으로 손해배상금 또는 구상금/분담금 등 청구절차 및 회수조치를 추진 (케이스별로 청구/분담비율 차등적 적용 예정, 협력사 협조 여부에 따라 청구 및 회수비용 발생 가능 – 예상 비용 : 0 ~ 2,000만원/건)
• 1단계-단기과제/사후조치_3. 하도급계약에 따른 하자보수보증사에 보증금 청구
  - 1단계-사후조치로서 2.번 항목에 따른 협력사에 대한 청구가 곤란하거나(협력사 부도, 폐업 등), 협력사가 비협조할 경우, 당사는 협력사와 관계, 본공사 정산 관련 사실관계 확인, 협력사 경영상황, 하자의 원인/유형/발생시점 등을 확인하여 차등적·단계적 방법으로 보증금 청구절차 및 회수조치를 추진 (보증사 협조 여부에 따라 청구 및 회수비용 발생 가능)</t>
  </si>
  <si>
    <t>CFT 구성하여 과제 진행 예정입니다.</t>
  </si>
  <si>
    <t>CO/D-A/F-CE-6</t>
  </si>
  <si>
    <t>2102471</t>
  </si>
  <si>
    <t>신대섭</t>
  </si>
  <si>
    <t>현관 방화문 이중 보양 설치</t>
  </si>
  <si>
    <t>• 현관 방화문 이중 보양 시행
1. 방화문 1회 골판지 보양 위 이중 보양 시행
2. 이중 보양지에 방화문짝 고임재 설치 방지 문구(중국어 포함) 기입</t>
  </si>
  <si>
    <t>PR/C-A/F-CE-3</t>
  </si>
  <si>
    <t>단열재 지입자재 전환</t>
  </si>
  <si>
    <t>• 단열재 지입자재 전환
1. 폐기물 비용 수급사업자 처리
2. 결로 및 단열재의 자재성 하자 수급사업자 처리
3. 본공사 中 단열재 입고 시 상태불량으로 원사업자 공사관리 어려움 해소
4. 본공사 정산 시 불필요한 ESC 항목 사전 예방
5. 지입자재 전환 시 단열재의 자재성 하자 또한 하자보증기간 내 하자처리 가능
6. 입주 후 단지 내 잔여 단열재 처리 민원 해소</t>
  </si>
  <si>
    <t>현재 당사 진행 중 입니다. (현장여건 고려하여 진행 중)</t>
  </si>
  <si>
    <t>PR/C-A/F-CE-4</t>
  </si>
  <si>
    <t>세대 PL창호 및 공용부 AL창호 유리 지급자재 전환</t>
  </si>
  <si>
    <t>1. 창짝 완료 시 생산공장으로 유리 지급
   1) 생산공장에서 창짝에 유리 시공(코킹 및 유리닦기 포함)
   2) 현재 유리공종 노무비에서 코킹, 유리끼우기 및 닦기 내역만 PL창호 노무비에 추가 계약
   3) 유리 양중 및 외부코킹 등 상기 현상 및 문제점 항목에서의 불필요한 요소 제거</t>
  </si>
  <si>
    <t>EN/I-A/F-SA-1</t>
  </si>
  <si>
    <t>9623655</t>
  </si>
  <si>
    <t>송영규</t>
  </si>
  <si>
    <t>MH 분양계약자 옵션 항목제공</t>
  </si>
  <si>
    <t>• 분양계약시 옵션의 다양화로 도급금액(수분양자) 증대효과
- 바닥타일 줄눈 옵션
- 발코니벽체 탄성코트
- 각 사업별 시행사, 조합등 발주처 직계약 품목외 발굴</t>
  </si>
  <si>
    <t>(1차검토 : 미채택)
입주 후 추가공사 비율이 높아 수요가 있는 분야이지만, 상대적으로 소비자 품질 요구도가 높은 항목이므로 공사성 및 하자 처리 비용 등을 종합적으로 판단했을 때 오히려 하자처리 물량의 증대가 우려되어 과제화 사항에서는 제외하였습니다.</t>
  </si>
  <si>
    <t>EN/I-A/F-CE-21</t>
  </si>
  <si>
    <t>욕실 벽타일 공법(떠붙임→압착)변경</t>
  </si>
  <si>
    <t>• 설계시 떠붙임 공법을 압착공법으로 변경 하자예방
- 개선1 : 시멘트벽돌 + 액체방수 +바탕미장 + 압착
- 개선2 : ALC블럭 +(액체방수) + 압착</t>
  </si>
  <si>
    <t>현재 떠붙임 공법(80% 이상 채움)에 대한 하자처리 이슈가 대두되고 있어 추가 협의 후 해당 내용을 확정할 예정입니다.
(단, 세대 내 ALC블럭 적용은 미검토/미적용 예정)</t>
  </si>
  <si>
    <t>CO/D-A/F-CE-7</t>
  </si>
  <si>
    <t>1000788</t>
  </si>
  <si>
    <t>서현정</t>
  </si>
  <si>
    <t>입주자 사전방문행사 셀프 사전점검</t>
  </si>
  <si>
    <t>•  세대 점검 시 매니저 동행 없이 직접 세대 방문 가능하도록 운영
- 행사장 계약자 확인처에서 신분 확인 후 고객에게 동출입구 및 세대현관문 비밀번호 발송
- 발급받은 비밀번호로 세대 출입 
•  테스트 현장 운영 
- 타사 사례를 통한 보완사항 파악
- 현장 세대관리 시 문제될 사항 파악
- 현장별 상황에 따라 셀프 점검 도입 여부 판단 필요
- 현장 및 본사 추가 준비사항  파악
- 재방문만 시범 운영 후 단지 선정 운영 
- 고객 반응에 대한 모니터링</t>
  </si>
  <si>
    <t>CO/I-YY-CE-2</t>
  </si>
  <si>
    <t>1702479</t>
  </si>
  <si>
    <t>박희식</t>
  </si>
  <si>
    <t>자재운반 효율화 방안</t>
  </si>
  <si>
    <t>이에 현장내 전기 카트기를 이용하면 현장내 자재 소운반 및 청소시, 효율적일 것으로 예상됩니다.
이는 지제차 비용 감소 및 업무 효율화도 도출됩니다.
카트뒤에 물통을 싣으면 현장내 살수를 통해서 비산 먼지도 예방됩니다.</t>
  </si>
  <si>
    <t>아이디어는 참신하나 유지관리 등 원가/관리/안전 관련검토가
추가적으로 필요하여 금번에는 미채택 하였습니다.</t>
  </si>
  <si>
    <t>EN/I-PI-CE-1</t>
  </si>
  <si>
    <t>1204782</t>
  </si>
  <si>
    <t>고양 삼송 이지스 데이터센터</t>
  </si>
  <si>
    <t>박인택</t>
  </si>
  <si>
    <t>김태용, 박재보, 고한울</t>
  </si>
  <si>
    <t>입주관리 센터 &amp; AS센터 준공전 사전 구축</t>
  </si>
  <si>
    <t xml:space="preserve">• 기대효과
- 공사단계 초기 구축시 공사팀 사무실 운용가능. 
- 입주관리부터 AS관리 사무실 사용으로 잦은 이사 비용 및 임대료 절감. 
 (ex 여성병원 30개월간 AS센터 운용시 사무실 임차료 1.2억)
  - 사용후 입대의 기부체납 조건으로 입대의 만족도 향상. </t>
  </si>
  <si>
    <t>CO/D-A/F-CS-3</t>
  </si>
  <si>
    <t>PL창호 창틀떨림 하자 개선</t>
  </si>
  <si>
    <t>• 본공사 투입시 해당구간 PVC 기성 몰딩재 시공후 도배
  - 창틀, 석고보드를 일체화 시켜 진동을 방지하기 위한 공법
- PVC 재질의 “ㄷ”자 형 브라켓을 사용. 길이 1M 시공
- 이미 시중에 기성 제품 有(U.S 브라켓 제품 등)으로 타 건설사 확대 시공中
- 장 점
1) 간단한 시공으로 시공성이 매우 높음
2) 재하자율 낮음
3) 숙련공 불필요</t>
  </si>
  <si>
    <t>　(25.06.02)하자발생 가정에 따른 유형효과 산정이나 실질적인 품질 확보 및 하자방지에 중요한 요소임</t>
  </si>
  <si>
    <t>CO/D-E-CS-1</t>
  </si>
  <si>
    <t>2201271</t>
  </si>
  <si>
    <t>김태웅</t>
  </si>
  <si>
    <t xml:space="preserve">안희진, 오정화, </t>
  </si>
  <si>
    <t>승강기 내부 CCTV설치 및 보양횟수 추가의 건</t>
  </si>
  <si>
    <t>1.관리사무소 인수인계 진행시 보양해체후 확인필요(보양철거 및 재설치 비용 검토필요)
2.카내부 무선 CCTV 설치(공사시 손상되는경우가 많다보니 엘리베이터 사용시 무선 CCTV 설치)</t>
  </si>
  <si>
    <t>• 보양철거 및 재설치를 진행할 범위 선정 필요.
  (카내부만? 전층 도어다? 1층,지하층 도어만?)
• 철거 및 재설치 비용 건축견적팀 검토 필요
• CCTV 시스템 구축방안에 대한 세부 계획 수립 필요
(설치 및 관리주체, 저장장치 구성방식 등)</t>
  </si>
  <si>
    <t>CO/D-E-CE-1</t>
  </si>
  <si>
    <t xml:space="preserve">조명기구 개선 </t>
  </si>
  <si>
    <t>1.거실등
- 우물천장 가운데 설치 가능한 조명기구 디자인 변경
2.식탁레일등
- 몸체 피스구멍 전 현장 동일하게 제작 요청</t>
  </si>
  <si>
    <t>현재 적용중인 포레나 2.0 조명기구의 타입은 제안내용에 해당되는 사항이 없음.</t>
  </si>
  <si>
    <t>CO/Z-ID/Z-EXP-2</t>
  </si>
  <si>
    <t>0500543</t>
  </si>
  <si>
    <t>고윤필</t>
  </si>
  <si>
    <t xml:space="preserve">미사용 연차 직원간 이용 제도 </t>
  </si>
  <si>
    <t>미사용 연차를 타직원에서 양도하여 금액적 보상 및 필요 직원 사용</t>
  </si>
  <si>
    <t>일반적인 내용이 아닌 당사에 적용을 어떤식으로 할지 구체성이 부족합니다. 구체성이 부족한 내용으로 임직원 복리후생을 저해할 수 있는 제도로 TOP아이디어로는 부적합하다고 판단하여 제안 불인정하였습니다.</t>
  </si>
  <si>
    <t>CO/I-PI-CS-2</t>
  </si>
  <si>
    <t xml:space="preserve">사전 모의감정 용역 시행으로 하자 소송비 절감 </t>
  </si>
  <si>
    <t>1. 모의감정 도입 취지 
소송RISK를 사전 감정으로 준공전에 인지하여 조치 
현장별 품질 수준을 금액(하자보수비용)으로 객관적 평가 
향후 소송 및 종결합의시 사용검사전 하자 금액 산출시 활용 
2.모의감정 시점 
1)은폐부위전유(D-3M): 욕실, 발코니 
   - 방수, 미장두께, 타일 부착력 테스트 등 
2) 은폐부위공용(D-3M): 공용부, 부대복리시설, 지하주1을 
   - 방수, 미장, 무근콘크리트 두께, 타일 부착력 테스트 등 
3) 노출부위(D-3M): 전유부, 공용부, 부대복리시설, 외부 
   - 뿜칠, 고무칩 포장 두께, 마이너찬넬, 가요전선관 등  
3. 모의감정 조사 방법
   - 파괴조사 / 비파괴조사 / 시험조사
4. 모의감정 기대 효과
   - 소송항목금액화 / 선제적 보수 / 준공도서보완 / 종결합의활용</t>
  </si>
  <si>
    <t>일부 내용 수정 및 재검토하여 과제화여부 판단하였으나 효과 미비</t>
  </si>
  <si>
    <t>CO/I-PI-CS-3</t>
  </si>
  <si>
    <t>1104079</t>
  </si>
  <si>
    <t>권정섭</t>
  </si>
  <si>
    <t xml:space="preserve">년차별 하자종결합의 적극 추진 </t>
  </si>
  <si>
    <t xml:space="preserve">• 관리 단지별 3,5년 &amp; 10년차 하자종결합의 적극 추진 
• 관리 단지별 하자 소송 예방활동 증대 
소송 예방을 위한 단지별 맞춤형 또는 전략적 투자 필요 </t>
  </si>
  <si>
    <t>아이디어는 참신하나 원가관련 검토가 추가적으로 필요하며,
해당내용에 대해서는 프로세스 개선 보다는 관리단지별 별도품의로 진행하는 것이 합리적이라 사료되어 금번에는 미채택 하였습니다.</t>
  </si>
  <si>
    <t>CO/I-PI-CS-4</t>
  </si>
  <si>
    <t>외주 계약이행증권 보증기간 연장 추진</t>
  </si>
  <si>
    <t xml:space="preserve">• 하도급 계약이행증권을 하자책임담보기간까지 연장하여 귀책 강제 처리 향상 
계약불이행 : 본공사시 발생된 하자, 미시공, 오시공, 상이시공 등 </t>
  </si>
  <si>
    <t>계약이행증권의 종료일은 준공일 기준입니다. 계약이행증권
약관 확인 및 타사 사례 검토가 필요합니다.</t>
  </si>
  <si>
    <t>CO/Z-PI-EXP-10</t>
  </si>
  <si>
    <t>2301249</t>
  </si>
  <si>
    <t>김나영</t>
  </si>
  <si>
    <t>한화그룹 수첩 배포방식 변경의 건</t>
  </si>
  <si>
    <t xml:space="preserve">• 해당 연도 기재 삭제 및 yearly plan, monthly plan 일자를 수기 작성할 수 있도록 수첩을 제작하여 필요한 임직원만 연초 신청 후 사용하도록 변경 </t>
  </si>
  <si>
    <t>84
통합
(Main)</t>
  </si>
  <si>
    <t>PR/C-M-CE-1</t>
  </si>
  <si>
    <t xml:space="preserve">고한울, 박병규, </t>
  </si>
  <si>
    <t>소방 통합발주 고시에 따른 변경계약 진행의 건</t>
  </si>
  <si>
    <t>• 기 수주 재건축, 재개발, 소규모주택 정비 사업 중 소방공사 분리 도급 현장에 대한 변경계약 
  추진
- 해당 사업장 : 남성 아파트, 마포공덕 아파트 (2건)
(서울 시흥 1,2BL 2건은 LH 가로주택현장 제외)</t>
    <phoneticPr fontId="1" type="noConversion"/>
  </si>
  <si>
    <t>발주처와 전문 소방업체와 맺은 계약을 해지하고 당사와 신규
계약을 맺는 방안에 대한 리스크 검토가 필요합니다.</t>
  </si>
  <si>
    <t>EN/I-M-CE-1</t>
  </si>
  <si>
    <t>2202068</t>
  </si>
  <si>
    <t>김진국</t>
  </si>
  <si>
    <t>단위세대 부부욕실 카운터탑 품목 유상옵션화</t>
  </si>
  <si>
    <t xml:space="preserve">부부욕실 세면대를 기본 페데스탈형 세면대 적용으로 변경하고, 기존 카운터탑(+인조2을석상판)은 유상옵션 항목으로 변경 </t>
  </si>
  <si>
    <t>완전 유상옵션 항목으로 구분하기 위해 기본/옵션 타입별 배관 위치가 변경되는 사항에 대해 기계팀 추가 협의 후 결정이 필요합니다.</t>
  </si>
  <si>
    <t>EN/I-ID/Z-BE-1</t>
  </si>
  <si>
    <t>김태용, 차원재, 양창모</t>
  </si>
  <si>
    <t>사업비</t>
  </si>
  <si>
    <t>소규모 재건축/재개발 사업 분양용 행사장 건립</t>
  </si>
  <si>
    <t>기존 모델하우스 건립(신축)대비 소규모 행사장으로 축소하여
건립비(사업비) 절약 (조합원 계약용 행사장)</t>
    <phoneticPr fontId="1" type="noConversion"/>
  </si>
  <si>
    <t>통합
(197번)</t>
  </si>
  <si>
    <t>사업별 특성에 따라 변경될 수 있는 제안사항이므로 도시정비팀과 추가 협의 및 사업별 추진 예정 사항에 대해 1차 합의가 선행되어야 합니다.</t>
  </si>
  <si>
    <t>EN/I-ID/Z-BE-2</t>
  </si>
  <si>
    <t>2100606</t>
  </si>
  <si>
    <t>김현정</t>
  </si>
  <si>
    <t>현관중문 사전입찰 적용</t>
  </si>
  <si>
    <t>현행(사후입찰)에 따른 모델하우스-현장 간 중문 디자인, 스펙 상이 등 민원소지 다량 발생하고 사후입찰(예가입찰)에 따른 당사 수익이 감소함</t>
    <phoneticPr fontId="1" type="noConversion"/>
  </si>
  <si>
    <t>소규모 업체 난립으로 안정적 업체 POOL 구축 어려움</t>
  </si>
  <si>
    <t>EN/M-M-CE-16</t>
  </si>
  <si>
    <t>1703714</t>
  </si>
  <si>
    <t>나유향</t>
  </si>
  <si>
    <r>
      <rPr>
        <sz val="11"/>
        <color rgb="FF000000"/>
        <rFont val="맑은 고딕"/>
        <family val="2"/>
        <scheme val="minor"/>
      </rPr>
      <t>단위세대 수전 카트리지(에코</t>
    </r>
    <r>
      <rPr>
        <sz val="11"/>
        <color rgb="FF000000"/>
        <rFont val="나눔스퀘어"/>
        <family val="3"/>
        <charset val="129"/>
      </rPr>
      <t>→</t>
    </r>
    <r>
      <rPr>
        <sz val="11"/>
        <color rgb="FF000000"/>
        <rFont val="맑은 고딕"/>
        <family val="2"/>
        <scheme val="minor"/>
      </rPr>
      <t>일반형) 적용 기준 조정</t>
    </r>
  </si>
  <si>
    <t>세대 수전에 적용중인 에코 카트리지(냉/온수 전환시 걸림턱 설치)를 일반 카트리지로 변경(메이저 사 일반카트리지 적용)</t>
    <phoneticPr fontId="1" type="noConversion"/>
  </si>
  <si>
    <t>EN/I-A/F-CE-22</t>
  </si>
  <si>
    <t>단위세대 현관창고 바닥 바감 수준 조정</t>
  </si>
  <si>
    <t>현관창고 타일 기준을 햐향(600각에서 300각으로 축소)적용
(현관창고는 디자인적으로 스펙하향에 대한 저항감 낮음)</t>
    <phoneticPr fontId="1" type="noConversion"/>
  </si>
  <si>
    <t>통합
(6번)</t>
  </si>
  <si>
    <t>EN/I-ID/Z-BE-3</t>
  </si>
  <si>
    <t>모델하우스 설계 최적화(공간요소 축소) 재정립</t>
  </si>
  <si>
    <t>오픈형 사업설명회장 및 1층 대기 라운지 삭제 등의 설계
최적화를 통해 공간 요소를 축호하여 건립비 절약</t>
    <phoneticPr fontId="1" type="noConversion"/>
  </si>
  <si>
    <t>78
통합</t>
  </si>
  <si>
    <t>팀 단위 과제로 통합</t>
  </si>
  <si>
    <t>통합
(193번)</t>
  </si>
  <si>
    <t>CO/Z-PI-CE-8</t>
  </si>
  <si>
    <t>2100605</t>
  </si>
  <si>
    <t>민경선</t>
  </si>
  <si>
    <t>건축 설계권 확보</t>
    <phoneticPr fontId="1" type="noConversion"/>
  </si>
  <si>
    <t>설계권(설계권 포함 인허가 변경 권한) 확보 기준 도급계약
추진 기준 마련하여 실질적 VE 절감 실행률 개선</t>
    <phoneticPr fontId="1" type="noConversion"/>
  </si>
  <si>
    <t>방향성은 인정되나 설계권 확보를 위한 좀 더 구체적인 전략 등이 필요함, 해당 내용 보강 및 검토 진행 예정, 구체적 전략안 도출 불가</t>
  </si>
  <si>
    <t>EN/E-L-CE-1</t>
  </si>
  <si>
    <t>0500549</t>
  </si>
  <si>
    <t>박지해</t>
  </si>
  <si>
    <t>오정화, 양창모, 차원재</t>
  </si>
  <si>
    <t>외부 조경 조명등 최소화</t>
  </si>
  <si>
    <t>심의 시 결정되는 건축물 경관조명 외 조경 보안등, 볼라드, 수목투사등 등의 수량 등의 선택적 판단으로 VE 적용</t>
    <phoneticPr fontId="1" type="noConversion"/>
  </si>
  <si>
    <t>현장여건이 상이하므로 표준화는 어려움. 
경관심의대상이 아닌 현장에 한해, 선별적으로 VE설계 반영요망</t>
  </si>
  <si>
    <t>CO/Z-ID/Z-BE-1</t>
  </si>
  <si>
    <t>0600590</t>
  </si>
  <si>
    <t>박혜영</t>
  </si>
  <si>
    <t>모델하우스 메타버스 운영 적용</t>
    <phoneticPr fontId="1" type="noConversion"/>
  </si>
  <si>
    <t>현장 별 모델하우스 실물 건립 대신 메타버스(가상공간) 모델하우스 적용 및 운영(수주용 홍보관으로 확장 운용 가능)</t>
    <phoneticPr fontId="1" type="noConversion"/>
  </si>
  <si>
    <t>메타버스 구축 비용에 대한 개략적인 금액 산출이 되어야 검토 가능, 타사 메타버스 모델하우스 현황 확인 필요)</t>
  </si>
  <si>
    <t>EN/I-ID/Z-BE-4</t>
  </si>
  <si>
    <t>2202077</t>
  </si>
  <si>
    <t>유재언</t>
  </si>
  <si>
    <t>모델하우스 폐기물 재활용</t>
  </si>
  <si>
    <t>모델하우스 전시용 가전류 등을 재활용(본공사에 설치 등)하여
일부 원가절감 및 폐기물 축소에 따른 홍보효과 획득</t>
    <phoneticPr fontId="1" type="noConversion"/>
  </si>
  <si>
    <t>(1차검토 : 미채택)
전시용 가전은 시판용과 일부 스펙이 상이한 경우도 있으며, 임대 형식으로 전시할 경우도 발생하여 실질적 효과를 보기에는 제한적이므로 과제화되기는 어렵습니다.</t>
  </si>
  <si>
    <t>EN/I-PI-EXP-1</t>
  </si>
  <si>
    <t>1301811</t>
  </si>
  <si>
    <t>이교성</t>
  </si>
  <si>
    <t>도서관리시스템 공동개발 및 현장 적용</t>
  </si>
  <si>
    <t>설계도서 검토에 PDF 기반 디지털자동화(도서관리시스템)를 적용하여 철근누락 등의 설계오류를 방지 및 업무효율 증대</t>
    <phoneticPr fontId="1" type="noConversion"/>
  </si>
  <si>
    <t>EN/S-A/S-CE-14</t>
  </si>
  <si>
    <t>2203373</t>
  </si>
  <si>
    <t>이기홍</t>
  </si>
  <si>
    <t>강재모듈형 버티포트(UAM) 이/착륙장 설계 적용(잠실MICE)</t>
  </si>
  <si>
    <t>콘크리트 및 알루미늄 데크 대비 강재모듈형 설계 적용하여
하중 및 공사비 이점 확보 설계기준 적용</t>
    <phoneticPr fontId="1" type="noConversion"/>
  </si>
  <si>
    <t>EN/EX-PI-CE-1</t>
  </si>
  <si>
    <t>2102492</t>
  </si>
  <si>
    <t>이수</t>
  </si>
  <si>
    <t>조경 외부공간 종합 지장물도 작성으로 도면/시공 정합성개선</t>
  </si>
  <si>
    <t>외부공간 공사 시 토목/기계/전기 공종간 실질적 크로스체크
가능하도록 종합 지장물도 작성</t>
    <phoneticPr fontId="1" type="noConversion"/>
  </si>
  <si>
    <t xml:space="preserve">(1차검토 : 미채택 / 제안사항은 즉시 시행)
즉각적인 재무개선에 해당하지 않는 사항이오나, 실 시공에 있어 공종간 간섭을 사전 차단하여 보완 공사비를 절감할 수 있는 사항이라, 효과 검증에 상당한 시간이 소요되는 사후 평가 대상입니다. 따러서 제안은 인정하여 시행하고, 실제 과제화는 채택하지 않습니다. </t>
  </si>
  <si>
    <t>CO/Z-PI-EXP-11</t>
  </si>
  <si>
    <t>2202076</t>
  </si>
  <si>
    <t>이지은</t>
  </si>
  <si>
    <t>유니파이어 도면관리 시스템 개선 개발(설계도서)</t>
    <phoneticPr fontId="1" type="noConversion"/>
  </si>
  <si>
    <t>현 시스템(유니파이어)은 대량의 파일 저장 및 공유 기능이 제한적이라 대량자료 업/다운로드 용이, 인원별 접근성 향상을 목표로 기존 시스템 개선 필요(또는 신규 시스템 적용 및 개발)</t>
    <phoneticPr fontId="1" type="noConversion"/>
  </si>
  <si>
    <t>유니파이어 시스템은 대용량 저장파일을 관리하는 시스템이 아니며, PJ 자료 관리는 웹하드 서비스(NAS 포함)를 이용하여 관리하는 것이 필요</t>
  </si>
  <si>
    <t>CO/D-A/F-CE-8</t>
  </si>
  <si>
    <t>0110659</t>
  </si>
  <si>
    <t>임영진</t>
  </si>
  <si>
    <t>김태용</t>
    <phoneticPr fontId="1" type="noConversion"/>
  </si>
  <si>
    <t>단위세대 SD도어의 PD 터닝도어 적용(대전월평현장)</t>
  </si>
  <si>
    <t>침실에 붙은 실외기실 등 기존 SD도어 사용시 결로하자 발생 다수에 따라 기존 PD 터닝도어 기술을 기반으로 평판형 목창호 형태로 신규 개발하여 원가절감</t>
  </si>
  <si>
    <t>(1차검토 : 미채택)
침실에 붙은 실외기실 및 하향식피난구의 경우 심의 및 인허가 과정에서 방화구획 또는 FSD 적용 조건이 다수 적용되어, PD를 적용 할 수 있는 현장 개수가 매우 적을 것으로 예상됨.</t>
  </si>
  <si>
    <t>PR/C-A/F-CE-5</t>
  </si>
  <si>
    <t>2100607</t>
  </si>
  <si>
    <t>조영원</t>
  </si>
  <si>
    <t>주거동 저층부 단일석종 석재 적용</t>
  </si>
  <si>
    <t>석종을 기존 2개에서 1개로 축소 통일하여 동일 디자인
적용하여 시공 프로세스 및 현장 원가 개선</t>
    <phoneticPr fontId="1" type="noConversion"/>
  </si>
  <si>
    <t>기시행</t>
  </si>
  <si>
    <t>현재 당사 진행 중 입니다.</t>
  </si>
  <si>
    <t>PR/C-A/F-CE-6</t>
  </si>
  <si>
    <t>0700234</t>
  </si>
  <si>
    <t>최선희</t>
  </si>
  <si>
    <t>현장별 통합발주를 통한 외장공사 자재비 VE</t>
  </si>
  <si>
    <t>포레나 브랜딩 표준화로 현장별 외장공사 자재 통일 확대되어
현장별 통합발주 진행 시 추가 원가 절감 가능</t>
  </si>
  <si>
    <t xml:space="preserve">당사 표준안이 적용되는 현장의 경우, 통합 발주를 통한 비용
절감 할 수 있습니다. </t>
  </si>
  <si>
    <t>EN/EX-E-CE-1</t>
  </si>
  <si>
    <t>0701633</t>
  </si>
  <si>
    <t>사업지원팀</t>
  </si>
  <si>
    <t>이효준</t>
  </si>
  <si>
    <t xml:space="preserve">김태용, 오정화, </t>
  </si>
  <si>
    <t>디자인융합형 PV 개발</t>
  </si>
  <si>
    <t>기존 고가의 BIPV를 대체할 수 있는 PV기술 기반 벽면 부착형
제품을 신규 개발하여 원가 절감 및 브랜드 디자인 연계 강화</t>
  </si>
  <si>
    <t>(1차검토 : '24년 하반기 시제품 원가검토 후 과제화 예정)
사실상 과제가 이미 진행중인 사항으로, 정식 과제에 등록될 예정입니다. 단, 시제품 개발 완료 후 기존 BIPV 대비 원가 우수성 검증이 필요합니다.</t>
  </si>
  <si>
    <t>EN/I-A/S-CE-2</t>
  </si>
  <si>
    <t>2003550</t>
  </si>
  <si>
    <t>김재욱</t>
  </si>
  <si>
    <t>지하층 PIT활용을 통한 도급증액 아이템 개발 제안</t>
  </si>
  <si>
    <t>지하 PIT 활용방안(창고, 차량정비, DIY 공간 등) 발굴하여
PIT 벽체 최소화 및 평당 공사비 이점 확보</t>
  </si>
  <si>
    <t>(1차검토 : 미채택)
구체적 PIT 대체 프로그램 제안이 있어야 과제화 가능</t>
  </si>
  <si>
    <t>CO/Z-PI-EXP-12</t>
  </si>
  <si>
    <t>0600592</t>
  </si>
  <si>
    <t>이원미</t>
  </si>
  <si>
    <t>벽걸이 달력 미발주 및 업무용 수첩 두께 축소</t>
  </si>
  <si>
    <t>사용도 및 활용도가 떨어지는 두 품묵에 대해 발주 삭제 및
물량 축소로 판관비 절감</t>
  </si>
  <si>
    <t>EN/EX-A/F-CE-5</t>
  </si>
  <si>
    <t>2002025</t>
  </si>
  <si>
    <t>구기운</t>
  </si>
  <si>
    <t>대형 복합개발 PJ 공통 설계 디테일 개발</t>
  </si>
  <si>
    <t>외부난간, 루버, 마감재별 사이즈 등의 표준화를 통해 각
복합개발 현장별 공통 적용으로 원가절감 및 시공성 개선</t>
  </si>
  <si>
    <t>(1차검토 : 미채택)
복합개발 사업의 설계 특성을 감안할 때 디자인, 재료, 형상을 통일할 수 있는 요소는 극히 제한적이라고 판단되어 제안 인정이 되지 않았습니다.</t>
  </si>
  <si>
    <t>EN/M-M-CE-17</t>
  </si>
  <si>
    <t>2100943</t>
  </si>
  <si>
    <t>곽용성</t>
  </si>
  <si>
    <t>수열에너지 설비 및 관로 최적화(잠실MICE)</t>
  </si>
  <si>
    <t>냉난방 부하 재검토 진행하여 수열에너지 용량 및 관로
최적설계 적용</t>
  </si>
  <si>
    <t>사업 특성상 현재 초기설계 단계이며, 최적설계는 설계과정중의 필수부분이고 설계구체화 단계에 다시한번 과제화 요청</t>
  </si>
  <si>
    <t>CO/Z-PI-SNA-2</t>
  </si>
  <si>
    <t>2203151</t>
  </si>
  <si>
    <t>김지훈</t>
  </si>
  <si>
    <t>페이퍼리스(종이 미사용) 오피스 적용</t>
  </si>
  <si>
    <t>각종 종이문서류를 전자문서화로 전환하여 사내 업무효율 및
자원사용 최소화</t>
  </si>
  <si>
    <t>CO/D-PI-CE-3</t>
  </si>
  <si>
    <t>2201514</t>
  </si>
  <si>
    <t>김명회</t>
  </si>
  <si>
    <t>증강현실AI 활용 현장 자재관리 AP 개발</t>
  </si>
  <si>
    <t>증강현실 기술을 활용한 현장 자재 관리 시스템 개발
(설치 부위별 물량, 자재 이동 동선 등 자동 분석)</t>
  </si>
  <si>
    <t>PR/C-E-CE-3</t>
  </si>
  <si>
    <t>스마트 파킹 시스템 연단가 추진</t>
  </si>
  <si>
    <t>포레나 상품 기준 확립을 통한 연단가 입찰 진행
-	영상분석 시스템 적용을 통한 추가 감시 시스템 도입
-	어안랜즈 CCTV 및 주차관제 일체화를 통한 서버 통합</t>
  </si>
  <si>
    <t>건축전기팀에서 연단가계약 추진중. (w/한화비전)</t>
  </si>
  <si>
    <t>EN/E-E-CE-22</t>
  </si>
  <si>
    <t>공동주택 전기 배관공사 표준화 시행</t>
  </si>
  <si>
    <t>설계 표준화에 따른 현장 업무 효율화 / 시공성 향상
-	대피공간 센서등 적용 (스위치/매입배관공사 삭제)
-	실외기실 및 발코니 동시 설계부분 조명스위치 2구 적용
-	EPS, TPS실 센서등으로 설계 기준 통일 _ 스위치 삭제
-	아일랜드 식탁 콘센트 전원 연결 _ 케이블 적용 (배관삭제)
-	천정후렉시블 삭제 _ 2중천정내 박스에서 조명기구 까지 VV케이블 적용</t>
  </si>
  <si>
    <t>기적용 중이거나, 적용불가한 아이템이 혼재되어있음.
추가 적용가능한 아이템에 대해서는 건축전기팀과 협의 예정</t>
  </si>
  <si>
    <t>수도계량기 주위 급수배관 복합관 적용</t>
  </si>
  <si>
    <t>• 입상배관 ~ 수도계량기 사이 배관을 기존 STS(SU) → 다층관으로 변경 적용</t>
  </si>
  <si>
    <t>신자재 사용으로 아이디어 인정되나, 절감금액 미비로 채택어려움</t>
  </si>
  <si>
    <t>CO/Z-PI-EXP-13</t>
  </si>
  <si>
    <t>2000174</t>
  </si>
  <si>
    <t>최정식</t>
  </si>
  <si>
    <t>분기별 현장소장 회의 온라인 진행</t>
  </si>
  <si>
    <t>• 각 현장별 현황 및 이슈 사항(원가/공정)을 세밀하게 검토하기 위한 권역별 심층 소장회의는 유지하되 본사 임원, 팀장 및 이슈 현장만 본사에서 대면으로 진행하고 나머지 현장은 온라인 참석으로 대면 / 비대면 병행으로 회의 진행.</t>
  </si>
  <si>
    <t>사업부 내부 의견 협의 필요, 대면 소장회의 필요성 있을 것으로 예상되며, 권역별 소장회의 축소 의견 전달 예정</t>
  </si>
  <si>
    <t>PR/P-A/F-CE-1</t>
  </si>
  <si>
    <t>0600087</t>
  </si>
  <si>
    <t>1을</t>
  </si>
  <si>
    <t>김성종</t>
  </si>
  <si>
    <t>박재보, 송원일, 김태용</t>
  </si>
  <si>
    <t>외산(중국산) PF보드 사용을 통한 원가절감안</t>
  </si>
  <si>
    <t>• 단열재로 사용되는 PF보드는 생산사가 소수이고, M/S가 양강 구도(LX하우시스, 금호석유화학)로 이루어져 있어 독과점 품목의 형태를 띄고 있어 단가 면에서 비교적 높은 것으로 사료됨.
• 이에 국내 시험성적을 통과한 중국산 제품을 검증하여, 현장에 도입하고자 함.</t>
  </si>
  <si>
    <t>유관부서 협의 결과, 각종 규제가 강화되고 있어 국내산 제품의 시험 통과도 어려운 상황으로 절감 금액 대비 리스크가 높아 과제화에서는 제외하였습니다.</t>
  </si>
  <si>
    <t>PR/P-PI-CE-3</t>
  </si>
  <si>
    <t>1101913</t>
  </si>
  <si>
    <t>4급</t>
  </si>
  <si>
    <t>주원영</t>
  </si>
  <si>
    <t>BNCP 대금지급 시스템 개선</t>
  </si>
  <si>
    <t>• 변경 계약
- 변경 계약 차수 적용하여 관리 될 수 있도록 조치
• 대금지급
- 선적 시 계산서 100 발행(세법 이슈)으로 진행, 단 지불은 80% 지급하고 잔여 20%에 대해 지급 보류
- 지급 보류된 잔여 기성에 대해서는 자재가 현장 도착 및 검수 후 해당월 지급</t>
  </si>
  <si>
    <t>제안 아이디어는 인정하나 제안자와 논의 결과, 과제화 없이 해당팀에서 진행합니다.</t>
  </si>
  <si>
    <t>PR/P-PI-CE-4</t>
  </si>
  <si>
    <t xml:space="preserve">입찰/계약 데이터 일괄 조회 기능 </t>
  </si>
  <si>
    <t>• 입찰 데이터 및 업체 정보관리의 자산화 시스템 구축하여, 년 도별 / 최근 3개월 등 품목별 단가 비교를 할 수 있는 데이터 화면 구축
• 외주/구매 담당 품목 특성 상 담당자가 여러가지 품목을 담당하여 세부적으로 관리하기가 어렵고, 과거 데이터를 확인하는 소요시간이 필요함. 
• 품목별로 고유 번호(표준코드)가 있으나, 활용 미비
업무효율화를 통한 능률 향상 및 데이터 자산화</t>
  </si>
  <si>
    <t>화답에 유사한 기능이 구현되어 있습니다.</t>
  </si>
  <si>
    <t>PR/P-PI-CE-5</t>
  </si>
  <si>
    <t>2201558</t>
  </si>
  <si>
    <t>정인철</t>
  </si>
  <si>
    <t>소액 자재 3rd Party 플랫폼을 활용 구매
(현장구매/현지구매 대체 프로세스)</t>
  </si>
  <si>
    <t>• 소량, 소액 자재 구매의 경우, 3rd Party 플랫폼을 활용해 원하는 품목, 규격, 수량, 납기 등 지정 시 플랫폼에 기등록된 전국의 소규모 건자재 업체와 매칭을 통해 입찰 및 구매를 진행
 - (기존) 업체 수배 → 견적 요청 → 단가검토 → 별도 품의 → 구매
 - (개선) 견적 요청 → 단가검토 → 구매</t>
  </si>
  <si>
    <t>PR/C-PI-CE-5</t>
  </si>
  <si>
    <t>1703073</t>
  </si>
  <si>
    <t>대전 월평공원</t>
  </si>
  <si>
    <t>김현진</t>
  </si>
  <si>
    <t>협력사 정기 모집 시 복합개발 특화 업체를 모집하여, 효율적인 하도급 수행</t>
  </si>
  <si>
    <t>• 복합개발을 수행했던 상위 건설사(현대건설, 디엘이앤씨, 롯데건설, 포스코이앤씨) 및 신용평가사 정보 교류를 통하여 복합개발에 특화된 협력사 발굴
• '25년 협력사 정기 모집 시 해당 협력사를 등록
• '26년 이후 입찰을 통하여 복합개발 현장 투입</t>
  </si>
  <si>
    <t>이상적인 방안이긴 하나, 구체적인 방법 모색이 필요하며 반대
급부의 리스크에 대한 검토도 필요합니다.</t>
  </si>
  <si>
    <t>EN/E-E-CE-23</t>
  </si>
  <si>
    <t>1105678</t>
  </si>
  <si>
    <t>RM팀</t>
  </si>
  <si>
    <t>김형길</t>
  </si>
  <si>
    <t>건축물의 에너지절약설계기준 개정안 설계 반영</t>
  </si>
  <si>
    <t>• 공동주택 외 건축물(개정시행일 이후) 일괄소등스위치 삭제
• 개정시행일 이후 대기전력차단콘센트 삭제
• 단, 공동주택 단위세대는 포레나 통합스위치와 연계되어 있으므로,
추후 연간단가 등의 발주시 적용 검토
(現 신규개발품 인증비용 &gt; 적용시 절감금액)</t>
  </si>
  <si>
    <t>CO/Z-PI-CS-1</t>
  </si>
  <si>
    <t>공동주택 하자보수 손해배상소송 대응 Process 시스템化</t>
  </si>
  <si>
    <t>• 공동주택 하자보수 손해배상소송 대응 Process 시스템化
- 완벽시공 인적/물적/금전적 한계 有
- 소송 대응 위한 효율적, 전략적 방어策 필요
1) (판결분석) 당사/타사 판결사례 분석을 통한 대응방안 검토
2) (설계검토) 인허가/사용승인도서, 시방서 등에 방어策 반영
3) (하자예방) 하자원인분석/대응책 마련 → 가이드배포, 시공관리
- 예시) 조명기구 등기구 보강대 하자 
1) 하자판정원인 : 보강 방안 근거 미약
2) 대응 : 인허가/사용승인도서 실내재료마감표 목재천장틀 
조명기구 보강대 용도 명기
3) 기대효과 : 하자판정 판결감소</t>
  </si>
  <si>
    <t>필요성 및 효과 인정되며, 유관부서(고객서비스팀) 추가 검토 후 CFT 및 TOP 추진실 중점 추진과제(하자보수비 절감)와 연계하여 CFT 운영 예정 -&gt; 동일건으로 유관부서에서 업무진행 중이며 해당 과제로 묶어서 진행(아이디어 인정_종료)</t>
  </si>
  <si>
    <t>EN/E-E-CE-24</t>
  </si>
  <si>
    <t>발전기 매연저감장치 → 저매연 엔진 변경</t>
  </si>
  <si>
    <t>• 발전기 발주시 요구사항에 “배기가스량 US EPA TIER2 수준의 엔진을 적용” 명시. (불가시 매연저감장치 설치)</t>
  </si>
  <si>
    <t>원가절감 가능여부에 대한 추가 검토 필요</t>
  </si>
  <si>
    <t>CO/D-E-CE-2</t>
  </si>
  <si>
    <t>분리발주 소방공사 업무스코프 조정</t>
  </si>
  <si>
    <t>• 소방공사 업무스코프 조정(진행현장) 
①  발주처에 소방시설(자동소화장치, 비상방송설비, 피난구조설비, 자동폐쇄장치, 방화셔터 등)은 당사 분이 아니며, 소방분리발주시 포함발주 인지 要.
② 실행에 포함되었던 해당 공사 미시행(발주) → 원가 SAVE
③ 최초수행현장 강북미아삼양 주상복합</t>
  </si>
  <si>
    <t>도급계약 또는 개산견적 당시 소방공사금액을 제출하지 않은 경우에 한해 원가절감 가능할 것으로 판단됨</t>
  </si>
  <si>
    <t>EN/E-E-CE-25</t>
  </si>
  <si>
    <t>세대 조도 기준 기반 당사 조명 설계 모델링</t>
  </si>
  <si>
    <t xml:space="preserve"> MH건립 전 조도시뮬레이션을 통한 조명설계(용량/조도) 최적화
- (최종) 당사 모델링 평면 &amp; 세대 조명 설계 기준 정립</t>
  </si>
  <si>
    <t>통합
(69번)</t>
  </si>
  <si>
    <t>69번 제안과 통합</t>
  </si>
  <si>
    <t>CO/D-ID/H-CE-1</t>
  </si>
  <si>
    <t>1204785</t>
  </si>
  <si>
    <t>부산대연 재건축</t>
  </si>
  <si>
    <t>한규빈</t>
  </si>
  <si>
    <t>안희진, 박재보, 안희진</t>
  </si>
  <si>
    <t>박병규</t>
    <phoneticPr fontId="1" type="noConversion"/>
  </si>
  <si>
    <t>승강로 가압방식 벽체 개구부덮개 중복업무 삭제</t>
  </si>
  <si>
    <t>Alt.1 안전팀 설치용 개구부 덮개를 본공사용으로 사용가능하도록 설치
Alt/2 안전팀 설치용 개구부덮개 미설치기계소방 내역 수직망 조기설치</t>
  </si>
  <si>
    <t>EN/M-M-CE-18</t>
  </si>
  <si>
    <t>0500767</t>
  </si>
  <si>
    <t>평택 화양지구 7-2BL 공동주택</t>
  </si>
  <si>
    <t>안종권</t>
  </si>
  <si>
    <t>공동주택 에어컨냉매배관 천장내부시공(시스템에어컨용)으로 변경</t>
  </si>
  <si>
    <t xml:space="preserve">개선전 : 에어컨냉매배관 및 박스 시공 골조 벽체매립 시공
개선후 : 에어컨냉매배관을 시스템에어컨 옵션세대처럼 천장 내부 
후시공으로 시공하며 에어컨 장비만 미시공 </t>
  </si>
  <si>
    <t>타사 적용사례 추가 조사 및 정확한 금액검증 필요
금액산출시 절감효과 없음으로 과제채택 X</t>
  </si>
  <si>
    <t>CO/I-TF-CE-13</t>
  </si>
  <si>
    <t>0703044</t>
  </si>
  <si>
    <t>도마변동9 재개발</t>
  </si>
  <si>
    <t>조성준</t>
  </si>
  <si>
    <t xml:space="preserve">혼폐 폐기물 박스 누름(장비)용역 시행 </t>
  </si>
  <si>
    <t>현장 근교 백호장비 또는 장비업체와 계약하여, 장비 본업 후 퇴근 시 당 현장 폐기물박스내의 공극을 없애는 작업,실제 현장 내 폐기물 박스 백호로 누름 작업 시 50%~30% 정도의 부피가 줄어들어 폐기물을 더 담을 수 있음( 원가절감 )</t>
  </si>
  <si>
    <t>CO/I-YY-CE-3</t>
  </si>
  <si>
    <t>1700461</t>
  </si>
  <si>
    <t>청주 매봉공원</t>
  </si>
  <si>
    <t>이경보</t>
  </si>
  <si>
    <t>에너지 감시자 배치</t>
  </si>
  <si>
    <t>에너지 감시자를 배치하는 계획입니다. 
주로 여름과 겨울철에만 운영을 합니다.
오후 7시 한 명이 남아서 전체를 돌아보고 
전원을 내리는 작업을 합니다. 
남는 직원에 대한 인센티브 지급, 저녁식사 제공, 수당지급
(서로 하고 싶다고 할 정도의 수당)
일주일에 한두번씩만 해도 충분한 효과를 볼 수 있다고 판단됩니다.</t>
  </si>
  <si>
    <t>필요시, 사무실 일괄소등스위치/타이머설치로 전원제어 
가능하고, 협력업체 계량기 설치를 통해 에너지절약 효과 실현 가능함. (TOP 제안아이디어중 일괄소등스위치 및 협력업체 계량기설치 제안 있음. 제안 수행 예정)</t>
  </si>
  <si>
    <t>CO/D-A/S-CE-7</t>
  </si>
  <si>
    <t>1806184</t>
  </si>
  <si>
    <t>저수조 내진건식패드 제안</t>
  </si>
  <si>
    <t>1. 기 개발된 업체의 활용 시 한국산업기술시험원 등 품질기관 성능 확보
2. 500ton 수조 기준 기존에 최소 (철근배근부터 패드 도장양생까지)3주이상 공기 확보 대비 하루만에 설치가능
3. 기계실 천정 마감 등 건축공기확보 여유
4. 현장에 맞는 자유로운 높이 조절 가능
5. 소방시설의 내진설계 기준 적용 가능
6. 공기확보 및 건축마감 공정대비 경제적
7. 콘크리트 줄기초 대비 결로 적고 유지보수용이함</t>
  </si>
  <si>
    <t>리더 교체(박남재 대리)
과제화 채택 가능</t>
  </si>
  <si>
    <t>CO/I-ID/H-CE-4</t>
  </si>
  <si>
    <t>1901068</t>
  </si>
  <si>
    <t>임윤택</t>
  </si>
  <si>
    <t xml:space="preserve">ELEV 개구부 상부막이 선투입 건 </t>
  </si>
  <si>
    <t>변경전 : ELEV 개구부 EV난간대 설치
변경후 : ELEV 개구부 EV난간대 설치 +EV수직망</t>
  </si>
  <si>
    <t>통합
(345번)</t>
  </si>
  <si>
    <t>CO/D-A/S-CE-8</t>
  </si>
  <si>
    <t>레미콘 물차 대체 장비 반영건</t>
  </si>
  <si>
    <t>변경전 : 레미콘 물차
변경후 : 1톤 트럭(중고구매)+물탱크 상차(현장 용수담기)</t>
  </si>
  <si>
    <t>아이디어 제안사항인 차량을 이용한 물공급 아이디어와 더불어 가설용수를 이용한 레미콘 물차 대체건 검토필요(물차비용 저렴)</t>
  </si>
  <si>
    <t>CO/D-A/F-CE-9</t>
  </si>
  <si>
    <t>아파트 세대 도배면 면처리 변경건</t>
  </si>
  <si>
    <t>변경전 : 도배면 면처리(올견출) + 도배(초배지 포함)
변경후 : 도배면 면처리(핀자리만) + 도배(초배지 포함)</t>
    <phoneticPr fontId="1" type="noConversion"/>
  </si>
  <si>
    <t>CO/D-A/F-CE-10</t>
  </si>
  <si>
    <t>아파트 세대안쪽 조적+미장 변경건</t>
  </si>
  <si>
    <t>변경전 : 조적+미장
변경후 : 조적+합지석고</t>
  </si>
  <si>
    <t>(1차검토 : 미채택)
'23년 안산고잔2차 실시설계부터 기 적용 사항</t>
  </si>
  <si>
    <t>EN/M-M-CE-19</t>
  </si>
  <si>
    <t>아파트 안방발코니 우수 입상배관 RD 위치이동 건</t>
  </si>
  <si>
    <t>변경전 : 안방발코니 RD 우수 입상배관 
변경후 : 주방 또는 욕실 PD쪽을 RD이동</t>
  </si>
  <si>
    <t>RD 위치이동으로 인한 실질적 원가절감은 미비하나, 공사중 RD에 의한 세대 침수예방으로 인한 재시공비용 산정 필요</t>
  </si>
  <si>
    <t>CO/Z-PI-EXP-14</t>
  </si>
  <si>
    <t>개발사업 설계관리 조직 개선 제안</t>
  </si>
  <si>
    <t>• 복합개발사업을 주관사로 수행할 경우 설계인허가 R&amp;R 부여됨에 따라 각종 영향평가 (교통영향평가, 소방성능위주, 환경영향평가 등)를 관리하기 위한 전문인력 필요
• 인허가 진행 시 각종 영향평가 심의위원의 과도한 사양 적용 요구에 대해 효과적인 대응 불가
1. 각종 영향평가 미고려한 건축설계로 인허가 진행 시 협의 난항 및 일정 지연 발생 빈번
2. 영향평가 진행 컨설팅사의 경우 공사비 고려 없이 인허가 得 완수 목적으로 과도한 심의위원의 요구에 대해 주관사(시공사) 피드백 없이 대부분 반영하여 공사비 상승 유발
• 개발사업 인허가 진행 시 각종 영향평가 설계관리 전문인력 보강 배치</t>
  </si>
  <si>
    <t>EN/EX-A/F-CE-6</t>
  </si>
  <si>
    <t xml:space="preserve">아파트 옥상장식물공사 단순화 건 </t>
  </si>
  <si>
    <t>변경전 : 철골(pc)+AL sheet 및 도장마감
변경후 : 골조(외벽갱폼가능하게 층고조정필요)+도장마감</t>
  </si>
  <si>
    <t xml:space="preserve">(1차검토 : 미채택)
FORENA 2.0 개발 시 골조 중심의 옥탑구조물 표준화 완료하였고, 현장별 규모, 공사비 특성에 따라 일부 강조형 구조물(철골+AL시트)이 적용되므로 일괄적인 골조 중심 통합은 불가함. </t>
  </si>
  <si>
    <t>CO/I-ID/H-CE-5</t>
  </si>
  <si>
    <t>아파트 외부 낙하물방지망 최하층 2단 적용</t>
  </si>
  <si>
    <t>변경전 : 3개층 마다 한단씩 낙망설치 진행중
변경후 : 5층바닥 1단설치/ 7층바닥 2단설치 총 2단 설치
(GS 모든 현장 진행중)</t>
  </si>
  <si>
    <t>아이디어는 신선하나 법적 이슈  있음</t>
  </si>
  <si>
    <t>EN/EX-A/F-CE-7</t>
  </si>
  <si>
    <t>공동주택 외부 유리 칼라 삭제건</t>
  </si>
  <si>
    <t>변경전 : 로이유리 +칼라유리
변경후 : 로이유리</t>
  </si>
  <si>
    <t>(1차검토 : 미채택)
디자인팀 기준 상 컬러유리 완전 삭제 시 결속철물 노출로 투명유리 지양</t>
  </si>
  <si>
    <t>EN/I-A/S-CE-3</t>
  </si>
  <si>
    <t>안희진</t>
    <phoneticPr fontId="1" type="noConversion"/>
  </si>
  <si>
    <t>지하주차장 외벽 방수턱 공법 변경건</t>
  </si>
  <si>
    <t>변경전 : 철근콘크리트 방수턱(철근,형틀,타설) +방수턱 내부 방수 +벽체배수판
변경후 : PVC 방수턱 +내부방수 +벽체배수판(벽체배수판 같이 작업진행)</t>
  </si>
  <si>
    <t>EN/I-A/F-CE-23</t>
  </si>
  <si>
    <t xml:space="preserve">지하주차장 천정 데크면 도장삭제 건 </t>
  </si>
  <si>
    <t>변경전 : 데크면, RC면 천정, 보 뿜칠적용
변경후 : RC면 천정,보 뿜칠적용</t>
  </si>
  <si>
    <t>(1차검토 : 단순 사양 변경으로 과제화 미채택)
현재 PLUS데크 비중이 높아 적용대상은 소폭이나, 향후 지하주1을 PC 적용 확대할 경우 의미가 있어, PC 적용시 뿜칠 삭제와 같은 비슷한 의견과 통합하여 검토 예정</t>
  </si>
  <si>
    <t>CO/Z-PI-EXP-15</t>
  </si>
  <si>
    <t>프린터 칼라출력 HOLD 건</t>
  </si>
  <si>
    <t>변경전 : 누구나 칼라출력 가능
변경후 : 승인받은 직원만 칼라출력 가능</t>
  </si>
  <si>
    <t>프린터 칼라출력을 내부 시스템으로 제한하는 것 보다는 개별적으로 출력값 '흑백'을 Default 값으로 설정하고 필요 시 'Color'로 출력하는 것이 효과적(칼라 출력을 위한 별도 승인 체계 운영등 업무 효율성 저하)</t>
  </si>
  <si>
    <t>CO/D-A/S-CE-9</t>
  </si>
  <si>
    <t>박준용</t>
    <phoneticPr fontId="1" type="noConversion"/>
  </si>
  <si>
    <t>펌프카 배관 관통용 몰탈개발 건</t>
  </si>
  <si>
    <t>변경전 : 배관관통 후 몰탈 폐기
변경후 : 몰탈 구조물 타설</t>
  </si>
  <si>
    <t>아이디어 인정, 과제 미채택
배관 관통용 몰탈 시공관리 기준모호, 최근 작업자에의한 무단사용 현장 할석 후 재시공 사례가 있습니다.품질확보 난해)</t>
  </si>
  <si>
    <t>CO/D-A/F-CE-11</t>
  </si>
  <si>
    <t>ELEV홀 쪽 호이스트 배치 적용</t>
  </si>
  <si>
    <t>변경전 : 세대내부 발코니 호이스트 적용시 창호공사, 벽체복합단열재, 바닥타일, 벽체 및 천정 도장공사 투입됨
변경후 : ELEV 홀 호이스트 적용시 창호공사, 천정공사, 벽체 및 천정 도장작업</t>
  </si>
  <si>
    <t>CO/Z-PI-EXP-16</t>
  </si>
  <si>
    <t>2102426</t>
  </si>
  <si>
    <t>서동현</t>
  </si>
  <si>
    <t>ECO_PRO</t>
  </si>
  <si>
    <t>개인별 다용도 제품 제공에 따른 일회용품 최소화 권장
(일회용 컵 → 다회용 컵)</t>
  </si>
  <si>
    <t>유형 효과 산출이 과대 산정된것으로 판단되며(24년 판관비 기준 사무용소모품비의 전체 예산은 1.54억 수준), 해당 건은 개인의 자율 및 권고사항으로 진행이 적합</t>
  </si>
  <si>
    <t>EN/I-A/F-CE-24</t>
  </si>
  <si>
    <t>1001641</t>
  </si>
  <si>
    <t>최의수</t>
  </si>
  <si>
    <t>공동주택 타일 스펙(MATEIRIAL) 통일</t>
  </si>
  <si>
    <t>공동주택 세대타일(아트월, 주방, 현관바닥)를 통일하여 적용
현재 계단실 타일은 년단가를 적용하여 통일화를 진행중이나, 세대
내부 타일은 적용되지 않고 있음.
전체 공동주택의 세대내부 타일을 통일화 함으로써 현장별 전용 및
시공할증물량 절감, 시공시 개별 발주에 따른 공기지연 방지.</t>
  </si>
  <si>
    <t>(1차검토 : 미채택)
현재 욕실바닥+발코니바닥 타일은 통일하여 연단가 진행중
그러나 아트월, 주방벽, 현관바닥 등은 타일 사이즈, 두께,
디자인 연계성 등이 서로 달라 단순 통일은 상품성 RISK 발생</t>
  </si>
  <si>
    <t>CO/Z-PI-CE-9</t>
  </si>
  <si>
    <t>2100433</t>
  </si>
  <si>
    <t>박상필</t>
  </si>
  <si>
    <t>직원 숙소비 절감안</t>
  </si>
  <si>
    <t>숙소를 이용하지 않는 직원에 대한 혜택이 전혀 없음
1달 숙소비60만원+관리비15만원 약 75만원
해당 금액중 약 절반의 금액을 현금지급한다하면(유류비등 명목)
숙소를 사용하지 않는 직원들이 많을 듯 함</t>
  </si>
  <si>
    <t>1) 불필요하게 발생하는 숙소비용 절감을 위한 제안 취지에 동감하나, 현재 출퇴근 관련 유류비 지원 중이며, 숙소 미사용에 따른 추가적인 혜택을 주는 것은 현실적으로 어려움
2) 일/가정 양립이라는 당사의 복지 방침에 저촉되지 않는 기준에서 개선방안 추가 검토 예정</t>
  </si>
  <si>
    <t>EN/I-A/F-CE-25</t>
  </si>
  <si>
    <t>계단실 마감축소 적용</t>
  </si>
  <si>
    <t>공동주택 30층을 기준으로 실제 입주민이 사용하는 1~6층은 타일
마감을 적용하고 그상부 7~30층은 미장+논슬립 마감으로 간소화
적용</t>
  </si>
  <si>
    <t>(1차검토 : 미채택)
구분시공은 오히려 시공포인트를 증가시키며, 미장의 경우 하자처리가 더 어려움. 또한 법적 피난시설(계단실)에 있어 안전과 연관된 바닥의 상호 다른 재질 사용은 인허가 불리요소.</t>
  </si>
  <si>
    <t>CO/Z-PI-SNA-3</t>
  </si>
  <si>
    <t>R&amp;D 비용 인건비 세액공제 추진</t>
  </si>
  <si>
    <t>R&amp;D 관련 부서 통폐합으로 연구부서(팀) 신설, 해당팀 인건비 등 세액공제 신청</t>
  </si>
  <si>
    <t>R&amp;D 세액공제를 위해서는 제반시설 요구됨
(별도 독립된 연구공간 등)</t>
  </si>
  <si>
    <t>13차(250825)</t>
  </si>
  <si>
    <t>과제 추진 - 차원재 과장</t>
  </si>
  <si>
    <t>EN/EX-A/S-CE-2</t>
  </si>
  <si>
    <t>코어 지붕층 전실 골조 및 SD 삭제</t>
  </si>
  <si>
    <t>(현상 및 문제점) 
1.	공동주택 코어 지붕층 주요 기능이 없는(단순 ELEV.하부 공간) 전실 공사로 인해 불필요한 골조공사 금액 투입 및 옥상 공정 지연
(개선 전) 코어 지붕층 계단에서 전실을 통해 옥상으로 출입하는 구조
(개선 후) 기능이 없는 전실 삭제(필로티 구조와 흡사)
(제약조건)
1.	특별피난계단의 부속실이 필요한 현장은 적용불가
2.	대부분 공동주택이 특피가 아닌 피난계단 적용이지만 관련법규 재검토 요함
3.	형태에 따라 구조검토 필요(캔틸레버 구조)</t>
  </si>
  <si>
    <t>(1차검토 : 통합)</t>
  </si>
  <si>
    <t>CO/I-TF-CE-14</t>
  </si>
  <si>
    <t>현장 폐기물처리 비용절감 방안</t>
  </si>
  <si>
    <t>절감방안
• 혼폐 반출량 8% 절감
- 분리수거 강화활동으로 일반, 특정폐기물로 전환처리
- 집게차, 백호장비를 활용한 압축강화로 부피 절감
• 현장별 혼폐 반출비율 목표치 부여
- 공동주택 : 현재 평균 42.8% → 35%
- 일반건축 : 현재 평균 48.6% → 40%</t>
  </si>
  <si>
    <t>CO/D-A/S-CE-10</t>
  </si>
  <si>
    <t>0200829</t>
  </si>
  <si>
    <t>서울아레나 복합문화시설</t>
  </si>
  <si>
    <t>이세영</t>
  </si>
  <si>
    <t>동절기 내한콘크리트 적용</t>
  </si>
  <si>
    <t>동절기 콘크리트 타설 時 급열 및 보양 없이, 동해방지가 가능한 내한콘크리트 적용으로 공기단축 및 원가상승 방지, 안전위험요소 제거등을 추진하고자 함.
*동절기 콘크리트 타설 時
개선 전 : 동절기 보양(하우징 및 천막시공, 열풍기 or 갈탄으로 급열장치 필요, 온도관리를 위한 당직자 근무, 안전위험요소 존재),
초기강도 나오기 까지(보통3일 이상소요) 하우징 및 천막제거 불가,
품질측면 민감한 부분으로 감리자의 요구 과다 등 타설 전,후 시행 까다로움.
개선 후 : 내한콘크리트 적용으로, 별도의 보양 및 급열공급 필요 없음. 공기단축(보양시간 불필요-일반적으로 타설부위 마다 1일 소요) 및 원가상승방지(인력투입 불필요), 안전위험요소 제거</t>
  </si>
  <si>
    <t>아이디어 인정, 과제 미채택
공사비 증가 및 추가 보양작업이 불가피함(기술혁신팀 확인 사항)</t>
  </si>
  <si>
    <t>CO/D-A/S-CE-11</t>
  </si>
  <si>
    <t>철골 방청도장 부분삭제 추진</t>
  </si>
  <si>
    <t>철골 자재발주 시, 공정감안(내화피복 발주 및 시행)하여 지하층을 제외한 지상층 부터는 충분히 내화피복이 따라 붙게 되므로,
지상층 물량에 대해 방청페인트 삭제하고 자재발주/시공 하는 것으로 추진하는 것으로 제안하고 싶다.
 방청페인트 삭제 시 보통 m2당 4,500원~5,000원 (TON으로 환산 시,약 ton당 100,000원 정도) 자재비 절감이 가능할 것으로 추정함.</t>
  </si>
  <si>
    <t>EN/S-C-CE-4</t>
  </si>
  <si>
    <t>2201206</t>
  </si>
  <si>
    <t>김명준</t>
  </si>
  <si>
    <t>PRD 철골 근입길이 조정</t>
  </si>
  <si>
    <t>1.개선대책
- 철골근입장 2.5m 통일적용
①PRD내력검토(기둥하부 철골미설치구간)
 설계축하중이상 확보 확인
②PRD 부착력검토
 부착력 확보를 위하여 Stud Bolt 추가반영</t>
  </si>
  <si>
    <t>아이디어 인정 과제 미채택
TOP DAY 체크리스트 추가 아이템(현장특수성)</t>
  </si>
  <si>
    <t>TDC</t>
  </si>
  <si>
    <t>CO/I-TF-CE-15</t>
  </si>
  <si>
    <t>2302485</t>
  </si>
  <si>
    <t>윤태수</t>
  </si>
  <si>
    <t>품질시험 항목, 비용 절감 방안</t>
  </si>
  <si>
    <t>1. 방화문 시험비용 개선 전 : 각 현장별 약 2~3천만원 내화시험비용 발생
                개선 후 : 공동으로 진행하여 시험비용 절감 
2. 레미콘용 골재시험비용 개선 전 : 산지 구분 없이 레미콘 업체별 시험진행
                          개선 후 : 산지별로만 구분하여 실제 기준에 맞게 시험진행</t>
  </si>
  <si>
    <t>더 좋은 방안으로 해결함</t>
  </si>
  <si>
    <t>CO/D-A/S-CE-12</t>
  </si>
  <si>
    <t>PHC 파일공사 사진 정산</t>
  </si>
  <si>
    <t>PHC 파일 정산자료 제출시 최종 항타 후 본별 사진촬영 첨부
or 드론 활용 그림자 길이 통한 두부 잔량 측정(신세계건설 특허)</t>
  </si>
  <si>
    <t>아이디어 인정, 과제 미채택
실제 현장에서 수행해야하는 업무 개선효과가 없는 것으로 판단되어 아이디어만 인정하였습니다.</t>
  </si>
  <si>
    <t>EN/S-A/S-CE-15</t>
  </si>
  <si>
    <t>0700633</t>
  </si>
  <si>
    <t>임승진</t>
  </si>
  <si>
    <t>지내력 독립기초 PC공사</t>
  </si>
  <si>
    <t>독립기초 내부를 속빈 PC콘크리트로 공작제작하여 시공함. 최근 지하주1을 PC공사가 많이 사용되므로 PC공사 현장에 적용 시 공사비 및 공기 절감효과 있음.</t>
  </si>
  <si>
    <t>아이디어 인정, 과제 미채택
PC업계 특성상(m3당 단가 계약) 거푸집용도에 구조물제작을 기피하며, 연구과정에 투입되는 비용과 시간대비 즉각적인 재무효과가 불투명하여 제안만 인정함</t>
  </si>
  <si>
    <t>PR/C-A/S-CE-3</t>
  </si>
  <si>
    <t>철골 샵드로잉 용역 직계약</t>
  </si>
  <si>
    <t>과거 철근공사도 샵드로잉을 골조업체에 수행하였으나 샵드로잉 품질 저하 및 과도한 철근 Loss 등의 이유로 직계약으로 바뀌었듯이 철골공사 샵드로잉도 직계약 필요함.</t>
  </si>
  <si>
    <t>아이디어 인정, 과채 미채택(사유 : 통합)
대형 철골공사 현장에 필요한 아이디어이나, 실제로 샵드로잉을 직계약 하는 것은 현실적으로 어렵다고 판단됩니다. 다만, 샵을 관리하고 물량정산 이슈를 방지하려는 아이디어 제안자와 통합예정입니다.</t>
  </si>
  <si>
    <t>EN/S-C-CE-5</t>
  </si>
  <si>
    <t>토목 CIP 캡빔 위치 하향</t>
  </si>
  <si>
    <t xml:space="preserve">지하주1을 상부에 조경토 등의 토사가 1m 이상 적재될 때 부지 정지레벨 보다 1층 바닥 골조레벨이 낮게 형성됨. 이 때 토목 CIP 콘크리트는 부지 정지 레벨까지 설치되므로 1층 골조 레벨까지 약 1m 구간은 추후 포장공사를 위해 CIP 콘크리트를 철거해야 하므로 철거시 시 소음 및 분진 발생으로 민원 발생.
문제점을 개선하기 위해 CIP 캡빔을 골조 레벨에 설치하고 정지 레벨까지 약 1m 구간은 토류판 설치하여 CIP 콘크리트 철거를 없애도록 사전에 조치해야 하나 이러한 개선안을 현장 적용을 위해 지하안전평가 또는 굴토심의를 재심의 받아야 하므로 현장에서 변경이 어려움.  </t>
  </si>
  <si>
    <t>아이디어 인정, 과제 미채택
TOP DAY 체크리스트 추가 아이템(현장특수성)</t>
  </si>
  <si>
    <t>EN/M-M-CE-20</t>
  </si>
  <si>
    <t>인천 학익4 재개발</t>
  </si>
  <si>
    <t>채병국</t>
  </si>
  <si>
    <t>단위세대 가스미터기 및 주변배관 삭제</t>
  </si>
  <si>
    <t>분양공고시 주방 전기쿡탑 신청세대의 경우 주방에 가스공급을 하지 않으며, 가스미터기도 설치 하지 않는다는 문구를 필히 기입</t>
  </si>
  <si>
    <t xml:space="preserve">준택건설기준 등에 관한 규정 제34조(가스공급시설)에 의거 공동주택의 경우 가스공급을 필수로 해야함 </t>
  </si>
  <si>
    <t>CO/I-YY-CE-4</t>
  </si>
  <si>
    <t>숙소거주자 이불사용</t>
  </si>
  <si>
    <t>숙소 거주직원이 현장종료시 기존에 사용하던 이불을 수거하지 않고 그냥 철수하는 일들이 많음
숙소 계약해지시 관리파트에서 해당이불을 처분하기 위해
대형 종량제봉투 구매후 폐기처리
숙소거주자 퇴실시 본인 침구류 처리 원칙</t>
  </si>
  <si>
    <t>아이디어에 의한 절감금액 미비</t>
  </si>
  <si>
    <t>PR/C-PI-CE-6</t>
  </si>
  <si>
    <t>0700702</t>
  </si>
  <si>
    <t>김두용</t>
  </si>
  <si>
    <t>(외주/구매) 자재 발주 PROCESS 개선</t>
  </si>
  <si>
    <t>(현황) 예)외주발주 內, 자재(SPEC)를 시공(내역)포함 발주하므로
 ‘수행’단계에서 SPEC변경에 대한 증/감(구분)난해 (cf:자재내역 미분리)
※시공분(하지틀 등)과 엮여있는 항목들을 경계짓기가 용이하지는 않음
(개선) 주요 자재에 한하여, 중간납품사(Vendor)이 아닌 제조사와
 납품단가 조율 or 중간납품사들(多) 사전 Bidding “발주 前, 확정”
→ 결과물(단가)에 대해 유관부서 협의 후 실행/현장설명서 반영
※SPEC미확정 時, 최소한! 단가라도 지정해놓으면 증/감(정산)용이</t>
  </si>
  <si>
    <t>TOP추진실에서 조달 모듈 중점과제로 통합하여 진행 중입니다.</t>
  </si>
  <si>
    <t>PR/C-PI-CE-7</t>
  </si>
  <si>
    <t xml:space="preserve">철골자재 분리발주 </t>
  </si>
  <si>
    <t>철골공사 지급자재방식으로 진행.
-RH빔 단가적용기준 (3개월 평균, 전/월단가적용)</t>
  </si>
  <si>
    <t>현재 사내 프로세스로 진행하고 있으며, 현장별 검토하여 추진
할 수 있습니다.</t>
  </si>
  <si>
    <t>CO/D-E-CE-3</t>
  </si>
  <si>
    <t>0301105</t>
  </si>
  <si>
    <t>김한</t>
  </si>
  <si>
    <t>지하층 가설 통신공사 시공보고회 포함 및 실행 반영</t>
  </si>
  <si>
    <t>(문제점) 스마트폰 시대에 맞추어 각 종 어플을 개발하고 있으나, 공사현장의 통신 인프라가 따라 가주지 못하고 있음
통신 3사에 중계기를 요청하나 각 지역사업부의 성격 및 통신장비의 파손 &amp; 분실 우려로 설치가 안 됨. 
(제안안설명) 현장(지하)에 무선 Wifi 를 가능하도록 하고, 위험지역에는 Wifi 연결 CCTV를 비치하여 공사의 효율성과 안전성을 높일 수 있음</t>
  </si>
  <si>
    <t>CO/D-PI-CE-4</t>
  </si>
  <si>
    <t>반복적인 하도급 추가정산 아이템 관리</t>
  </si>
  <si>
    <t>하도급 정산 내용에 대해 공유가 안되어 추가요청 원인에 대한 분석, 향후 방지대책 등의 검토가 이루어지지 않고있어 다음현장에서도 반복적으로 청구되고 있는 실정이다. 현장별 증액사유에 대해 분석하여 지속적으로 발생되지 않도록 기준을 수립하여 적용하면 최소한의 금액으로 공사를 수행할수 있다.</t>
  </si>
  <si>
    <t>　(25.06.02)현장 시공관리 영역으로 세부적인 방안을 구체화하기 어려움</t>
  </si>
  <si>
    <t>CO/D-PI-CE-5</t>
  </si>
  <si>
    <t>0701847</t>
  </si>
  <si>
    <t>강규진</t>
  </si>
  <si>
    <t>공동주택 견본주택 건립전 도면검수 TF team 구성 / 검토절차 반영</t>
  </si>
  <si>
    <t>견본주택을 건립/오픈하는 절차에 능력있는 공동주택 공사 유경험자로 구성된 TF team을 일정기간 소집하여, 견본주택 관련도면, 스펙을 검토하는 절차를 추가</t>
  </si>
  <si>
    <t>(1차검토 : 미채택)
모델하우스 품평 전/후로 하여 품질/CS팀 주도로 점검 후 디자인팀의 조치 결과를 품의로 회신하는 절차가 이미 시행중
(디자인/기계/전기/구조 담당별 도면 검토 및 조정 선 시행)</t>
  </si>
  <si>
    <t>EN/I-A/F-CE-26</t>
  </si>
  <si>
    <t>공동주택 단위세대 주방가구 축소 (히든주방) 제안</t>
  </si>
  <si>
    <t>• 3인 이하 가구 증가 및 배달/포장음식 증가 등 식문화 변화에 따른 주방가구 축소 제안
(목적: 단위세대의 원가 중 큰 비중을 차지하는 주방가구 금액 절감을 위함)
• 다이닝룸 확대, 히든주방 및 주방가구 축소로 원가절감
*주방가구 앞 가벽 및 도어설치로 주방부위를 가리고(가구량 줄이고), 다이닝룸 공간을 확대
(추가) 부엌 앞 픽스판넬(혹은 건식벽)및 팬트리 도어 (약 +1백만원/세대)
(삭제) 주방가구 상하1갑/상판 일부삭제, 아일랜드 가구/상판 전체삭제(약 -2백만원/세대)</t>
  </si>
  <si>
    <t>(1차검토 : 미채택)
의미있는 아이디어 제안. 그러나 히든주방 등 추가 악세서리
설치가 필요하여 원가가 추가 투입되는 항목은 적용 어려움.
제안 아이디어 중 주방가구 축소 관련해서는 일반형/옵션형 주방 가구량을 상이하게 세팅하여 옵션형 상품의 수익성을 늘리는 방향으로 부분 참고가 가능.</t>
  </si>
  <si>
    <t>CO/D-A/S-CE-13</t>
  </si>
  <si>
    <t>안희진
(고한울)</t>
  </si>
  <si>
    <t>중고층 갱폼 자동인양 시스템 적용</t>
  </si>
  <si>
    <t xml:space="preserve">1)중고층 및 돌관공사 필요 현장 AGS 도입을 통한 공사 기간 단축 및 원가 절감 방안 마련 
2)레일 시스템으로 인한 인양시 낙하 안전장치 추가 
3)전산볼트 개선으로 인한 전산볼트 체결 육안 확인 가능 </t>
  </si>
  <si>
    <t>　(25.06.02)20~35층 AGS 적용가능성 검토 필요</t>
  </si>
  <si>
    <t>EN/I-A/F-CE-27</t>
  </si>
  <si>
    <t>창원IDC 교통정보통합운영센터 방화유리 설계변경 제안</t>
  </si>
  <si>
    <t>방화유리창호를 일반창호로 변경 적용하고 창호의 전면에 방화셔터 설치하여 층간방화 규정을 만족하는 대안을 제안함
(공공기여 시설인 교통정보통합운영센터의 실사용 주체 측에서 시설견학 시 상부층에서 아래층 상황실을 바라볼 수 있도록 계획 요구 /층간방화 고려하여 약 35㎡ 물량의 방화유리창호가 계획 됨/
방화유리창호는 단가가 높고 프레임이 일반창호 대비 두꺼워 견학 목적의 창호에 적합하지 않음)</t>
  </si>
  <si>
    <t>(1차검토 : 미채택)
현장 특수성 사항. 담당 현장 설계직으로써 일반업무에 해당.</t>
  </si>
  <si>
    <t>CO/D-A/S-CE-14</t>
  </si>
  <si>
    <t>공동주택 옥탑 줄눈 삭제 제안</t>
  </si>
  <si>
    <t>건축심의 및 사업승인도서 제출시 옥탑부위(옥상에 접하는 구간)의 줄눈을 삭제하여 반영하여 현장에서 투입되는 불필요한 원가절감</t>
  </si>
  <si>
    <t>　(25.06.02)유관부서 협의에 따라 종결</t>
  </si>
  <si>
    <t>EN/I-A/F-CE-28</t>
  </si>
  <si>
    <t>송원일</t>
    <phoneticPr fontId="1" type="noConversion"/>
  </si>
  <si>
    <t>바닥 도장 재질 변경</t>
  </si>
  <si>
    <t>개선전 : 경질우레탄 3T 개선후 : 에폭시 도장(코팅 OR 라이닝) 설계도서 시공두께 최소화 표현(하자소송 방지)</t>
  </si>
  <si>
    <t>CO/D-E-CE-4</t>
  </si>
  <si>
    <t>1803696</t>
  </si>
  <si>
    <t>송지태</t>
  </si>
  <si>
    <t>현장 임시전력 절약 방안 제안</t>
  </si>
  <si>
    <t>1. 현장 내 가설등을 센서타입으로 반영. -&gt; 불필요한 전등 전력 절약 가능 2. 가설사무실(한화) 내 일괄 SW 설치 -&gt; 사무실 內 구획되어 있는 실이 많은 경우, 퇴근시 등이 꺼져있는지 확인하기 번거로운 부분이 있음. 3. 협력업체별 가설사무실(컨테이너) 계량기 설치 -&gt;계량기 설치로 전기세 부과</t>
  </si>
  <si>
    <t>EN/I-E-CE-1</t>
  </si>
  <si>
    <t>지하외벽, 최하층 바닥의 방수공사 삭제 제안</t>
  </si>
  <si>
    <t>1) 설계단계에 당 사의 의견이 반영되는 프로젝트는 계획 시점에서 방수를 삭제 2) “1)”이외의 프로젝트는 현장에서 발주처, 감리와 상의하여 방수를 삭제</t>
  </si>
  <si>
    <t>(1차검토 : 미채택)
현재도 지하PIT 벽/바닥 방수 미적용+오픈트렌치 적용 중
이외 추가 방수 삭제는 하자 발생 시 역효과 우려</t>
  </si>
  <si>
    <t>EN/I-A/F-CE-29</t>
  </si>
  <si>
    <t>0700680</t>
  </si>
  <si>
    <t>나호윤</t>
  </si>
  <si>
    <t>커튼월 보양지 부착방식 개선을(현장부착→공장부착) 통한 하자절감</t>
  </si>
  <si>
    <t>폴리베니아 현장 부착의 경우 탈락의 위험이 높아, 현장 반입전 커튼월 압출 생산 공장에서 스펀지 형식의 보양재를 부착하는 방식으로 변경시 현장 보양지 설치 탈락에 대한 위험을 현저히 줄일수 있으며, 현장에서 별도의 보양 및 보수 작업에 따른 불필요한 시간 및 비용을 상당 부분 줄일수 있음.</t>
  </si>
  <si>
    <t>(1차검토 : 검토중)
AL 업체 공정확인 필요</t>
  </si>
  <si>
    <t>EN/I-A/F-CE-30</t>
  </si>
  <si>
    <t>화장실 벽 방수 범위 축소(FL+300mm) 및 우레탄 방수로 변경을 통한 원가 절감 및 방수 하자 최소화</t>
  </si>
  <si>
    <t>화장실 벽 방수를 FL+300mm로 변경하여 꼭 필요한 부위에만 벽 방수작업을 한정하여 원가를 절감하고자 함.
대신 FL+300mm까지 기존 당사 아파트 액체방수에서 우레탄 방수로 스펙 변경하여 액체방수의 취약한 물성으로인한 방수 깨짐등의 하자를 방지하고 방수 성능을 강화하고자 함.
하단부 우레탄 방수로 최소화시 방수에 따른 벽 타일 탈락 하자도 상당부분 예방할 수 있음.</t>
  </si>
  <si>
    <t>CO/I-ID/H-CE-6</t>
  </si>
  <si>
    <t>현장 직원 Body Cam 착용을 통한 안전사고 감소 및 각종 공사 기록 확보</t>
  </si>
  <si>
    <t>당사 및 협력업체 직원들 현장 순찰시 Body Cam 카메라를 착용 의무화하면 공사 기간 작업자의 현장 안전 사고 발생을 현저히 줄이는데 효과적임.
또한 이는 사후 당사의 시공기록, 검측 및 법적 분쟁에 대비한 각종 자료로 유용히 사용될 수 있음.</t>
  </si>
  <si>
    <t>아이디어는 참신하나 사생활보호 관련검토가
추가적으로 필요하여 금번에는 미채택 하였습니다.</t>
  </si>
  <si>
    <t>EN/I-A/F-CE-31</t>
  </si>
  <si>
    <t>연도별 타일 스탠다드 디자인 선정을 통한 원가 절감</t>
  </si>
  <si>
    <t>년도별 아파트 당사 스탠다드 타일 디자인 확정 및 공통 적용에 따른 상품 구매력 강화를 통한 현장 원감 절감 가능. 또한 공통 자재 적용에 따라 잉여자재나 로스분 발생시 타 현장에 적용 및 보관, 관리 용이함.</t>
  </si>
  <si>
    <t>(1차검토 : 미채택)
현재 수입타일 외 대부분 연단가 체결 完
수입타일류는 디자인 트랜드, 수급상황 등에 따라 유동적이므로 연도별 품목 확정 등 고정하기에 위험요소 다분</t>
  </si>
  <si>
    <t>PR/P-TF-CE-2</t>
  </si>
  <si>
    <t>타워크레인 직영기사 채용을 통한 현장 생산성 향상 및 공기단축</t>
  </si>
  <si>
    <t>타워 기사 필요인력의 50%정도는 자체 직영 기사로 운영시 현장 타워 업무 효율성, 생산성이 증대할것으로 판단됨. 또한 자체 직영 운전기사 도입시 책임감 강화로 안전사고 발생도 줄일수 있을것으로 판단됨.</t>
  </si>
  <si>
    <t>현황(노조)에 대한 해결방안 및 과제로 인한 성과의 구체성이 부족하여 아이디어로 인정이 어렵습니다.</t>
  </si>
  <si>
    <t>CO/I-PI-CE-2</t>
  </si>
  <si>
    <t xml:space="preserve">현장실무자 간접경험 활성화 방안 </t>
  </si>
  <si>
    <t>분기별 현장 공사팀장 및 실무자회의 진행.
-	현장별로 완료공정/ Issue공정에 대한 자료작성 및 경험공유.
-	해당발표 후 우수사례 포상진행.
-	매년 진행한 자료는 Circle 게시판에 공종별로 등재 및 공유.
-	추후 해당자료 적용 필요시 작성담당자와 협의 진행 가능.
-	경험을 Database하여 공종별 사전Checklist제작 공유.</t>
  </si>
  <si>
    <t>아이디어는 참신하나 품질점검 자료 및 시공보고회/목업품평회 개최 등을 통해 제안해주신 내용과 유사한 활동을 하고 있으며, 업무로드 관련 추가적인 검토가 필요하여 금번에는 미채택 하였습니다.</t>
  </si>
  <si>
    <t>CO/I-PI-CE-3</t>
  </si>
  <si>
    <t>PJ전문직(2을)</t>
  </si>
  <si>
    <t>천안 노태공원</t>
  </si>
  <si>
    <t>김태영</t>
  </si>
  <si>
    <t>박재보</t>
    <phoneticPr fontId="1" type="noConversion"/>
  </si>
  <si>
    <t>현장에 필요한 장비 렌탈 서비스</t>
  </si>
  <si>
    <t>현재 현장에 구비되어 있는, 드론, 레이져레벨기, 열화상 카메라, 라돈 측정기, 양수기, 내시경 카메라, 소음 측정기, 철근탐사기 등을 취합하여, 준공 후 반납 하게하고, 신규현장에서 필요한 장비들을 요청하면, 정비한 장비들을 현장에 빌려주는 렌탈 서비스 개념으로 진행 하면 현장마다 불필요한 구매를 막고, 부담감이 적어 지며, 장비를 활용하여 좀더 좋은 품질의 준공을 할 것으로 예상합니다.</t>
  </si>
  <si>
    <t>TOP추진실 주관, 소액 자산관리로 통합</t>
  </si>
  <si>
    <t>PR/C-A/F-CE-7</t>
  </si>
  <si>
    <t>1105000</t>
  </si>
  <si>
    <t>박재연</t>
  </si>
  <si>
    <t>욕실 마블 설치 및 사춤공사 분리</t>
  </si>
  <si>
    <t>1. 마블 자재 직발주 (목창호 협력사와 샵드로잉 협업, 피스구멍 가공) * 목창호 : 마블을 목창호에 피스(4EA)고정후 문틀 설치 * 사춤 : 목창호 사춤시 마블 사춤 동시 진행 * 욕실 목창호 발주시 하부시끼를 마블 상단에 고정하여 마블보호대 역할을 할 수 있도록 하게 됨 (이전 시공방식은 욕실 마블과 문틀시끼가 같은 레벨에 설치되게 되어 방통 타설시 품질 저하</t>
  </si>
  <si>
    <t>발주 및 공종 변경을 통한 하자 방지 및 품질 향상을 이룰 수
있습니다. 다만 재무적 효과를 검토하기에는 쉽지 않을 수
있습니다.</t>
  </si>
  <si>
    <t>EN/I-A/F-CE-32</t>
  </si>
  <si>
    <t>단위세대 욕실 벽체 마감재 변경을 통한 원가절감 및 품질향상</t>
  </si>
  <si>
    <t>욕실 벽체마감을 18mm 미장마감에서 12.5T 석고보드 본드붙임으로 변경 (단, 욕실 내벽 방수, 천정상부, 욕실장 이외 조적면에 해충, 취기 방지를 위한 초벌미장 추가[골조벽은 제외])</t>
  </si>
  <si>
    <t>(1차검토 : 미채택)
동일 아이디어 제안</t>
  </si>
  <si>
    <t>CO/D-A/F-CE-12</t>
  </si>
  <si>
    <t>양창모</t>
    <phoneticPr fontId="1" type="noConversion"/>
  </si>
  <si>
    <t>방통 전 현관 마루굽틀 설치 (방통막이 삭제)</t>
  </si>
  <si>
    <t>방통 타설 전 현관 디딤판 석공사 실시 (신발장 하부 포함) (대구대현현장 및 천안직산현장 적용하여 원가절감 및 공기단축 효과 검증) (바닥 차음재 설치 前 석재, 레미탈 자재 인양 및 배치하고 차음재 시공 後 현관 석공사 실시 1인 5~6세대 시공 가능)</t>
  </si>
  <si>
    <t>CO/D-E-CE-5</t>
  </si>
  <si>
    <t>0500828</t>
  </si>
  <si>
    <t>서호진</t>
  </si>
  <si>
    <t>가설사무실 태양광 발전 시스템 적용</t>
  </si>
  <si>
    <t>초기 태양광 발전을 위한 모듈 설치 등 초기비용은 투입되나 인프라사업부 등 장기간의 공사현장에 적용하면 충분한 절감효과가 있으며, 또 한 현장 종료 후 재사용이 가능하기에 자재비 등은 투입없이 설치비 만으로 전기료 절감이 가능하다고 판단 됨</t>
  </si>
  <si>
    <t>단기간 내 원가절감효과 도출 불가하나, 
공기가 긴 인프라사업의 경우 원가절감효과 도출 가능할것으로 예상됨. 추후 인프라사업부로 TOP활동 확대시 재검토 예정</t>
  </si>
  <si>
    <t>CO/I-ID/H-CE-7</t>
  </si>
  <si>
    <t>1300240</t>
  </si>
  <si>
    <t>이광연</t>
  </si>
  <si>
    <t>건설용 리프트(호이스트) 안전시설물 산업안전보건관리비 집행</t>
  </si>
  <si>
    <t>개선 전 : 안전시설물 직접공사비로 계약 및 집행 개선 후 : 안전시설물 별도 시설물 업체 계약 및 산안비로 집행 (혹은 기존 방식 계약/수행 후 안전시설물 비용 전표 이관)</t>
  </si>
  <si>
    <t>CO/D-TF-CE-2</t>
  </si>
  <si>
    <t>대공간 마감공사를 위한 시스템비계 공용화 추진</t>
  </si>
  <si>
    <t>대공간의 상부 마감(천장마감이 있던지 없던지)에 복합공종이 들어가 공사를 수행해야 하는바 (ex. 트러스 우레탄도장, 제연 및 공조, 전기/설비 트레이 및 덕트, 음향, 필요 시 천장마감 등) 공용으로 사용할 시스템비계를 1개 공종에만 산출하여 실행반영 후 나머지 공종들은 비용분개하여 사용하는 것으로 추진. 각 공종별 중복되고 불필요한 가설비용 및 장비(스카이 및 고소렌탈 등)비 절감이 가능하므로 현장 전체적으론 비용절감 예상됨.</t>
  </si>
  <si>
    <t>EN/I-A/F-CE-33</t>
  </si>
  <si>
    <t>0301121</t>
  </si>
  <si>
    <t>홍영은</t>
  </si>
  <si>
    <t>벽체 방수보호판 삭제 및 벽체 노출 우레탄 적용</t>
  </si>
  <si>
    <t>[개선전]옥상 벽체 복합방수+방수보호판 
[개선후]옥상 벽체 노출우레탄
(벽체 마감을 위한 별도의 방수보호판 시공으로 옥상 구배 시공 시 하부 방수면 노출, 유지 보수 난이)</t>
  </si>
  <si>
    <t>과거 하자사례에 의해서 노출우레탄에서 방수보호판으로 변경된 사안입니다.</t>
  </si>
  <si>
    <t>CO/D-A/F-CE-13</t>
  </si>
  <si>
    <t>0802074</t>
  </si>
  <si>
    <t>나경재</t>
  </si>
  <si>
    <t>지하주차장 차량통행로 구간 소음저감배수판 적용 (배수판 일체화 공법)으로 하자 보수 비용 절감</t>
  </si>
  <si>
    <t>(개선 전) 배수판 위 무근콘크리트 슬래브가 위 또는 아래 방향으로 구부러지는 현상을 컬링이라고 하는데, 이로 인해 지하주1을 차량 이동 시 소음이 발생함, 또한 하자 발생으로 보수 비용이 추가로 발생함 (약액주입공법/우레탄주입공법/코어천공사춤 등), 가장 저렴한 약액주입공법 약 2,500원~3,000원/m2 ※ 일반배수판_2,550원+보수비용_3,000원=약5,550원/m2 
(개선 후) 소음저감배수판은 기존 배수판 바닥 한줄씩 엇갈려 타공 하여 화학적으로 무근 Con’c와 일체화를 하고, 타공이 되지 않은 한줄은 Anchor설치하여 물리적으로 일체화 함 ※ 소음저감배수판_3,000원+보수비용_0원=3,000원/m2 (현대산업개발, 삼성물산 등 타건설사의 실적으로 증명이 되었으며, 가장 중요한 것은 컬링 현상으로 인한 하자 발생 시 해당 업체에서 무상 보수 보증)</t>
  </si>
  <si>
    <t>　(25.06.02)하자보수비 예상하여 재무실적 추정. 또한 HDC현대산업개발 확인해 보니 실효성 없음</t>
  </si>
  <si>
    <t>CO/Z-YY-CE-2</t>
  </si>
  <si>
    <t>1501678</t>
  </si>
  <si>
    <t>고잔연립9구역 재건축</t>
  </si>
  <si>
    <t>남완주</t>
  </si>
  <si>
    <t>전자 기기 관리(드론, 빔프로젝트 등)</t>
  </si>
  <si>
    <t>※ 개선전 : 각 현장 개설시 해당 기기 구매 또는 전현장에서 전용 
※ 개선후 : 각 기기별 등록제 운영 → 개인 IT 장비(노트북이나 모니터) 관리하듯 기기별 등록하여 관리 및 이관 : 필요 현장 이관 또는 처분으로 인한 신규 구매 비용 절감</t>
  </si>
  <si>
    <t>PR/P-YY-CE-1</t>
  </si>
  <si>
    <t>박재보, 고한울, 박재보</t>
  </si>
  <si>
    <t>잠실 마이스 철거물, 순환골재 생산/활용</t>
  </si>
  <si>
    <t>(개선효과) 건설폐기물을 적절히 처리하여 환경문제를 해결하고 골재를 리사이클 하여 순환골재로 재활용하는 목적임
(개선방향)
1) 순환골재를 통한 가설 도로 활용
2)	레미콘 및 아스콘 공장 연계하여 순환골재 판매
(21년 1월 건설 폐기물 재활용 촉진에 따른 1000m2 이상의 건축공사는 골재 소요량의 40% 이상의 순환 골재로 사용)</t>
  </si>
  <si>
    <t>유관부서 및 TOP실 협의 결과 인허가, 민원으로 인해 현실가능성 매우 낮은 것으로 판단. 아이디어는 좋으나 실현이 어려워 불채택</t>
  </si>
  <si>
    <t>CO/Z-YY-CE-3</t>
  </si>
  <si>
    <t>현장 사무실 현황판 삭제후 모니터 설치</t>
  </si>
  <si>
    <t xml:space="preserve">(현상 및 문제점)
- 소장실의 조직도, 월별 사진, 공정표 등 수시변경 
- 공정관리, 원가관리, 현장 CCTV 관리를 위한 대형 모니터 필요 
- 안전 시설물 : 안전관리비 사용 가능 (모니터화)
(개선방향)
- 각종 게시물(현황판) 대신 모니터화 하여 자산 등재 가능
- 안전상황실등 안전관리비 사용 가능 </t>
  </si>
  <si>
    <t>정준영 2을 과제정의서  수행</t>
  </si>
  <si>
    <t>CO/I-PI-CE-4</t>
  </si>
  <si>
    <t>공정관리 Process 개선안</t>
  </si>
  <si>
    <t>(당초) 범용소프트 웨어 사용(excel 막대공정표)
(변경) 현장 Milestone 전산화 Tool 및 공기 산정 자동화 Program 개발  (Primavera6 형태의 Relation 기능 必)
(현상 및 문제점)
[공기산정/기준]
- PJ 대형화에 따른 복합개발/건축물에 대한 실적 Data 및 공기 산정 매뉴얼 부족 
- 발주처 사유(발주처의 설계변경 및 추가 사항) 및 천재지변, 노조, 파업 등에 대한 발주처 공기 연장 대응 방안 부족 
[공정관리]
- 계획 대비 신적 관리의 부재로 인한 조기 대응 방안 마련 미흡
- 현장별 Milestone Activity, 시작/완료일 기준 수립 다양화(현장 특수성 검토 역량 차이 발생)
- 공기 지연 발생에 대한 인지 및 보고 시점 지연(현장 공기 만회 의지 高)
- 지연시점 분석 난해  공기단축 필요 공종, 일수 객관화 난해(추가 간섭공종 검토 난해)
※ 초기공사(토목공사/구조물공사) 지연에 대한 후속공정 영향성 파악 난해</t>
  </si>
  <si>
    <t>(CFT 구성 및 과제정의서 작성중)</t>
  </si>
  <si>
    <t>EN/I-A/F-CE-34</t>
  </si>
  <si>
    <t>냉장고 상부장 지지대</t>
  </si>
  <si>
    <t>(현상 및 문제점) 
냉장고 상1갑은 일반냉장고와 김치냉장고의 규격에 따라 가로폭
2m 이상으로 구성되며, 상1갑 몸통 2개로 구성되고 중간에 쳐짐 방지 EP판넬을 설치하여 하중을 지지함.
이 방식은 냉장고 설치공간이 통상 1m+1m로 구성되어 사용자
의 다양한 냉장고 규격에 대응이 불가하여 공간이 남거나 각각의 공간이 부족한 경우가 발생함.
입주자들은 고정 EP를 철거하고 별도의 보강공사를 통해 냉장고
를 빌트인처럼 보이게 하고 남는 공간에 수납장을 추가 제작하여 설치하고 있음.
(제안안 설명)
당초:냉장고와 김치냉장고 사이에 대형 EP판넬을 설치하여 상1갑 하중을 지지하고 해당 판넬이 고정되어 각 공간의 가로폭이 확정되어 사용자 냉장고 규격에 대응할 수 없고 공간의 낭비가 발생함
변경:냉장고 상1갑 지지용 수직바 타입의 무빙 하드웨어를 개발하여 소비자가 원하는 위치에 설치할 수 있도록 함</t>
  </si>
  <si>
    <t>(1차검토 : 검토중)
신규 제품 개발 필요과제</t>
  </si>
  <si>
    <t>EN/E-E-CE-26</t>
  </si>
  <si>
    <t>경량벽체 기준 변경</t>
  </si>
  <si>
    <t>• (현황) 한국전기설비규정(KEC) 개정(산업통상자원부 공고 제2021-509호)
- ’22.01.01 최초 사업승인 접수 이후 PJ. 
- 건식벽체 설계기준 12.5t(불연재) + 9.5t 변경 적용
• (진행) 한국전기설비규정(KEC) 일부개정(산업통상자원부 공고 제2023-563호)
• 9.5t + 9.5t 구조에 대한 불연성능 시험성적서 확보시,
12.5t 변경에 따른 원가상승 억제 可</t>
  </si>
  <si>
    <t>당사 납품업체 9.5T+9.5T 불연성적서 발급가능여부 확인중</t>
  </si>
  <si>
    <t>CO/D-A/F-CE-14</t>
  </si>
  <si>
    <t>1500182</t>
  </si>
  <si>
    <t>제주 대정 공동주택</t>
  </si>
  <si>
    <t>탁영행</t>
  </si>
  <si>
    <t>단열데크 적용</t>
  </si>
  <si>
    <t>•	(현상 및 문제점) 시스템동바리+단열재 타설부착구간
•	(제안안 설명) 골조 층고 6m 이상 時
시스템동바리 +단열재 타설부착 구간 단열데크 적용
• (제약조건) 견적기준 변경 및 신규업체 발굴(단열데크자재 업체)</t>
  </si>
  <si>
    <t>아이디어 불채택
단열데크의 경우에는 탈형데크와 더불어 현장여건을 고려하여 적용해야되는 사안입니다.</t>
  </si>
  <si>
    <t>PR/C-Z-CE-1</t>
  </si>
  <si>
    <t>고한울, 안희진, 김태용</t>
  </si>
  <si>
    <t xml:space="preserve">균열보수공사 발주프로세스 개선 </t>
  </si>
  <si>
    <t>– 연간 단가 발주로 원가절감 및 신속 투입 도모</t>
  </si>
  <si>
    <t>2차 예정</t>
  </si>
  <si>
    <t xml:space="preserve">최근 중대재해 발생 및 품질에 대한 중요성이 더욱 대두 되면서 대외 기관의 점검이 많아지는 바, 점검에 즉각 대응하고 부실 벌점 부과 방지를 위해 균열보수공사 신속 수행이 필요합니다.
보수공사시 현장 여건의 간섭이 적으며 업체별 표면처리공법, 건식균열, 습식균열에 따른 각 공법이 유사하여 연간단가로 계약을 체결하여 수행해도 좋을 것으로 판단됩니다.
연간 발주물량을 계획하여 경쟁력있는 단가로 계약을 체결하여 원가절감과 신속한 시공으로 품질향상이 가능할 것으로 판단됩니다. </t>
  </si>
  <si>
    <t>PR/C-PI-CE-8</t>
  </si>
  <si>
    <t>투찰 금액 적정성 분석 프로세스 개정 (저가심의 기준 개정)</t>
  </si>
  <si>
    <t>– 저가심의 기준: ①실행 ②차순위금액 ③입찰평균
   √ (당초) ① 필수 충족, ②, ③ 중 1개 충족 시 심의
   √ (변경) ①, ②, ③ 중 2개 조건 충족 시 심의
– 주요 세부내역(비중 10% 이상 항목)에 대한 단가 심화 검토
   √ 협력사 의도적 고/저가 투찰로 인한 정산 Risk 대비</t>
  </si>
  <si>
    <t>논의중</t>
  </si>
  <si>
    <t>입찰 물량이 줄어듬에 따라 하도급 입찰경쟁 심화로 저가 입찰
행위가 증가할 것으로 예상됨에 따라 저가 심의 검토 범위를 재정립하여 정산 리스크를 최소화 할 수 있습니다.
(25.06.02)외주팀 자체적으로 시행 완료</t>
  </si>
  <si>
    <t>EN/I-A/F-CE-35</t>
  </si>
  <si>
    <t>0301121</t>
    <phoneticPr fontId="1" type="noConversion"/>
  </si>
  <si>
    <t>공동주택 거실 아트월 무간지 타일 적용</t>
  </si>
  <si>
    <t>(문제점)
모델하우스 건립 시 좌측 또는 우측 간지의 아트월 타일을 골라서 시공 
본 시공시에는 타일을 골라서 시공이 불가하기 때문에 
입주자 민원 다수 발생 및 협력업체 A.S거부로 비용과다발생
(개선방안)
개선전 : 모델하우스 간지 있는 타일 시공 
개선후 : 모델하우스 무간지 타일 시공 또는 트렌드업(공사중)을 
           통해서 타일을 골라서 시공가능한 비용으로 옵션처리
(유형효과)
본시공 후 불필요한 재시공 비용 절감(자재비, 외주비)</t>
  </si>
  <si>
    <t>(1차검토 : 미채택)
간지 거의 없는 사양으로 FORENA 2.0부터 적용하여 진행중
(포레나 안산고잔2차, 도마포레나해모로 현장부터 적용)</t>
  </si>
  <si>
    <t>CO/D-A/S-CE-15</t>
  </si>
  <si>
    <t>1901068</t>
    <phoneticPr fontId="1" type="noConversion"/>
  </si>
  <si>
    <t>비계설치시 해당공종 안전망 설치반영 건</t>
  </si>
  <si>
    <t>CO/D-A/S-CE-16</t>
  </si>
  <si>
    <t>아파트 계단실 바탕면 변경건</t>
  </si>
  <si>
    <t>즉시 적용건(과제정의서 작성 중)</t>
  </si>
  <si>
    <t>CO/D-A/S-CE-17</t>
  </si>
  <si>
    <t>아파트 하향식 피난사다리 안전덮개 형태 기준 적용건</t>
  </si>
  <si>
    <t>L&amp;L '23-05호 조치사항과 동일</t>
  </si>
  <si>
    <t>CO/D-A/S-CE-18</t>
  </si>
  <si>
    <t>아파트 현장 세대 외창 설치시 안전고리 체결용 생명줄 반영건</t>
  </si>
  <si>
    <t>통합
(297번)</t>
  </si>
  <si>
    <t>297번 아이디어와 병합(세대 추락방지시설 개선)</t>
  </si>
  <si>
    <t>CO/D-A/S-CE-19</t>
  </si>
  <si>
    <t>아파트 현장 세대 수직망 TYPE 변경건</t>
  </si>
  <si>
    <t>PR/P-A/S-CE-1</t>
  </si>
  <si>
    <t>박재보, 송원일, 박준용</t>
  </si>
  <si>
    <t>주방, 일반가구 액세서리 연간단가 적용건</t>
  </si>
  <si>
    <t>구매팀에서 기시행 완료, 현장 공유 예정</t>
  </si>
  <si>
    <t>EN/EX-E-CE-2</t>
  </si>
  <si>
    <t>1003081</t>
    <phoneticPr fontId="1" type="noConversion"/>
  </si>
  <si>
    <t>솔라결합형 전기차 충전쉘터</t>
  </si>
  <si>
    <t>(문제점)
ZEB 제도 시행으로 기존 주거동 옥상 면적으로 태양광 설치면적 충족 불가
(개선방안)
전기차 충전기 일부 지상화를 통해 주차 지붕구조물 상부 태양광 연계 방안 구축
발전 전력을 전기차 충전기에 일부 연계하여 적용
(투자비)
디자인 개발비 / 노출형 천정형 충전기 신규 개발비 / 구조물 구조검증 테스트 비용</t>
  </si>
  <si>
    <t>(1차검토 : 추후 재검토)
개발기간 및 투자비 과도(3년)하여 재검토 필요</t>
  </si>
  <si>
    <t>CO/Z-YY-CE-4</t>
  </si>
  <si>
    <t>1502614</t>
    <phoneticPr fontId="1" type="noConversion"/>
  </si>
  <si>
    <t>현장 BI, CI 그래픽 삭제</t>
  </si>
  <si>
    <t>과제정의서 작성중(민경민 2갑, 8/23 초안 회신 예정)</t>
  </si>
  <si>
    <t>EN/I-A/F-CE-36</t>
  </si>
  <si>
    <t>0500773</t>
    <phoneticPr fontId="1" type="noConversion"/>
  </si>
  <si>
    <t>유창렬</t>
  </si>
  <si>
    <t>근생 마감공사 최소화</t>
  </si>
  <si>
    <t>(문제점)
아파트단지內 근린생활시설(상가) 입주시 각 영업시설에 적합하게 마감공사(인테리어)를 재시공하므로, 입주전 마감공사가 불필요하며 향후 철거시 폐기물 발생
(개선방안)
▪ 개선전 : 상가 분양 영업시설의 천정은 경량천정(텍스), 바닥은 P타일, 벽체는 수성도장 마감 포함
▪ 개선후 : 기본마감 삭제→경량벽체, 창호공사, 환기/소방/위생/냉방 배관 설치(건축법규에 만족하는 최소한의 마감만 적용)</t>
  </si>
  <si>
    <t>(1차검토 : 미채택)
아이디어 실행에 대한 Loss 사항이 더 많아 미채택
(1) 공사 제외하는 항목만큼 도급하락 불가피
(2) 마감 미설치에 따른 바탕면, 설비류 노출에 따른 하자우려</t>
  </si>
  <si>
    <t>EN/S-A/S-CE-16</t>
  </si>
  <si>
    <t>1907080</t>
    <phoneticPr fontId="1" type="noConversion"/>
  </si>
  <si>
    <t>이경훈</t>
  </si>
  <si>
    <t>박준용, 박준용</t>
  </si>
  <si>
    <t>APT 외벽줄눈 덧살 미적용</t>
  </si>
  <si>
    <t>APT 외벽 외장줄눈(15mm) 덧살 미적용 
 (외벽 두께 265mm→250mm 변경)</t>
  </si>
  <si>
    <t>아이디어 인정, 과제 미채택
해당건은 23년 업무공지된 사항이며 LH, 포스코 등과 같은 기준으로 덧살 처리(하중고려) 방식으로 설계관리중인 사항입니다.</t>
  </si>
  <si>
    <t>EN/EX-A/F-CE-8</t>
  </si>
  <si>
    <t>2100433</t>
    <phoneticPr fontId="1" type="noConversion"/>
  </si>
  <si>
    <t>지하층 방수턱</t>
  </si>
  <si>
    <t xml:space="preserve">(문제점)
지하주차장을 중간층의 경우 마감콘크리트가 없어 대부분의 현장이 방수턱을 후 타설로 진행하는 경우가 많은데 면처리 등 하자발생율이 높음 
(개선방안)
기존 방수턱 설치시 양쪽 거푸집 설치로(표준시공상세도 354P) 거푸집 설치비용 증가 및 방수턱안쪽 거푸집 해체에 어려움이 많음. 방수턱을 L형측구와 같은 형태로 만듬 </t>
  </si>
  <si>
    <t>(1차검토 : 미채택)
제안사항과 당사 표준(오픈트렌치) 불일치</t>
  </si>
  <si>
    <t>EN/I-A/F-CE-37</t>
  </si>
  <si>
    <t>1500182</t>
    <phoneticPr fontId="1" type="noConversion"/>
  </si>
  <si>
    <t>결로성능평가 후 간접외기면 단열재 삭제</t>
  </si>
  <si>
    <t xml:space="preserve">(문제점)
간접외기면 단열재설치로 인해 타일부착면 하자발생 
(개선방안)
결로성능평가(별도용역) 후 간접외기면 단열재 삭제 
하자 : 타일부착면 하자 예방
원가 : 단열재설치외주비, 단열재구매비 절감 </t>
  </si>
  <si>
    <t>(1차검토 : 미채택)
성적서평가 대비 시뮬레이션 적용에 대한 절감확보 불확실
※ 시뮬레이션 기피사유
(1)인허가 기간 최소 2개월 연장
    - 착공 전 급한 경미변경 처리 불가(분양경기 대응 어려움)
(2) 시뮬레이션 결과에 따른 절감확보 불확실
    - 성적서 평가 대비 오히려 결로불만족 사례 자주 발생하여
      원 계획 대비 결로방지단열재 더 추가하는 사례 多</t>
  </si>
  <si>
    <t>CO/D-ID/H-CE-2</t>
  </si>
  <si>
    <t>1002922</t>
    <phoneticPr fontId="1" type="noConversion"/>
  </si>
  <si>
    <t>권호석</t>
  </si>
  <si>
    <t>안희진, 박재보</t>
  </si>
  <si>
    <t>안전점검비용(건진법) 절감</t>
  </si>
  <si>
    <t>EN/EX-A/S-CE-3</t>
  </si>
  <si>
    <t>1300238</t>
    <phoneticPr fontId="1" type="noConversion"/>
  </si>
  <si>
    <t>공동주택 최상층 층고 조정</t>
  </si>
  <si>
    <t xml:space="preserve">(문제점)
공동주택 최상층 층고가 기준층의 알폼셋팅 기준으로 형성할수 없도록 계획되어 있어 최상층 형성시 별도의 SL를 재 발주하여 형성함으로써 불필요한 인력/자재 등이 낭비됨.  
(개선방안)
Ex: 기준층 층고 2,800 / Slab두께 210 (최상층:180) / 지붕 단열재 150T
→최상층 층고 2,920mm 형성 
최상층 벽체 알폼높이 기준층과 동일하게 형성 
&lt;기준층(2800-210=2590mm) = 최상층(2920-180-150=2590mm)&gt; </t>
  </si>
  <si>
    <t>(1차검토 : 중점과제와 통합)
(공동주택 주거동+입단면 표준화)</t>
  </si>
  <si>
    <t>CO/Z-A/S-CE-1</t>
  </si>
  <si>
    <t>2201265</t>
    <phoneticPr fontId="1" type="noConversion"/>
  </si>
  <si>
    <t>이성로</t>
  </si>
  <si>
    <t>차원재, 송원일, 박준용</t>
  </si>
  <si>
    <t>현장 모니터링 시스템</t>
    <phoneticPr fontId="1" type="noConversion"/>
  </si>
  <si>
    <t>기 시행 중</t>
  </si>
  <si>
    <t>EN/I-A/F-CE-38</t>
  </si>
  <si>
    <t>1302537</t>
    <phoneticPr fontId="1" type="noConversion"/>
  </si>
  <si>
    <t>김종건</t>
  </si>
  <si>
    <t>김태용, 송원일</t>
  </si>
  <si>
    <t>공동주택 마이너스 옵션제 도입 활성화</t>
  </si>
  <si>
    <t xml:space="preserve">(문제점)
공동주택 입주 후, 다수의 세대들이 인테리어를 하기 위해 추가적인 금액을 인테리어 업체에 지불(철거비, 인테리어 등의 중복비용 발생) 現 건설사들은 수익성 저하로 마이너스 옵션은 홍보하지 않음 
(개선방안)
개선 전 : 입주자 모집공고에 마이너스옵션을 뒷부분에 명기 
개선 후 : 입주자 모집공고, 팜플릿에 마이너스 옵션 명기 
사유 : 개별 인테리어 수요 有, 마감철거비, 인테리어 중복비 발생 
제안 : 주요 마감공사를 제외하고, 당사 추가이윤 확보 
* 단, 확장형 선택 제안 / 욕실, 발코니, 다용도실 실외기실, 대피공간 마감전체,  
현관 디딤석 및 바닥타일, 세대 천장도배 및 조명 마감공사, 수전류 당사分 
 ☞ 입주자가 실내 인테리어에 거부감이 없도록, 거실 제외 공간은 당사 마감 </t>
  </si>
  <si>
    <t>(1차검토 : 미채택)
이득대비 단점 치명적
(1)바탕면 하자 적출 증가 우려
(2)옵션수익 하락</t>
  </si>
  <si>
    <t>기</t>
  </si>
  <si>
    <t>CO/Z-YY-CE-5</t>
  </si>
  <si>
    <t>1005145</t>
    <phoneticPr fontId="1" type="noConversion"/>
  </si>
  <si>
    <t>제2용인테크노밸리</t>
  </si>
  <si>
    <t>이효규</t>
  </si>
  <si>
    <t>현장 안전용품, 안전시설물 및 각종 비품 재활용 안</t>
  </si>
  <si>
    <t>CO/D-ID/H-CE-3</t>
  </si>
  <si>
    <t>2102319</t>
    <phoneticPr fontId="1" type="noConversion"/>
  </si>
  <si>
    <t>김호재</t>
  </si>
  <si>
    <t>세대수직망 설치타입 제안</t>
  </si>
  <si>
    <t>통합
(297)</t>
  </si>
  <si>
    <t>임윤택과제(297번)과 통합</t>
  </si>
  <si>
    <t>EN/M-M-CE-21</t>
  </si>
  <si>
    <t>0301105</t>
    <phoneticPr fontId="1" type="noConversion"/>
  </si>
  <si>
    <t>UV 살균램프 활용</t>
  </si>
  <si>
    <t>건축전기팀 기검토 진행중 아이템</t>
  </si>
  <si>
    <t>EN/M-M-CE-22</t>
  </si>
  <si>
    <t>온도 표시형 샤워수전 설치</t>
  </si>
  <si>
    <t>유관부서 협의(중국산 제품 및 품질검증 필요)</t>
  </si>
  <si>
    <t>EN/M-M-CE-23</t>
  </si>
  <si>
    <t>정온식 샤워기 개발</t>
  </si>
  <si>
    <t>정온식 샤워기 개발에 관한 아이디어 구체화 부족</t>
  </si>
  <si>
    <t>EN/I-A/F-CE-39</t>
  </si>
  <si>
    <t>단위세대 마이너스 옵션</t>
  </si>
  <si>
    <t xml:space="preserve">(문제점)
최근 입주 후 개별 인테리어를 실시하는 세대 증가, 이로 인한  
기존 마감재 철거에 따른 불필요한 폐기물 및 비용 발생. 
→ 사회적 비용 낭비 축소 및 당사 원가 절감 可   
(개선방안)
유상옵션 시행시 마이너스옵션 항목 추가하여 입주자들이 마감재 미시공 여부 선택할 수 있도록 조치. </t>
  </si>
  <si>
    <t>(1차검토 : 미채택)
기제출 아이디어</t>
  </si>
  <si>
    <t>EN/EX-A/F-CE-9</t>
  </si>
  <si>
    <t>주차장 PC 천정 마감 미적용</t>
  </si>
  <si>
    <t xml:space="preserve">(문제점)
최근 주1을PC 적용 확대 추세, 주1을PC구간 마감면 상태 양호하여 별도 마감(뿜칠 or 도장) 적용 불필요 (타사 PC구간 마감 미적용)  
(개선방안)
주1을PC 구간 천정 마감(뿜칠 or 도장) 미적용 </t>
  </si>
  <si>
    <t>(1차검토 : 미채택)
단순 변경 사항으로 인허가 도면에 문구추가로 기준 변경</t>
  </si>
  <si>
    <t>통합
(235번)</t>
  </si>
  <si>
    <t>EN/I-A/F-CE-40</t>
  </si>
  <si>
    <t>1204784</t>
    <phoneticPr fontId="1" type="noConversion"/>
  </si>
  <si>
    <t>유재원</t>
  </si>
  <si>
    <t>방화셔터변경</t>
  </si>
  <si>
    <t xml:space="preserve">(문제점)
방화셔터설치시 셔터의 길이에 따라 다르지만 셔터가 감기는 드럼의 두께가 두꺼워짐에 따라 셔터박스의 높이또한 높아져 층고부족발생. 
(개선방안)
실내의 경우 방화셔터를 스크린으로 적용이 가능하며, 주차장의 경우에는 지하 1층의 경우 강풍 등이 발생되면 방화스크린 적용이 어려울 수 있으나, 지하2층이상부터는 적용이 가능함 </t>
  </si>
  <si>
    <t>(1차검토 : 미채택)
최근 스크린방화셔터 화재시 유독가스 기사화
(2024.07.07_SBS 뉴스)
기사화 후 국토부 유해성 검증 진행 예정</t>
  </si>
  <si>
    <t>EN/E-E-CE-27</t>
  </si>
  <si>
    <t>0700234</t>
    <phoneticPr fontId="1" type="noConversion"/>
  </si>
  <si>
    <t>엘리베이터 케이지 가성비우수모델개발</t>
  </si>
  <si>
    <t>절감형 마감재를 반영한 디자인 표준안 개발</t>
  </si>
  <si>
    <t>보류</t>
  </si>
  <si>
    <t>EN/EX-A/S-CE-4</t>
  </si>
  <si>
    <t>최상층 거푸집라인 삭제</t>
    <phoneticPr fontId="1" type="noConversion"/>
  </si>
  <si>
    <t xml:space="preserve">(문제점)
실질적 노출도가 없는 옥탑슬라브에 태워지는 코아면에 거푸집 패턴 적용됨 
옥탑부 별도 유로폼 사용으로 줄눈 설치에 따른 시공 포인트 증가 
(개선방안)
지면에서 연속되는 코어면 제외하고 옥탑층 슬라브에 태워지는 코어면은 민판 적용 
별도 거푸집 패턴 제작 필요없으므로 비용절감 / 시공효율성 증대 </t>
  </si>
  <si>
    <t>(1차검토 : 채택)
줄눈 삭제에 따른 골조면 평편화 보완 검토 추가 필요</t>
  </si>
  <si>
    <t>CO/D-PI-CE-6</t>
  </si>
  <si>
    <t>2203380</t>
    <phoneticPr fontId="1" type="noConversion"/>
  </si>
  <si>
    <t>김범래</t>
  </si>
  <si>
    <t>고령작업자 위험직업 투입 금지(나이별 투입 공사 지침 수립)</t>
  </si>
  <si>
    <t>EN/I-M-CE-2</t>
  </si>
  <si>
    <t>1202921</t>
    <phoneticPr fontId="1" type="noConversion"/>
  </si>
  <si>
    <t>공동주택 계단실 FSD 사이즈 변경</t>
  </si>
  <si>
    <t>(문제점)
문틀 상부 피난유도등 설치 불가로 일부 현장은 천정형 또는 제품 스펙 변경
(개선방안)
FSD 높이를 2,100으로 100 하향하여 상부 수벽 확보</t>
  </si>
  <si>
    <t>(1차검토 : 단순 변경사항으로 미채택)
현재 EV홀, 계단실 FSD 높이 2,200으로 통일하여 적용중
단, 계단실은 피난유도등 유리한 방향으로 2,100 적용</t>
  </si>
  <si>
    <t>CO/I-PI-CE-5</t>
  </si>
  <si>
    <t>1801786</t>
    <phoneticPr fontId="1" type="noConversion"/>
  </si>
  <si>
    <t>김성환</t>
  </si>
  <si>
    <t>하자보수보증 수수료 절감</t>
  </si>
  <si>
    <t>도급계약서 반영이 어렵고, 절감효과 미미함</t>
  </si>
  <si>
    <t>PR/C-A/F-CE-8</t>
  </si>
  <si>
    <t>1300240</t>
    <phoneticPr fontId="1" type="noConversion"/>
  </si>
  <si>
    <t>공동주택 PL창호 대리점 직계약</t>
  </si>
  <si>
    <t>PL창호 대리점 직계약을 통해 대기업 PL창호 업체의 중간 마진을 없애고 비용 절감이 가능합니다. 다만, 발주처 및 사업특성에 따라 업체들 경쟁이 치열하여 저가 입찰 및 타절 리스크도 고려하여 검토가 필요합니다.
(25.06.02)대리점 직계약 장/단점 명확한 만큼, 유관부서 검토 필요</t>
  </si>
  <si>
    <t>EN/S-A/S-CE-17</t>
  </si>
  <si>
    <t>1402794</t>
    <phoneticPr fontId="1" type="noConversion"/>
  </si>
  <si>
    <t>오시리아 메디타운</t>
  </si>
  <si>
    <t>김재곤</t>
  </si>
  <si>
    <t>PC코어 적용을 통한 운송설비 조기 착공</t>
  </si>
  <si>
    <t xml:space="preserve">- 전 : RC 시공으로 코어부 및 비코어부 슬라브 골조 완료 후
 운송 설비 공정 투입
- 후 : 골조 코어부 별도 PC 시공하여 운송설비 공정 조기투입.
(운송 설비 착공을 위한 최소한의 환경 선 시공)
</t>
  </si>
  <si>
    <t>아이디어 미인정
전면 PC공법 적용은 경제성 및 품질(누수) 이슈 등으로, 기술은 오래전에 나온 공법임에도 불구하고 적용사례가 드문것으로 알고있습니다.  또한 양중, 제작형상 이슈 등으로 최초 계획설계부터 적용이 필요한 만큼 기 착공한 현장의 공기단축을 위한 목적에는 부적합한 방안입니다.</t>
  </si>
  <si>
    <t>수정접수 요청</t>
  </si>
  <si>
    <t>EN/E-E-CE-28</t>
  </si>
  <si>
    <t>주차장 CCTV 주차유도 중복설계 삭제</t>
  </si>
  <si>
    <t>주차장 CCTV 삭제 및 주차유도 카메라로 해당 역할 대체.</t>
  </si>
  <si>
    <t>CCTV겸용 주차유도카메라로 설계 반영예정임
(한화비전과 연간단가 계약 예정)</t>
  </si>
  <si>
    <t>EN/S-A/S-CE-18</t>
  </si>
  <si>
    <t>EV기계실 및 옥탑지붕층 데크슬래브 변경</t>
  </si>
  <si>
    <t xml:space="preserve">최초 설계시 비탈형 데크로 적용. 
(EV기계실바닥, 옥탑지붕층바닥) </t>
  </si>
  <si>
    <t>아이디어 인정, 과제 미채택
기술혁신팀에 해당 내용 전달하여 설계반영 하는 방식으로 조치예정입니다.</t>
  </si>
  <si>
    <t>EN/I-A/F-CE-41</t>
  </si>
  <si>
    <t>도배부위 줄견출 제안</t>
  </si>
  <si>
    <t xml:space="preserve">(문제점)
현재 벽체도배구간 전체 면처리로 진행, 벽체 정배 전 테두리 샌딩 및 퍼티 시공 + 초배지 시공으로 전체 견출 불필요라 판단. 
(개선방안)
벽체 도배구간에 대해서 AL폼 조인트부위 100mm 폭으로 줄견출 진행. </t>
  </si>
  <si>
    <t>(1차검토 : 미채택)
기 제출 아이디어</t>
  </si>
  <si>
    <t>CO/D-A/S-CE-20</t>
  </si>
  <si>
    <t>외벽 되메우기부위 폼타이 고무지수링 시공</t>
  </si>
  <si>
    <t>　(25.06.02) 품질 향상 및 하자 저감을 위한 개선사항(유형효과 X)</t>
  </si>
  <si>
    <t>CO/D-A/F-CE-15</t>
  </si>
  <si>
    <t>층간차음재</t>
  </si>
  <si>
    <t>EN/S-C-CE-6</t>
  </si>
  <si>
    <t>CIP강관철근망</t>
    <phoneticPr fontId="1" type="noConversion"/>
  </si>
  <si>
    <t xml:space="preserve">• 공장 선제작(Prefab)하는 강관철근망 (특허)를 통해 하기의 효과 기대 
 - 공기 단축 
 - 안전관리 강화 (경량화,고강도,시공 중 출렁거림/휨이 없음) 
 - 현장작업 최소화로 위험도 감소 
 - 현장부지 활용도 개선 (고철 미발생) </t>
  </si>
  <si>
    <t>통합
(38번)</t>
  </si>
  <si>
    <t>아이디어 인정, 과제 미채택(사유 : 과제 통합)</t>
  </si>
  <si>
    <t>EN/E-E-CE-29</t>
  </si>
  <si>
    <t>0301109</t>
    <phoneticPr fontId="1" type="noConversion"/>
  </si>
  <si>
    <t>파우더룸 스위치 일체형 콘센트 적용 검토</t>
  </si>
  <si>
    <t>기존 : 파우더룸 측면 2구 콘센트 + 조명기구 스위치 별도 시공
개선 : 스위치 일체형 콘센트 적용</t>
  </si>
  <si>
    <t>EN/E-E-CE-30</t>
  </si>
  <si>
    <t>2201217</t>
    <phoneticPr fontId="1" type="noConversion"/>
  </si>
  <si>
    <t>윤지훈</t>
  </si>
  <si>
    <t>태양광설비 제조사 확대</t>
  </si>
  <si>
    <t>한화큐셀 중국공장 제품 10%, 중국제조사 제품 30% 원가 절감</t>
  </si>
  <si>
    <t>한화큐셀 중국공장제품은 현재 실행편성에 일부 반영중.
중국제조사 제품 적용은 불가하다고 판단됨.</t>
  </si>
  <si>
    <t>EN/S-A/S-CE-19</t>
  </si>
  <si>
    <t>1000198</t>
    <phoneticPr fontId="1" type="noConversion"/>
  </si>
  <si>
    <t>토목 차수공법의 특허공법 배제</t>
  </si>
  <si>
    <t>[현상 및 문제점]
• 당사가 설계하는 마이스, 서울역의 차수는 특허공법 EGM적용, 수서역 특허공법 ESG 적용되어 공사비 상승요인이 됨. 
[개선방향]
• 자체 사업의 경우, 인허가 전 당사 개발 차수공법 (HEG) 혹은 특허 아닌 공법이 적용되도록 사전에 방지 (향후, 용산국제업무지구 사업 등 적용)
• 자체 사업 인허가 체크리스트 수립
-	차수공법, 방수, 자재 등 특허제품, 특정업체 제품의 인허가 단계에 들어가지 않도록 관리</t>
  </si>
  <si>
    <t>아이디어 미인정
차수공법의 경우 각종 인허가단계에서 특정 고가의 공법을 요구 또는 일반적인 저가의 공법(SGR, LW) 적용이 가능한 경우를 제외하고, HEG(Hyper Eco Grouting, 2023 당사개발 차수제)를 우선적용하는 것을 원칙으로 하고 있습니다.</t>
  </si>
  <si>
    <t>EN/S-A/S-CE-20</t>
  </si>
  <si>
    <t>1000201</t>
    <phoneticPr fontId="1" type="noConversion"/>
  </si>
  <si>
    <t>박희율</t>
  </si>
  <si>
    <t>트러스데크+콘판넬을 적용한 무지주 합벽 시스템 적용</t>
  </si>
  <si>
    <t xml:space="preserve">[현상 및 문제점]
• 지하층 합벽 시공 시 유로폼, 솔저 앙카, 합벽 지지대를 사용하여 거푸집 시공중
• 시공 구간 이동 시 합벽 지지대 및 유로폼 전체 해체 후 재시공 필요함 
• 대형 거푸집 전용 불가, 합벽 지지대 시공 및 해체에 따른 공기 및 공사비 증가
[개선방향]
• 타사 합벽 거푸집 공법 검토(DL E&amp;C) – 트러스데크 적용 및 갱폼화
- 갱폼화를 통한 대형 거푸집 전용 가능, 합벽 지지대 미시공으로 인한 공기 및 공사비 절감
</t>
  </si>
  <si>
    <t>아이디어 인정, 과제 미채택
해당건은 현장 TOP로 진행예정이며, TOP Day체크리스트 추가예정</t>
  </si>
  <si>
    <t>EN/S-A/S-CE-21</t>
  </si>
  <si>
    <t>1500183</t>
    <phoneticPr fontId="1" type="noConversion"/>
  </si>
  <si>
    <t>역타현장 레미콘 강도관리를 통한 원가절감</t>
  </si>
  <si>
    <t>[현상 및 문제점]
. 구조설계기준 일반사항 중 [콘크리트 압축강도 관련] 
     • 수직/수평부재 동시 타설 시, [수직부재 강도 : 수평부재 강도 = 1.4 : 1] 이하일 것.
     • 수직/수평부재 분리 타설의 역타구간(타설시점 차가 1개월 이상)은 해당사항 없음. 
[개선방향]
• 역타현장의 경우 주동부 수평부재 콘크리트 설계강도가 수직부재에 따른 설계강도일 경우 
구조계산을 만족하는 수준으로 검토하여 적용 필요</t>
  </si>
  <si>
    <t>아이디어 인정, 과제 미채택
역타현장 슬래브+기둥 접합부 Box-Open 처리시 가능함.(타설시점 확인 후 층별 적용필요)
서울역 / 수서역 지하층 역타시퀀스 고려하여 검토된것으로 확인함(서울역/수서역 - 구조담당자 확인 완료)</t>
  </si>
  <si>
    <t>EN/I-A/F-CE-42</t>
  </si>
  <si>
    <t>단위세대 욕실설계 합리화</t>
  </si>
  <si>
    <t xml:space="preserve">(문제점)
욕실 내경치수 과다(정치수)로 쪽 타일 버림물량 발생
(개선방안)
욕실 내경치수와 바닥치수 동일화 시 절단 타일 사용량 증가, 현재 기준으로 시공 시 절단된 타일 사용 불가능하나, 설계 변경 시 절단된 타일 현장에서 모아서 사용 가능해짐. 
절단 된 타일 재사용 시 타일 폐기물 20% 정도 절감 가능    
M/H와 동일한 치수로 시공 가능 
타일 떠붙힘 공법 적용 어려워 미장 반영하는 등의 현장 실수 방지 </t>
  </si>
  <si>
    <t>(1차검토 : 중점과제 편입)
인테리어 파트 크로스 검토 후 절감형 단위세대 변경 과제와 통합 예정</t>
  </si>
  <si>
    <t>CO/I-ID/H-CE-8</t>
  </si>
  <si>
    <t>2203310</t>
    <phoneticPr fontId="1" type="noConversion"/>
  </si>
  <si>
    <t>김우재</t>
  </si>
  <si>
    <t>신규 근로자 안전보건 서류 사전등록 절차</t>
  </si>
  <si>
    <t>아이디어가 참신하여 아이디어 제안 인정되나, 교육 집중도 및 관리측면에 대한 관련검토가 추가적으로 필요하여 과제화는 미채택하였습니다.</t>
  </si>
  <si>
    <t>EN/M-A/F-CE-1</t>
  </si>
  <si>
    <t>0703044</t>
    <phoneticPr fontId="1" type="noConversion"/>
  </si>
  <si>
    <t>박병규, 송원일, 김태용</t>
  </si>
  <si>
    <t>주차장 일반휀룸 양개방화문 편개로 변경</t>
  </si>
  <si>
    <t>EN/EX-A/F-CE-10</t>
  </si>
  <si>
    <t>지붕슬라브 노출 우레탄방수 변경 및 무근 삭제</t>
  </si>
  <si>
    <t xml:space="preserve">(문제점)
옥상 아스팔트복합시트 방수 적용 후 무근콘크리트 타설 및 컷팅, 코킹,파라펫 방수보호판 설치 실리콘 등 공정이 복잡하며, 무근콘크리트 보수로 인한 비용발생, 미관저해, T/C 임대 추가 등 발생, 누수 하자 발생 시 상부 보수 안될 시 하부 세대에서 우레아 인젝션 배면공법으로 누수 처리에 의한 입주자보상 문제등 발생  
(개선방안)
옥상 방수를 “노출우레탄(회색)” 3T로 변경 및 “탑코트 2회”를통해 외기노출과 직사광선에 대한 보호, 무근 콘크리트 삭제, 바닥컷팅 및 줄눈 실리콘 삭제, 측면 방수보호판(PE) 삭제, 누수 하자 발생 시 지붕에서 육안 확인 가능, 보수 간편하고 신속함 </t>
  </si>
  <si>
    <t>(1차검토 : 미채택)
기 검토 및 파일럿 시공 진행중(w/기술혁신팀)</t>
  </si>
  <si>
    <t>CO/Z-ID/Z-EXP-3</t>
  </si>
  <si>
    <t>0500764</t>
  </si>
  <si>
    <t>김정현</t>
  </si>
  <si>
    <t>사무실 책상 전화기 미설치</t>
  </si>
  <si>
    <t>책상 전화기를 잘 사용하지 않고, 개인 핸드폰으로 많이들 통화
하는 상황이며, 전화기를 없앰으로서 불필요한 낭비 저감 가능함
단, 소장, 관리, 팀장과의 인터폰용 전화기는 필요함</t>
  </si>
  <si>
    <t>2차 과제승인위원회 상정 예정</t>
  </si>
  <si>
    <t>EN/E-E-CE-31</t>
  </si>
  <si>
    <t>전기차 충전설비 급속/완속/이동형콘센트설비 개선 방안</t>
  </si>
  <si>
    <t>LG U+ 완속충전설비는 적용하되 급속/과금형콘센트를
분리하여 별도 외주공사 발주 시 원가 절감효과 기대
(기존 : 급속/완속/과금형 모두 LG U+ 일괄 수행 
-&gt; 개선 : 완속_LG U+ / 급속,과금_입찰)</t>
  </si>
  <si>
    <t>적용시 원가절감 가능하나, 시스템 이원화에 따른 
입주자 민원발생 리스크 有</t>
  </si>
  <si>
    <t>CO/D-Z-CE-2</t>
  </si>
  <si>
    <t>송명근</t>
  </si>
  <si>
    <t>공사진척도 확인을 위한 프로그램 개발</t>
  </si>
  <si>
    <t>공기산출 및 공정관리 개선과제 내용에 포함되어 있음</t>
  </si>
  <si>
    <t>PR/C-Z-CE-2</t>
  </si>
  <si>
    <t>APT 홈넷 공용자동문 분리발주</t>
  </si>
  <si>
    <t>하자보수처리 관련 업무스코프 문제, 상세스펙 등 다각도로 검토 예정</t>
  </si>
  <si>
    <t>EN/I-Z-CE-1</t>
  </si>
  <si>
    <t>김태용, 안희진, 김태용</t>
  </si>
  <si>
    <t>주차장 최하층(바닥배수판 구간) 외벽측 트렌치 앵글설치 대신 면귀 적용</t>
  </si>
  <si>
    <t>(문제점)
지하의 각종 외벽의 오픈트렌치 또는 기타 트렌치 코너 앵글의 습기에 의한 녹발생, 작업중 깨짐 발생등,  작업난이도 어려움 (앵글 띄움설치, 형틀 작업 등)
(개선방안)
트랜치나 패드 아웃코너의 앵글을 과감히 삭제 하고 모따기(막이 형틀에 큰면귀 설치) 하여, 작업성 향상, 유지관리 용이</t>
  </si>
  <si>
    <t>(1차검토 : 미채택)
특정 현장(도마9) 자체 TOP 절감금액으로 진행
무근타설 시 별도 재래식 형틀 추가 필요</t>
  </si>
  <si>
    <t>CO/D-Z-CE-3</t>
  </si>
  <si>
    <t>2100354</t>
  </si>
  <si>
    <t>김동성</t>
  </si>
  <si>
    <t>지역입찰제도</t>
  </si>
  <si>
    <t>구매팀 정인철 3급이 추진하는 외부 입찰 플랫폼 활용과 비품 관리방안 유사하여 미채택하였습니다.</t>
  </si>
  <si>
    <t>CO/D-Z-CE-4</t>
  </si>
  <si>
    <t>9606866</t>
  </si>
  <si>
    <t>승강기 개구부 안전차폐막 설치비용 절감</t>
  </si>
  <si>
    <t>　현장담당자별 차폐막 지급 및 설치 R&amp;R이 상이함.
제안내용 기반하여,
난간대설치후 승강기공사업체 차폐막을 설치하는 기준으로 
승강기 현설자료에 명기후 기준 통일 예정</t>
  </si>
  <si>
    <t>CO/D-Z-CE-5</t>
  </si>
  <si>
    <t>1300805</t>
  </si>
  <si>
    <t>남태인</t>
  </si>
  <si>
    <t>우천시 Con’c타설을 위한 갱폼일체형 보양 시스템</t>
  </si>
  <si>
    <t>　　(25.06.02) 우천시 타설에 대한 기술혁신팀 기술지침 공지</t>
  </si>
  <si>
    <t>CO/D-Z-CE-6</t>
  </si>
  <si>
    <t>1205358</t>
  </si>
  <si>
    <t>정선우</t>
  </si>
  <si>
    <t>미사용 지식재산권(특허,디자인권) 포기</t>
  </si>
  <si>
    <t>CO/D-E-CE-6</t>
  </si>
  <si>
    <t>전력간선 케이블 트레이 스펙 변경(조립식 트레이)</t>
  </si>
  <si>
    <t>CO/D-ID/H-CE-4</t>
  </si>
  <si>
    <t>안전시설비 외주계약으로 변경</t>
  </si>
  <si>
    <t>안전 내역화 등에 포함</t>
  </si>
  <si>
    <t>CO/D-Z-CE-7</t>
  </si>
  <si>
    <t>0701851</t>
  </si>
  <si>
    <t>조형준</t>
  </si>
  <si>
    <t>지하주차장 바닥마감 변경</t>
  </si>
  <si>
    <t>다운그레이드 항목</t>
  </si>
  <si>
    <t>CO/D-Z-CE-8</t>
  </si>
  <si>
    <t>1204784</t>
  </si>
  <si>
    <t>두겁석 삭제 후 견출 뿜칠적용</t>
  </si>
  <si>
    <t>(문제점)
장애인램프 유효폭 여유치수 없을 경우 두겁석이 내측 돌출로  유효폭 미달발생.
차량 램프의 경우 대부분 조경구간에 있어 두겁석의 의미 퇴색됨.
(개선방안)
벽체 도장마감의 경우 두겁석 삭제로 공기단축 및 시공단순화
개선 전 : 두겁석 =&gt; 사춤+미장 =&gt; 조인트부위 견출 =&gt; 도장
개선 후 : 견출 =&gt; 뿜칠시공</t>
  </si>
  <si>
    <t>(1차검토 : 미채택)
현 매뉴얼 치수 두겁석 포함 여유치수 시행중
해당 부위 부딛힘 자주 발생하여 뿜칠 적용시 지속
탈락 우려</t>
  </si>
  <si>
    <t>CO/D-Z-CE-9</t>
  </si>
  <si>
    <t>2201217</t>
  </si>
  <si>
    <t>전기안심건물 신청</t>
  </si>
  <si>
    <t>인증취득시 장점이 미미함</t>
  </si>
  <si>
    <t>EN/E-Z-CE-1</t>
  </si>
  <si>
    <t>오정화, 안희진, 김태용</t>
  </si>
  <si>
    <t>단위세대 복도등 3로 삭제</t>
  </si>
  <si>
    <t>소형 타입도 평면구조에 따라 3로스위치간 거리가 먼 경우가 존재하므로, 표준으로 정하기에는 어려움이 있음.</t>
  </si>
  <si>
    <t>CO/D-Z-CE-10</t>
  </si>
  <si>
    <t>수배전반 패드 일체형</t>
  </si>
  <si>
    <t>CO/D-Z-CE-11</t>
  </si>
  <si>
    <t>현관문 보양지 기준수립</t>
  </si>
  <si>
    <t>CO/D-Z-CE-12</t>
  </si>
  <si>
    <t>전력간선 Bus-Duct (Mini Way) 적용 검토</t>
  </si>
  <si>
    <t>원가절감가능여부 검토 필요</t>
  </si>
  <si>
    <t>EN/M-Z-CE-1</t>
  </si>
  <si>
    <t>2102319</t>
  </si>
  <si>
    <t>박병규, 안희진, 김태용</t>
  </si>
  <si>
    <t>공용홀 제연덕트구간 본공사용 수직 메탈라스망 선시공 제안</t>
  </si>
  <si>
    <t>기제출된 아이디어</t>
  </si>
  <si>
    <t>CO/D-Z-CE-13</t>
  </si>
  <si>
    <t>2002024</t>
  </si>
  <si>
    <t>김기현</t>
  </si>
  <si>
    <t>홈 무선네트워크 상품개발</t>
  </si>
  <si>
    <t>상품성개선에 효과 없다고 판단됨</t>
  </si>
  <si>
    <t>PR/C-A/S-CE-4</t>
  </si>
  <si>
    <t>주요공종 협력업체 소장 관리 POOL</t>
  </si>
  <si>
    <t>현장 수행에 있어 유사 P/J 경력 및 실적이 매우 중요합니다. 유사한 P/J 수행 경력 있는 유능한 협력사 소장 인선을 위한 인력 Pool 관리가 필요합니다.</t>
  </si>
  <si>
    <t>EN/I-Z-CE-2</t>
  </si>
  <si>
    <t>2102417</t>
  </si>
  <si>
    <t>박형준</t>
  </si>
  <si>
    <t>세대 내 차음 구조 벽체 일람 변경</t>
  </si>
  <si>
    <t>(문제점)
당 현장 세대(객실) 내 거실에 맞닿은 벽체 (건식 일람 “D7”)가 
차음 구조 (MP-STUD+차음 석고 양면 2p)로 설계되어 있음.
설계사 임의 Spec을 도서에 반영하였으며, 해당 Spec은 아파트 고급화 브랜드 설계 시
반영하는 항목 임. 
허가 도서 건식 벽 일람 표기 되어 있지 않고, 실시 도서 일람 적용 되어 있음.
(개선방안)
[ 12.5 ‘차음 석고’ * 2 p + M.P STUD + 12.5 ‘차음 석고’ * 2 p ] 에서 
[ 12.5 ‘일반 석고’ * 2 p + C-STUD + 12.5 ‘일반 석고’ * 2p ] 로 변경.
국내 건축법에서 실내 벽체에 대해서 용도 및 부위별 규정된 차음 기준 없으며,
차음 성능 시뮬레이션 결과 (크나우프 기술지원팀 자료 협조) 차음성능정도 지표인
Rw+C 값은 각각 52dB, 50dB 으로 차이가 미미.</t>
  </si>
  <si>
    <t>(1차검토 : 미채택)
특정 현장(아산배방) 당연업무에 해당
(내용 : 과도한 세대 내 차음벽_경량벽 설계)</t>
  </si>
  <si>
    <t>PR/P-ID/H-CE-1</t>
  </si>
  <si>
    <t>박재보, 박재보, 안희진</t>
  </si>
  <si>
    <t>안전보건집기류 관리체계 개선</t>
  </si>
  <si>
    <t>CO/D-Z-CE-14</t>
  </si>
  <si>
    <t>PJ전문직(1을)</t>
  </si>
  <si>
    <t>천안 순천향대 새병원</t>
  </si>
  <si>
    <t>정현용</t>
  </si>
  <si>
    <t>착공전 토양 오염물질 검사 용역</t>
  </si>
  <si>
    <t>관련업무 기존 수행지침 확인 필요</t>
  </si>
  <si>
    <t>CO/D-Z-CE-15</t>
  </si>
  <si>
    <t>결로방지재 절감안</t>
  </si>
  <si>
    <t>당 현장(도마9) 단순 설계도서 오류사항
(당 현장 한정 절감사항으로 진행)</t>
  </si>
  <si>
    <t>CO/D-Z-CE-16</t>
  </si>
  <si>
    <t>2100200</t>
  </si>
  <si>
    <t>이형표</t>
  </si>
  <si>
    <t>승강기 출입구 업체용 차폐막조기 설치</t>
  </si>
  <si>
    <t>현장담당자별 차폐막 지급 및 설치 R&amp;R이 상이함.
제안내용 기반하여,
난간대설치후 승강기공사업체 차폐막을 설치하는 기준으로 
승강기 현설자료에 명기후 기준 통일 예정</t>
  </si>
  <si>
    <t>EN/M-Z-CE-2</t>
  </si>
  <si>
    <t>소방감압밸브 메이커 다변화 제안서</t>
  </si>
  <si>
    <t>건축기계팀 기검토사항</t>
  </si>
  <si>
    <t>CO/D-A/S-CE-21</t>
  </si>
  <si>
    <t>0900472</t>
  </si>
  <si>
    <t>최홍순</t>
  </si>
  <si>
    <t>대형 현장 가설등 격등(20W 센서등) 설치</t>
  </si>
  <si>
    <t>대형현장 가설전등 기존운영안에 대한 대안발굴 필요성 공감.금액절감분에 대한 세부 검토 필요</t>
  </si>
  <si>
    <t>CO/D-A/S-CE-22</t>
  </si>
  <si>
    <t>2203394</t>
  </si>
  <si>
    <t>운암3단지 재건축</t>
  </si>
  <si>
    <t>이광배</t>
  </si>
  <si>
    <t>세대 내 APU배선을 이용한 가설콘센트 설치 제안</t>
  </si>
  <si>
    <t>EN/EX-A/S-CE-5</t>
  </si>
  <si>
    <t>주거동 저층부 석재 두겁라인 위치 하양</t>
  </si>
  <si>
    <t>(문제점)
주동 석재 끝단선이 거실창하부로 마감됨에 따라 거실창보다 낮게 위치한 실외기실 부분에서 석재선이 변화됨
(개선방안)
석재 끝단선 기준을 실외기실 하부로 맞춰 석재물량 감소 및 미관개선</t>
  </si>
  <si>
    <t>통합
(318번)</t>
  </si>
  <si>
    <t>(1차검토 : 318번 통합)
3층 석재 끝 라인을 4층 실외기실 개구부 하단 세팅
(물량 축소와 디자인 개선을 함께 이룰 수 있는 제안)</t>
  </si>
  <si>
    <t>CO/D-A/S-CE-23</t>
  </si>
  <si>
    <t>1203758</t>
  </si>
  <si>
    <t>윤방용</t>
  </si>
  <si>
    <t>마루처짐하자 예방</t>
  </si>
  <si>
    <t xml:space="preserve">　　(25.06.02) 현장 시공 관리 및 시공상세 update </t>
  </si>
  <si>
    <t>EN/I-A/S-CE-4</t>
  </si>
  <si>
    <t>지하주차장 중간층 외벽 방수턱 변경</t>
  </si>
  <si>
    <t>(문제점)
지하주1을 중간층 방수턱 골조로 시공할경우 공사비 증가
(개선방안)
개선전 – 골조 방수턱 시공시 공사비 증가 원인
개선후 – PVC 몰딩 설치(물흐름 방지 기능)</t>
  </si>
  <si>
    <t>(1차검토 : 미채택)
160번 아이디어 중복</t>
  </si>
  <si>
    <t>EN/I-A/S-CE-5</t>
  </si>
  <si>
    <t>지하주차장 트렌치 삭제</t>
  </si>
  <si>
    <t>(문제점)
지하주차장 외벽 트렌치 물고임으로 인한 입주후 민원 발생 多
(개선방안)
지하주차장 벽체 및 바닥 배수판 적용 현장은 결로수 노출이
안되기 때문에 트렌치 시공 불필요</t>
  </si>
  <si>
    <t>통합
(417번)</t>
  </si>
  <si>
    <t>(1차검토 : 417번과 통합)</t>
  </si>
  <si>
    <t>EN/S-A/S-CE-22</t>
  </si>
  <si>
    <t>1907087</t>
  </si>
  <si>
    <t>덕천3 재건축</t>
  </si>
  <si>
    <t>서영준</t>
  </si>
  <si>
    <t>슬래브 전단보강근 기성품 적용</t>
  </si>
  <si>
    <t>1.	기성품 사용으로 인한 시공성 향상/시공 품질 확보
-	구조물 안전성 확보
2.	대외 점검 시 “C”형 배근에 대한 구조물 안정성 지적시
대응이 어려움</t>
  </si>
  <si>
    <t>아이디어 인정, 과제 미채택
전단보강 기성제품적용 사례가 정리된 자료이나, 실제로 설계도면에 현장변경없이 제품적용 가능하도록 본사(기술혁심팀) 관리 필요하여 의견전달 예정입니다.</t>
  </si>
  <si>
    <t>CO/D-A/S-CE-24</t>
  </si>
  <si>
    <t>현장 직원 고용보험 공동원가 안분</t>
  </si>
  <si>
    <t>TOP추진실 주관 운영</t>
  </si>
  <si>
    <t>CO/D-A/S-CE-25</t>
  </si>
  <si>
    <t>0601303</t>
  </si>
  <si>
    <t>외주상생혁신팀</t>
  </si>
  <si>
    <t>김동하</t>
  </si>
  <si>
    <t>안전시설물 운영주체일원화</t>
  </si>
  <si>
    <t>통합
(TOP중점)</t>
  </si>
  <si>
    <t>TOP안전내역화에 포함</t>
  </si>
  <si>
    <t>EN/S-A/S-CE-23</t>
  </si>
  <si>
    <t>2202048</t>
  </si>
  <si>
    <t>노병준</t>
  </si>
  <si>
    <t>내수압슬래브 철근규격 변경을 통한 원가절감</t>
  </si>
  <si>
    <t xml:space="preserve">1. 철근 인장강도 증가 및 철근배근간격 증가를 통해 원가절감
- 철근인장강도 증가(HD-&gt;SHD)에 따른 배근간격 증가
  - 내수압슬래브 철근수량 감소에 따른 외주, 구매비 절감
</t>
  </si>
  <si>
    <t>아이디어 인정, 과제 미채택
종전까지는 회사의 설계기준은 SD400(D10, D13) 이었으며, 현재 SD500 으로 변경하여 설계적용을 하고있습니다, 분석해서 제출해주실 유형/무형 효과에 대한 자료는 참고하여 기술팀에 전달예정 입니다.</t>
  </si>
  <si>
    <t>CO/D-A/S-CE-26</t>
  </si>
  <si>
    <t>0301101</t>
  </si>
  <si>
    <t>강진</t>
  </si>
  <si>
    <t>하이브리드 조명기구 개발</t>
  </si>
  <si>
    <t>에너지절감 및 친환경 기술을 접목시켜 대외 홍보효과가 있는 제안이나, 현 시점에서 기술개발업무 즉시 진행은 어려울것으로 판단됨. 추후 재검토 예정</t>
  </si>
  <si>
    <t>CO/D-A/S-CE-27</t>
  </si>
  <si>
    <t>2102491</t>
  </si>
  <si>
    <t>최회권</t>
  </si>
  <si>
    <t>나사없는 전선관 적용 및 내역반영</t>
  </si>
  <si>
    <t>중복제안건으로 제안포상은 인정하나, 채택포상은 우선 제안한 직원에게만 지급될 예정.</t>
  </si>
  <si>
    <t>CO/D-A/S-CE-28</t>
  </si>
  <si>
    <t>승강로 내부시스템 발판 지하층 적용</t>
  </si>
  <si>
    <t>　　(25.06.02) 갱폼 관련 묶어서 검토 필요</t>
  </si>
  <si>
    <t>CO/D-A/S-CE-29</t>
  </si>
  <si>
    <t>AFC(가요성) 알루미늄피 케이블) 적용 및 내역반영 제안</t>
  </si>
  <si>
    <t>제안 포상 인정.
건축전기팀에서 검토중인 공동주택 ACF 적용관련 과제와 함께 추후 과제 디벨롭 예정</t>
  </si>
  <si>
    <t>CO/Z-A/S-CE-2</t>
  </si>
  <si>
    <t>FORENA 단지 등 소규모 리모델링 사업 추진</t>
  </si>
  <si>
    <t>사업화가 매우 어려울 것으로 예상(포레나 브랜드 사용불가)</t>
  </si>
  <si>
    <t>CO/D-C-CE-2</t>
  </si>
  <si>
    <t>현장별 (Ex&gt;서울역) 3D 활용 발파 면적 재검토</t>
  </si>
  <si>
    <t>　　(25.06.02)토공사 및 발파 정확도 제고를 위한 개선안
                  11차승인위원회때 대표이사님 의견 반영 가능</t>
  </si>
  <si>
    <t>CO/D-A/S-CE-30</t>
  </si>
  <si>
    <t>콘크리트 안전 표지판 magnet 활용</t>
  </si>
  <si>
    <t>CO/D-TF-CE-3</t>
  </si>
  <si>
    <t>인사지원</t>
  </si>
  <si>
    <t>2302996</t>
  </si>
  <si>
    <t>현장지원팀</t>
  </si>
  <si>
    <t>김남호</t>
  </si>
  <si>
    <t>현장사무실 통신공사 연간단가 체결</t>
  </si>
  <si>
    <t>CO/D-A/S-CE-31</t>
  </si>
  <si>
    <t>2203401</t>
  </si>
  <si>
    <t>조시영</t>
  </si>
  <si>
    <t>부대토목조경공사 설계변경 제안 건</t>
  </si>
  <si>
    <t>　　(25.06.02) 현장 VE로 정리</t>
  </si>
  <si>
    <t>CO/D-A/S-CE-32</t>
  </si>
  <si>
    <t>1301483</t>
  </si>
  <si>
    <t>이재국</t>
  </si>
  <si>
    <t>가설사무실 일괄소등스위치 반영</t>
  </si>
  <si>
    <t>CO/D-A/S-CE-33</t>
  </si>
  <si>
    <t>동 입상 CABLE TRAY규격 변경</t>
  </si>
  <si>
    <t>금액개선 효과 대비 시공성 고려했을때 채택 불가</t>
  </si>
  <si>
    <t>EN/E-E-CE-32</t>
  </si>
  <si>
    <t>발전기 매연저감장치 삭제</t>
  </si>
  <si>
    <t>추후 공용부 설계기준 개정때 통합예정</t>
  </si>
  <si>
    <t>CO/D-A/S-CE-34</t>
  </si>
  <si>
    <t>세대 에어컨 실외기 전선규격 변경</t>
  </si>
  <si>
    <t>추후 단위세대 설계기준 개정때 통합예정</t>
  </si>
  <si>
    <t>CO/D-A/S-CE-35</t>
  </si>
  <si>
    <t>전기직원 현장 조기투입</t>
  </si>
  <si>
    <t>직원배치는 건축전기팀에서 인력운영계획에 따라 진행중이고, 일률적인 기준으로 전 현장을 운영할 수 없는 점 양해 부탁드립니다.</t>
  </si>
  <si>
    <t>EN/I-A/S-CE-6</t>
  </si>
  <si>
    <t>주차장 외벽체 배수판 막구조 활용</t>
  </si>
  <si>
    <t>(문제점)
지하주차장 외벽 벽체배수판이 외벽체 수직도를 추종하는 단점이 있고 통수구 관리등을 위해 모듈판 해체 시 재시공이 쉽지 않음, 스터드형 배수판은 단가가 高
(개선방안)
“상부 고정축+막+하부트롤링 축 및 조임핸들” 등의 모듈로 구성하여 배수판 대신 막으로 팽팽한 커튼을 친듯한 배수판으로 개발하여 특허 및  현장에 특화로 적용</t>
  </si>
  <si>
    <t>(1차검토 : 미채택)
최근 스크린방화셔터(막 형식) 화재시 유독가스 기사화
(2024.07.07_SBS 뉴스)
기사화 후 국토부 유해성 검증 진행 예정</t>
  </si>
  <si>
    <t>EN/S-A/S-CE-24</t>
  </si>
  <si>
    <t>2202056</t>
  </si>
  <si>
    <t>이병권</t>
  </si>
  <si>
    <t>주차장 PILE 기초를 POINT Foundation 기초로 변경하여 20% 원가절감</t>
  </si>
  <si>
    <t xml:space="preserve">&lt;개선 전&gt;
[두부컷팅 및 되메우기 추가비용 발생]
부득이 하게 차량동선 및 자재야적공간을 확보해야 한다면 두부컷팅 하루 작업량이 확보가 안된 상태로 현장으로 호출 시키면서 추가비용 발생.
두부컷팅할 수 있도록 독립기초 터파기를 진행 후 컷팅 후 다시 되메우기를 해줘야 동선 확보가 되고, 추후 버림 타설전 추가 터파기를 해야함으로 장비투입 추가 발생
&lt;개선 후&gt;
[차량 동선확보 우수]
[기초공사 공기단축]
주차장에 포인트기초공법을 적용하면 파일 업체의 두부컷팅 추가비용 발생 저감, 파일의 자재비 절감, 주동부에서는 파일기초 주차장에서는 PF공법 시공을 병행하여 공기단축과 PF공법 시공 구간 평탄화 작업으로 차량동선으로 바로 활용
</t>
  </si>
  <si>
    <t xml:space="preserve">아이디어는 인정, 과제 미채택
몇 가지 오해하고 있는 사항에 대해서 회신 드립니다. 파일의 본당 지지력(단위 : ton), 지반에 지내력(단위 : ton/m2) 이므로 직접비교시에 기초바닥 면접을 곱해주어야 합니다. 또한 기술혁신팀의 설계기준도 PF류의 기초가 가능한 구간에 대해서는 우선적용을 검토하고있습니다. 여기서 가능한 구간은 지반교반이 가능한 조건(전석이 없는 양질의 토사층인 경우 등)이 있으며, 파일웍스라는 회사와 TR기초라는 대체공법을 공동 개발하여 적용중에 있습니다. </t>
  </si>
  <si>
    <t>CO/D-A/S-CE-36</t>
  </si>
  <si>
    <t>박준영</t>
  </si>
  <si>
    <t>협력사 컨테이너 차단기 표준화 및 전력량계 설치 의무화</t>
  </si>
  <si>
    <t>창원IDC 송지태2을 제안과 통합 예정</t>
  </si>
  <si>
    <t>CO/D-A/S-CE-37</t>
  </si>
  <si>
    <t>로봇청소기수납장 유상옵션</t>
  </si>
  <si>
    <t>(문제점)
건설사에서 로봇청소기 수납공간을 별도로 제공하지 않으므로 
시중 인테리어 업체에서 임의로 주방가구 하1갑을 로봇 청소기 
수납 장으로 변경 설치하여, 가구 안정성 및 바닥 마감의 미관 등에 문제가 발생
(개선방안)
세대 주방 가구에 로봇 청소기 수납 공간을 유상옵션으로 제공
• 개선 전 : 로봇청소기 거치 공간이 별도로 없어 지저분하게 노출하여 수납 
• 개선 후 : 깔끔하게 빌트인된 수납 공간에 로봇 청소기를 
보관가능하여  제품의 위생적인 관리 및 미관 개선</t>
  </si>
  <si>
    <t>(1차검토 : 채택)
제품 특성과 일체된 가구 상품성 확보가 주요할 것</t>
  </si>
  <si>
    <t>EN/I-A/S-CE-7</t>
  </si>
  <si>
    <t>반려견세면대 유상옵션</t>
  </si>
  <si>
    <t>(문제점)
• 당사 기준 : 포레나 1.0 에서 별도의 펫 프렌즈 인테리어 공간 형성 하여 반려견 세신 공간 제공 및 굿디자인 선정
• 비용이 높아 채택율이 적고, 펫 인테리어 형성 가능한 평면에서만 적용되어,  일부 평형에서만 선택가능한 아이템으로 볼륨적으로도 한계점이 있었음
(개선방안)
• 세면대를 펫목욕 겸용제품으로 교체 선택 가능하도록 유상옵션 선택형 제시
• 개선 전 : 옵션 없어 반려견 목욕시 욕조에서 허리를 숙여 목욕을 시켜야하는 상황
• 개선 후 : 세면 공간 옵션 선택으로 허리가 편안한 목욕 공간 제공 가능 
        1:1로 세면대만 교체하면 되므로, 옵션선택시 공사가 비교적 간편함</t>
  </si>
  <si>
    <t>통합
(393번)</t>
  </si>
  <si>
    <t>(1차검토 : 채택)
기존 공사 포인트가 증가되지 않는 수준에서 검토 필요
(배관 추가 설치, 기본형과 상이한 배관 배치 지양)</t>
  </si>
  <si>
    <t>EN/S-A/S-CE-25</t>
  </si>
  <si>
    <t>0900289</t>
  </si>
  <si>
    <t>인사기획팀</t>
  </si>
  <si>
    <t>안지성</t>
  </si>
  <si>
    <t>파일항타 최종 관입량 자동측정시스템 도입을 통한 업무 개선</t>
  </si>
  <si>
    <t>상용화된 기술 중 하나인 “파일항타 최종 관입량 자동측정시스템” 도입을 통해 업무 효율성 및 정확도 향상</t>
  </si>
  <si>
    <t>아이디어 인정, 과제 미채택
해당 시스템은 오시리아 현장을 비롯하여 일부현장에 적용된것으로 파악되었으며, 유관부서 공지를 통해서 현설자료에 해당내용이 포함되도록 조치 예정입니다.</t>
  </si>
  <si>
    <t>CO/D-A/S-CE-38</t>
  </si>
  <si>
    <t>2201270</t>
  </si>
  <si>
    <t>심상영</t>
  </si>
  <si>
    <t>협력업체 가설사무실 전기요금 정산</t>
  </si>
  <si>
    <t>CO/Z-YY-CE-6</t>
  </si>
  <si>
    <t>0802059</t>
  </si>
  <si>
    <t>기획팀</t>
  </si>
  <si>
    <t>공지강</t>
  </si>
  <si>
    <t>실행 편성 기준 강화</t>
  </si>
  <si>
    <t>유관부서 검토 중</t>
  </si>
  <si>
    <t>EN/S-A/S-CE-26</t>
  </si>
  <si>
    <t>0500390</t>
  </si>
  <si>
    <t>부산 당리2구역 재개발</t>
  </si>
  <si>
    <t>배진만</t>
  </si>
  <si>
    <t>호이스트 기초 표준안 작성</t>
  </si>
  <si>
    <t xml:space="preserve">구조체 위 설치하는 호이스트 기초 표준안 작성 배포하여
철근, 레미콘 절감
</t>
  </si>
  <si>
    <t>아이디어 인정, 과제 미채택
구조체  상부 호이스트 기초의 경우 하부 구조에 따라 결정되는 부분이 있어 표준화가 어려우며, 콘크리트 기초의 두께 절감이 어려울것으로 판단됨 (최소 300 유지)</t>
  </si>
  <si>
    <t>CO/D-A/S-CE-39</t>
  </si>
  <si>
    <t>지하층 외벽 누수관련</t>
  </si>
  <si>
    <t>CO/D-E-CE-7</t>
  </si>
  <si>
    <t>계단실 가설전등 교체시행</t>
  </si>
  <si>
    <t>해당 제안은 건축공사파트에서 작업안전성 확보를 위해 채택을 보류요청한 사항입니다.</t>
  </si>
  <si>
    <t>CO/D-A/S-CE-40</t>
  </si>
  <si>
    <t>스파이더 분배기 사용</t>
  </si>
  <si>
    <t>EN/M-E-CE-1</t>
  </si>
  <si>
    <t xml:space="preserve">박병규, 오정화, </t>
  </si>
  <si>
    <t>전기차 화재확산 방지 및 화재진압 시스템</t>
  </si>
  <si>
    <t>기계팀, 그린솔루션 협업 개발진행중(미개발 내년도 개발예정, 개발되어도 TOP과제인지 불분명)</t>
  </si>
  <si>
    <t>EN/EX-A/F-CE-11</t>
  </si>
  <si>
    <t>필로티 외곽기둥 석재1면 마감</t>
  </si>
  <si>
    <t>(1차검토 : 채택)
단, 디자인 보완 시안 작성 후 검토 필요
(또는 지역별 차등계획 필요할 수 있음)</t>
  </si>
  <si>
    <t>CO/D-A/F-CE-16</t>
  </si>
  <si>
    <t>경량벽체 가구시공부위 석고시공기준 재수립</t>
  </si>
  <si>
    <t>석고2P 제거시 경량벽 내부 불연성능 확보 불가</t>
  </si>
  <si>
    <t>CO/D-E-CE-8</t>
  </si>
  <si>
    <t>발전기실 마감재료 기준 재수립</t>
  </si>
  <si>
    <t>　　(25.06.02) 팀내 논의 필요 - 통합(1400번대)</t>
  </si>
  <si>
    <t>EN/E-E-CE-33</t>
  </si>
  <si>
    <t>한국전기설비규정에 따른 경량벽체 시공기준 수정</t>
  </si>
  <si>
    <t>(1차검토 : 검토중)
욕실부위 방수석고보드 미적용 사항 검토</t>
  </si>
  <si>
    <t>EN/EX-A/F-CE-12</t>
  </si>
  <si>
    <t>필로티 주동 출입구 개선을 통한 원가절감</t>
  </si>
  <si>
    <t>(1차검토 : 채택)
부분필로티일 경우 단차 형성 필요
완전필로티일 경우 이미 시행중
(1층 슬라브 GL+600은 전국 공통 통용사항)</t>
  </si>
  <si>
    <t>EN/EX-A/F-CE-13</t>
  </si>
  <si>
    <t>단위세대 내부 조적벽을 건식벽으로 적용</t>
  </si>
  <si>
    <t>(1차검토 : 중점과제 포함)
(단, 욕실은 조적벽 유지)</t>
  </si>
  <si>
    <t>EN/S-A/S-CE-27</t>
  </si>
  <si>
    <t>POS-H Beam 적용</t>
  </si>
  <si>
    <t>아이디어 인정, 과제 미채택
서울역 현장 VE로 진행예정</t>
  </si>
  <si>
    <t>CO/D-A/S-CE-41</t>
  </si>
  <si>
    <t>정밀 3D스캔 드론 활용 공사현장 하자 및 안전 점검</t>
  </si>
  <si>
    <t>CO/D-A/S-CE-42</t>
  </si>
  <si>
    <t>알폼 소음절감</t>
  </si>
  <si>
    <t>CO/D-A/S-CE-43</t>
  </si>
  <si>
    <t>유리컬러 투명적용 제안</t>
  </si>
  <si>
    <t>　　(25.06.02) 팀내 논의 필요</t>
  </si>
  <si>
    <t>CO/Z-YY-CE-7</t>
  </si>
  <si>
    <t>2300602</t>
  </si>
  <si>
    <t>내부회계운영팀</t>
  </si>
  <si>
    <t>안덕호</t>
  </si>
  <si>
    <t>실행 예산 변경에 대한 Unifier 적시 반영</t>
  </si>
  <si>
    <t>CO/Z-YY-CE-8</t>
  </si>
  <si>
    <t>2302376</t>
  </si>
  <si>
    <t>양해근</t>
  </si>
  <si>
    <t>도급, 실행품의 통합</t>
  </si>
  <si>
    <t>유관부서 검토 중 / DT제안</t>
  </si>
  <si>
    <t>CO/Z-YY-CE-9</t>
  </si>
  <si>
    <t>스마트 자재 관리</t>
  </si>
  <si>
    <t>구체성 부족</t>
  </si>
  <si>
    <t>CO/D-E-CE-9</t>
  </si>
  <si>
    <t>2201265</t>
  </si>
  <si>
    <t>전기 가설 시공방법</t>
  </si>
  <si>
    <t>각 현장별 여건이 상이해, 현장 여건에 따라 담당자의 판단을 통해 정리가 필요한 사항으로써, 전체 표준화를 하는 것은 어려워보임.</t>
  </si>
  <si>
    <t>EN/EX-A/F-CE-14</t>
  </si>
  <si>
    <t>지하주차장 트렌치 삭제의 건</t>
  </si>
  <si>
    <t>(1차검토 : 미채택)
기술팀 기술공지('24.10) 사항과 상충</t>
  </si>
  <si>
    <t>EN/I-A/F-CE-43</t>
  </si>
  <si>
    <t>건식벽체 조적으로 변경의 건</t>
  </si>
  <si>
    <t>(1차검토 : 미채택)
원당1구역에만 해당되는 사항(욕실 건식벽 적용)
주관사(포스코) 협의 필요한 특정현장 고유 검토업무</t>
  </si>
  <si>
    <t>CO/Z-PI-SNA-4</t>
  </si>
  <si>
    <t>1300258</t>
  </si>
  <si>
    <t>김정철</t>
  </si>
  <si>
    <t>현장소장 업무 간소화 지원</t>
  </si>
  <si>
    <t>현 시점, 변경 사항 적응 후 추가 과제화는 추가</t>
  </si>
  <si>
    <t>EN/I-A/F-CE-44</t>
  </si>
  <si>
    <t>대피실 방화벽 건식에서 골조로 변경의 건</t>
  </si>
  <si>
    <t>EN/M-M-CE-24</t>
  </si>
  <si>
    <t>정화조 설치 삭제 건
(대전 학하 민간임대 限)</t>
  </si>
  <si>
    <t>현장내 정화조를 거쳐 오수를 분류식관로에 연결하는 것은 불필요 한것으로 판단되어 유성구청 및 설계사 협의결과 현장내 정화조설치는 삭제 하는 것 으로 확정 함</t>
  </si>
  <si>
    <t>현장 VE 진행(과제정의서 작성 요청 필요)</t>
  </si>
  <si>
    <t>CO/D-YY-CE-1</t>
  </si>
  <si>
    <t>안희진, 고한울, 박재보</t>
  </si>
  <si>
    <t>재건축, 재개발 현장 착공 전(철거시) 안전관리자 배치기준 수립의 건</t>
  </si>
  <si>
    <t>-	건축(공사.,공무) 인원 중, 안전자격증 소지인원 배치
(인건비 절감, 설계/착공도서 준비 가능, 인건비 절감 가능)</t>
  </si>
  <si>
    <t>제안한 사항은 실제 인력배치시, 진행했거나 진행 예정 사항이며 인력의 현장 배치는 안전자격증 소지 여부 및 다른 배치 요인(현장 수행 경험, 조직관리 및 시너지, 개인 면담 등)과 연계하여 종합적 판단을 하여 배치합니다.</t>
  </si>
  <si>
    <t>CO/D-A/F-CE-17</t>
  </si>
  <si>
    <t>1104087</t>
  </si>
  <si>
    <t>상인천초교주변 재개발</t>
  </si>
  <si>
    <t>최영민</t>
  </si>
  <si>
    <t>경량벽체 하부런너 형태변형을 통한 원가절감 및 하자예방</t>
  </si>
  <si>
    <t xml:space="preserve">1.	경량벽체 하부 런너의 높이를 50→120 변경하여 방바닥몰탈 높이보다 높게 시공
2.	경량벽체를 런너와 스터드만 시공하고 방바닥미장을 시공
3.	방바닥미장 양생 후 경량벽체 그라스울과 석고시공
</t>
  </si>
  <si>
    <t>(25.06.02) 팀내 논의 필요</t>
  </si>
  <si>
    <t>CO/D-A/F-CE-18</t>
  </si>
  <si>
    <t>2201249</t>
  </si>
  <si>
    <t>이봉은</t>
  </si>
  <si>
    <t>카스토퍼 수량 변경</t>
  </si>
  <si>
    <t xml:space="preserve"> 1. 주차대수당 카스토퍼 2EA 설치(L 750 * 2EA)
 2. LH시방서 기준(주차안전시설물) : L 900이상 1EA 설치(첨부1)</t>
  </si>
  <si>
    <t>　(25.06.02) 팀내 논의 필요(현장 VE로 정리) / 통합</t>
  </si>
  <si>
    <t>PR/C-A/F-CE-9</t>
  </si>
  <si>
    <t>1604812</t>
  </si>
  <si>
    <t>이승일</t>
  </si>
  <si>
    <t>계단실 가설난간대 중복 설치 방지 방안</t>
  </si>
  <si>
    <t>안전팀에서 계단실 가설난간대 설치를 하는 기존 방식보다, 계단실 본 시공 난간대 업체에서 사용하는 가설난간대 자재를 지급받아 설치, 자재비를 절감하고, 계단실 난간대 공사비를 절감.</t>
  </si>
  <si>
    <t>기제출 아이디어와 중복
(3차과제승인위원회 : 난간대 통합발주 및 연간단가)</t>
  </si>
  <si>
    <t>CO/Z-PI-EXP-17</t>
  </si>
  <si>
    <t>VPPA사용으로 REC 구매비용 절감</t>
  </si>
  <si>
    <t>VPPA계약 체결하여 re100 진행관련 전기사용금액 절감</t>
  </si>
  <si>
    <t>K RE-100 진행 시 당사 적용사항
(6차 과제승인위원회 상정 예정)</t>
  </si>
  <si>
    <t>CO/Z-PI-CE-10</t>
  </si>
  <si>
    <t>현장 VPN 및 랜선 포설 삭제(Wifi 사용)</t>
  </si>
  <si>
    <t>보안문제 등 현실적인 문제 多</t>
  </si>
  <si>
    <t>CO/I-TF-CE-16</t>
  </si>
  <si>
    <t>2400741</t>
  </si>
  <si>
    <t>조기웅</t>
  </si>
  <si>
    <t>품질 시험,검사기관 설립, 인수로 현장 품질시험비용 최소화</t>
  </si>
  <si>
    <t>1.	주요 건설자재(콘크리트용 골재, 철근, 형강류, 가설기자재, 단열재 등)의 의뢰시험 비용으로 현장당 약4000~6000만원 이상 사용되는 실정임.
2.	품질시험 전문기관 설립 또는 인수를 통해 시험기관에서 취하는 마진율 약20% 정도를 절감 함으로써 실행예산 및 공사비용 점감 가능</t>
  </si>
  <si>
    <t>EN/S-A/S-CE-28</t>
  </si>
  <si>
    <t>EV옥탑층 PC공사</t>
  </si>
  <si>
    <t>준공시점 대비 돌관 예상 현장 파악
→ 구조, 시공방법, 원가, 안전 등의 유관부서들의 검토
→ E.V 옥상층 PC공사 가능한 전문업체 현설(옥상층~옥탑층까지 PC공사)</t>
  </si>
  <si>
    <t>아이디어 인정, 과제 미채택
옥탑층 PC공법 적용은 경제성 및 품질(누수) 이슈 등으로, 기술은 오래전에 나온 공법임에도 불구하고 적용사례가 드문것으로 알고있습니다.  또한 양중, 제작형상 이슈 등으로 최초 계획설계부터 적용이 필요한 만큼 기 착공한 현장의 공기단축을 위한 목적에는 부적합한 방안입니다.</t>
  </si>
  <si>
    <t>EN/EX-A/S-CE-6</t>
  </si>
  <si>
    <t>옥상층옥탑외부사다리-&gt;옥상EV기계실 내부설치</t>
  </si>
  <si>
    <t>(1차검토 : 미채택)
누수 우려에 따른 현 기준(외부사다리) 유지
(1)사다리 커버 방수턱으로 인해 모서리 물고임 형성
(2)방수턱 인근 크랙 발생 빈번
(3)EV기계실 물 유입 우려</t>
  </si>
  <si>
    <t>EN/I-A/F-CE-45</t>
  </si>
  <si>
    <t>지하주차장 트렌치 삭제
(PC-&gt;콩자갈)</t>
  </si>
  <si>
    <t>(1차검토 : 미채택)
(1)콩자갈 설치에 따른 차량 파손 및 이동 안전 저해
(2)PC트렌치 미설치에 따른 CON'C 면처리 추가 필요
(3)콩자갈은 급격한 물 유입시 배수성능 떨어짐</t>
  </si>
  <si>
    <t>EN/EX-A/F-CE-15</t>
  </si>
  <si>
    <t>공용부 조립식 난간 표준화</t>
  </si>
  <si>
    <t>EN/I-A/F-CE-46</t>
  </si>
  <si>
    <t>주차장 바닥 마감 변경건</t>
  </si>
  <si>
    <t>(1차검토 : 미채택)
TOP 주관 주차장 바닥 마감 기준 변경 중</t>
  </si>
  <si>
    <t>EN/I-A/F-CE-47</t>
  </si>
  <si>
    <t>2202047</t>
  </si>
  <si>
    <t>김영규</t>
  </si>
  <si>
    <t>욕실 벽 마감 설계 치수 조정에 따른 바탕몰탈 부자재 감소</t>
  </si>
  <si>
    <t>(1차검토 : 미채택)
기 제출 아이디어 중복</t>
  </si>
  <si>
    <t>CO/D-A/S-CE-44</t>
  </si>
  <si>
    <t>1907080</t>
  </si>
  <si>
    <t>지붕 단부 보호 Con'c 거푸집 변경</t>
  </si>
  <si>
    <t>　(25.06.02) 팀내 논의 필요(현장 VE로 정리)
               기성품 사용 가능 / 견적지침 개정</t>
  </si>
  <si>
    <t>EN/E-E-CE-34</t>
  </si>
  <si>
    <t>1400254</t>
  </si>
  <si>
    <t>김주은</t>
  </si>
  <si>
    <t>세대용 APU회로 수량 변경</t>
  </si>
  <si>
    <t>현재 코어당 2개회로 구성 기준으로 설계중입니다. 
(24년도 전기설계지침 개정내용 참고요망)</t>
  </si>
  <si>
    <t>EN/I-A/F-CE-48</t>
  </si>
  <si>
    <t>욕실벽체 마감 변경</t>
  </si>
  <si>
    <t>(1차검토 : 미채택)
기 시행사항(조적벽 합지시공)</t>
  </si>
  <si>
    <t>CO/Z-PI-CE-11</t>
  </si>
  <si>
    <t>1501536</t>
  </si>
  <si>
    <t>DT팀</t>
  </si>
  <si>
    <t>김철현</t>
  </si>
  <si>
    <t>지식관리포털 도입</t>
  </si>
  <si>
    <t>투자대비 기대효과 산출 어려움</t>
  </si>
  <si>
    <t>PR/P-PI-CE-6</t>
  </si>
  <si>
    <t>2101154</t>
  </si>
  <si>
    <t>신규식</t>
  </si>
  <si>
    <t>지급자재 지급보증으로 지입자재 전환</t>
  </si>
  <si>
    <t>추가로 더 할만한 아이템이 별로 없으며,
지입으로 전환시, 협력사 세금+관리비 등으로 최소 15% 이상의 단가가 상승한다고 합니다.
가구 액세서리 처럼 추가로 할만한 아이템이 구체적으로 있다면 다시 한번 제안 부탁드립니다.</t>
  </si>
  <si>
    <t>CO/I-PI-CE-6</t>
  </si>
  <si>
    <t>AS현장 하자관리매니저 근무 조정</t>
  </si>
  <si>
    <t>고객서비스팀 팀내 해결</t>
  </si>
  <si>
    <t>CO/D-PI-CE-7</t>
  </si>
  <si>
    <t>시공효율 자료 축적을 통한 공법개선(원가절감) 및 공정관리</t>
  </si>
  <si>
    <t>CO/D-A/S-CE-45</t>
  </si>
  <si>
    <t>지하주차장 중간층 배수방법 개선</t>
  </si>
  <si>
    <t>CO/D-A/S-CE-46</t>
  </si>
  <si>
    <t>2203405</t>
  </si>
  <si>
    <t>미아 삼양 주상복합</t>
  </si>
  <si>
    <t>최린건</t>
  </si>
  <si>
    <t>공사중 최하층에 유입되는 우수 처리 비용 절감</t>
  </si>
  <si>
    <t>PR/P-A/S-CE-2</t>
  </si>
  <si>
    <t>2201236</t>
  </si>
  <si>
    <t>이득균</t>
  </si>
  <si>
    <t>지급자재 품목 탄력적 운영</t>
  </si>
  <si>
    <t>외주업체의 정산 요구가 자재업체보다 더욱 빈번하며 협상이 더욱 어려움. 현실가능성이 너무 낮은 제안</t>
  </si>
  <si>
    <t>EN/S-A/S-CE-29</t>
  </si>
  <si>
    <t>2101152</t>
  </si>
  <si>
    <t>박봉석</t>
  </si>
  <si>
    <t>MSP전단보강재를 이용한 직접기초 뚫림전단보강 적용</t>
  </si>
  <si>
    <t xml:space="preserve">1.전단보강재(MSP) 설치를 통해 기초의 내력을 증대, 부재 크기를 축소하여 이에 따른 터파기량, 콘크리트량 절감.
2.MSP 전단보강재를 사용하여 기존 전단보강철근 설치대비 시공성, 안전성 향상
- 개선 전 : 1)보강철근 시공으로 많은 인력 및 장시간 작업 필요(시공성문제), 시공 오류 多
- 개선 후 : 1)기초 두께 축소 가능 – 콘크리트량, 터파기량 절감
2) 전단보강재 설치작업이 간단하며 시공, 안전, 품질관리 용이
</t>
  </si>
  <si>
    <t>아이디어 인정, 과제 미채택
해당공법에 대한 안전성이 단순 표준모델 실험이며, 구조기술사회 인증 실적 없음.(대관업무 RISK)</t>
  </si>
  <si>
    <t>EN/I-A/S-CE-8</t>
  </si>
  <si>
    <t>1층 우편함 양면사용</t>
  </si>
  <si>
    <t xml:space="preserve">(1차검토 : 미채택)
1층 공용홀 환경 저하 우려(냉기/습기 침투, 결로우려) </t>
  </si>
  <si>
    <t>EN/I-A/F-CE-49</t>
  </si>
  <si>
    <t>시스템가구 옵션화</t>
  </si>
  <si>
    <t>(1차검토 : 미채택)
각 사업별 사업성 특성에 따라 결정되는 사항</t>
  </si>
  <si>
    <t>CO/D-A/S-CE-47</t>
  </si>
  <si>
    <t>프로젝트별 최적 거푸집 적용을 위한 협의체 운영 제안</t>
  </si>
  <si>
    <t>유관부서(견적, 기술) 미팅필요(과거 연단가 사례)
　(25.06.02) 중점과제 중 철근, 레미콘 진행 하고 있으며
   거푸집에 대한 깊이 있는 검토가 필요하다고 생각함</t>
  </si>
  <si>
    <t>EN/I-A/F-CE-50</t>
  </si>
  <si>
    <t>2201268</t>
  </si>
  <si>
    <t>김영진</t>
  </si>
  <si>
    <t>본전기 계약용량 변경에 전기요금 절감의 건</t>
  </si>
  <si>
    <t>해당현장 전기공급자인 지역난방공사에는 관련없규가 없으므로 협의 필요한 사항.
공동주택 절감효과 도출가능 여부 검토중</t>
  </si>
  <si>
    <t>CO/I-ID/Z-CE-1</t>
  </si>
  <si>
    <t>2100847</t>
  </si>
  <si>
    <t>양혁철</t>
  </si>
  <si>
    <t>가설 기자재 의뢰시험 회원사 할인적용</t>
  </si>
  <si>
    <t>발표완료 과제</t>
  </si>
  <si>
    <t>CO/Z-ID/H-CE-1</t>
  </si>
  <si>
    <t>차원재, 박재보, 안희진</t>
  </si>
  <si>
    <t>안전보호구 지급 주기 개선</t>
  </si>
  <si>
    <t>지급주기 관리비용 상승. 현장 상황에 따라 안전용품 사용 기간 차이가 심할 것으로 보임. 이러한 절감, 절약은 규정화 보다는 임직원들이 자발적으로 하는 것이 좋을 것으로 보임</t>
  </si>
  <si>
    <t>EN/E-E-CE-35</t>
  </si>
  <si>
    <t>2203392</t>
  </si>
  <si>
    <t>권병구</t>
  </si>
  <si>
    <t>지하주차장 동력 배관 방식 변경(노출_매립)</t>
  </si>
  <si>
    <t>현장여건 및 장비배치위치에 따라 노출배관 적용 필요한 구간 발생할 수 있으므로, 전체 매립배관으로 표준화시키는 것은 어려움.
현장 VE로 진행요망.</t>
  </si>
  <si>
    <t>CO/D-A/S-CE-48</t>
  </si>
  <si>
    <t>아레나 가설 벤트</t>
  </si>
  <si>
    <t>EN/S-Z-CE-1</t>
  </si>
  <si>
    <t>박준용, 안희진, 김태용</t>
  </si>
  <si>
    <t>내구성 도료적용</t>
  </si>
  <si>
    <t>4차 과제승인위 상정완료</t>
  </si>
  <si>
    <t>EN/E-E-CE-36</t>
  </si>
  <si>
    <t>1205315</t>
  </si>
  <si>
    <t>이호명</t>
  </si>
  <si>
    <t>일반전기공사 내역 등기구 보강대 삭제</t>
  </si>
  <si>
    <t>등기구 보강대 삭제기준으로 견적지침 변경 완료하였음</t>
  </si>
  <si>
    <t>EN/I-A/F-CE-51</t>
  </si>
  <si>
    <t>지하주차장 마감재 변경</t>
  </si>
  <si>
    <t>경질우레탄 -&gt; 에폭시라이닝 적용 및 시공두께(0.7) 통일
(과제승인과 동시 기술팀 기술공지 예정사항)</t>
  </si>
  <si>
    <t>(1차검토 : 채택)
과제승인 완료</t>
  </si>
  <si>
    <t>CO/Z-PI-CE-12</t>
  </si>
  <si>
    <t>일반 건축물 디자인팀 주관하 VE 진행</t>
  </si>
  <si>
    <t>아이디어 인정, 과제 미채택</t>
  </si>
  <si>
    <t>EN/E-E-CE-37</t>
  </si>
  <si>
    <t>공동주택 국선,사선 회선 수 기준변경</t>
  </si>
  <si>
    <t>건축전기팀과 협의하여 기준 정립 예정</t>
  </si>
  <si>
    <t>EN/E-E-CE-38</t>
  </si>
  <si>
    <t>주방가구 콘센트 연단가 추진</t>
  </si>
  <si>
    <t>디자인팀에서 연단가 운영중</t>
  </si>
  <si>
    <t>EN/I-M-CE-3</t>
  </si>
  <si>
    <t>1300807</t>
  </si>
  <si>
    <t>한규성</t>
  </si>
  <si>
    <t>SMC흡출기 하부 구조체 변경</t>
  </si>
  <si>
    <t>흡출기 하부 ㄷ골조와 마구리 조적부 구분으로 작업 난해
하부 구조체 골조 일체 타설하여 공기단축</t>
  </si>
  <si>
    <t>(1차검토 : 미채택)
공동주택 욕실,주방 직배기 기 적용(당사 기준)
해당 사항은 인천학익(변경 전 당사 기준) 한정 사항</t>
  </si>
  <si>
    <t>CO/D-A/S-CE-49</t>
  </si>
  <si>
    <t>갱폼의 견출용 케이지 최하층 삭제</t>
  </si>
  <si>
    <t>EN/E-E-CE-39</t>
  </si>
  <si>
    <t>NSC공사 VE제안을 통한 도급금액 증액의 건</t>
  </si>
  <si>
    <t>TOP과제화는 불가. 현장 VE로 진행요망</t>
  </si>
  <si>
    <t>EN/E-E-CE-40</t>
  </si>
  <si>
    <t>NSC공사 간접비조정을 통한 공급가 절감의 건</t>
  </si>
  <si>
    <t>EN/E-E-CE-41</t>
  </si>
  <si>
    <t>0200580</t>
  </si>
  <si>
    <t>이철우</t>
  </si>
  <si>
    <t>아파트세대 무선스위치 적용</t>
  </si>
  <si>
    <t>KS인증 완료한 국내제품종류가 많지 않고(대부분 중국산), 기존대비 단가 상승됨. 홈넷설비와도 연동이 불가하여 즉시적용 어려움</t>
  </si>
  <si>
    <t>CO/I-PI-CE-7</t>
  </si>
  <si>
    <t>2102423</t>
  </si>
  <si>
    <t>최한종</t>
  </si>
  <si>
    <t>추정원가표 출력 시스템 개발</t>
  </si>
  <si>
    <t>통합
(632번)</t>
  </si>
  <si>
    <t>DT EAC연계</t>
  </si>
  <si>
    <t>CO/I-PI-CE-8</t>
  </si>
  <si>
    <t>포레나 현장설명서 정립</t>
  </si>
  <si>
    <t>CO/I-PI-CE-9</t>
  </si>
  <si>
    <t>2301941</t>
  </si>
  <si>
    <t>인천 학익 재개발</t>
  </si>
  <si>
    <t>우송희</t>
  </si>
  <si>
    <t>협력업체 기성입력 시스템 개발</t>
  </si>
  <si>
    <t>대금지급 시스템 개편 중. 해당 기능은 과거 있었으나 일부 기계 협력사 외 사용하지 않음.</t>
  </si>
  <si>
    <t>CO/I-PI-CE-10</t>
  </si>
  <si>
    <t>유니파이어 태스크 메시지 알림</t>
  </si>
  <si>
    <t>유니파이어 사용량이 많은 직무는 메시지 알림으로 업무 저하가 우려되어 반대의견 다수. 또한, 유니파이어 카톡 비용이 연 1억정도 소요됨. 해당 아이디어는 비용상승 요인임.</t>
  </si>
  <si>
    <t>CO/Z-PI-CE-13</t>
  </si>
  <si>
    <t>0300889</t>
  </si>
  <si>
    <t>사무용품포인트제</t>
  </si>
  <si>
    <t>CO/Z-PI-CE-14</t>
  </si>
  <si>
    <t>안전용품 포인트제</t>
  </si>
  <si>
    <t>안전관리비 개정 등에 제안 내용 통합</t>
  </si>
  <si>
    <t>CO/D-ID/H-CE-5</t>
  </si>
  <si>
    <t>2302436</t>
  </si>
  <si>
    <t>조은호</t>
  </si>
  <si>
    <t>웨어러블안전모, 신호수조끼  소음발생기</t>
  </si>
  <si>
    <t>CO/Z-PI-CE-15</t>
  </si>
  <si>
    <t>2301328</t>
  </si>
  <si>
    <t>품질실장</t>
  </si>
  <si>
    <t>박광식</t>
  </si>
  <si>
    <t>컬러프린트 지양 및 흑백 프린트 생활화</t>
  </si>
  <si>
    <t>유사제안 旣 제출</t>
  </si>
  <si>
    <t>CO/I-PI-CE-11</t>
  </si>
  <si>
    <t>0201015</t>
  </si>
  <si>
    <t>이용운</t>
  </si>
  <si>
    <t>협력업체 생활폐기물 배출건</t>
  </si>
  <si>
    <t>13
(중복)</t>
  </si>
  <si>
    <t>중복아이디어</t>
  </si>
  <si>
    <t>EN/S-A/S-CE-30</t>
  </si>
  <si>
    <t>철골 중간보(Steel Beam)부재 대안 검토</t>
  </si>
  <si>
    <t>아이디어 미인정 (사유 : 착공후 현장 TOP로 진행예정)</t>
  </si>
  <si>
    <t>EN/S-A/S-CE-31</t>
  </si>
  <si>
    <t>SRC기둥 주근 SD600 적용에 따른 띠철근 최적화 제안</t>
  </si>
  <si>
    <t>아이디어 인정, 과제 미채택
착공후 현장 VE로 진행예정</t>
  </si>
  <si>
    <t>EN/S-A/S-CE-32</t>
  </si>
  <si>
    <t>2102479</t>
  </si>
  <si>
    <t>화정우</t>
  </si>
  <si>
    <t>아파트 옥상 구조물(파라펫) PC 부재 적용</t>
  </si>
  <si>
    <t xml:space="preserve">개선 전: 옥상 구조물(파라펫) 내외벽 재래식 형틀 작업 후 타설
개선 후: 파라벳 부위 PC부재 사용( 바닥 앙카 시공 +PC부재 설치+외벽 조인트면처리)
</t>
  </si>
  <si>
    <t>아이디어 인정, 과제 미채택
주차장을 전면 PC로 적용하는 조건으로도 공사비가 상당히 증가하여 적용성이 낮음.</t>
  </si>
  <si>
    <t>EN/S-A/S-CE-33</t>
  </si>
  <si>
    <t>흙막이 지하외벽 이격거리 검토에 따른 흙막이 선형변경</t>
  </si>
  <si>
    <t>EN/S-A/S-CE-34</t>
  </si>
  <si>
    <t>흙막이 가시설 설계 변경</t>
  </si>
  <si>
    <t>아이디어 인정, 과제 미채택
현장특수성에 따른 VE사례, 현재 기술혁신팀 협업중</t>
  </si>
  <si>
    <t>CO/D-A/F-CE-19</t>
  </si>
  <si>
    <t>1802561</t>
  </si>
  <si>
    <t>최황섭</t>
  </si>
  <si>
    <t>최하층 블록하부 방수턱 삭제 제안</t>
  </si>
  <si>
    <t>CO/D-A/F-CE-20</t>
  </si>
  <si>
    <t>최하층 블록하부 방수턱 개선 제안</t>
  </si>
  <si>
    <t>EN/S-A/S-CE-35</t>
  </si>
  <si>
    <t>2101040</t>
  </si>
  <si>
    <t>조영재</t>
  </si>
  <si>
    <t>기둥 띠철근 V-Tie 사용 철근 절감안</t>
  </si>
  <si>
    <t>아이디어 인정, 과제 미채택
제품의 구조기술사회 인증 범위가 기둥사이즈 1000 이내이므로 절감효과 없음(제작사 인정사항)</t>
  </si>
  <si>
    <t>EN/S-A/S-CE-36</t>
  </si>
  <si>
    <t>2101149</t>
  </si>
  <si>
    <t>김정환</t>
  </si>
  <si>
    <t>물류창고 하역장 TOPPING CON'C 최소화</t>
  </si>
  <si>
    <t xml:space="preserve">PC기둥브라켓 높이 차등 적용으로 PC슬라브 계단식으로 단차적용
개선 전 : TOPPING CON’C 두께 150~380mm
개선 후 : TOPPING CON’C 두께 150~230mm
</t>
  </si>
  <si>
    <t>EN/M-A/F-CE-2</t>
  </si>
  <si>
    <t>1204788</t>
  </si>
  <si>
    <t>진정환</t>
  </si>
  <si>
    <t>본공사용 “옥외 상수도 인입공사” 기계공사 및 토목공사 중복 삭제 건</t>
  </si>
  <si>
    <t>현장 특수경우로, 당사 대부분의 설계에는 옥외 상수도 인입공사는 기계설비부분으로 설계되어있음(단, 부지가 넓고 상수도 인입부위가 건물에서 멀어 단지내 옥외배관으로 길게 끌고 올경우 토목에서 설계함)</t>
  </si>
  <si>
    <t>EN/M-A/F-CE-3</t>
  </si>
  <si>
    <t>건축 – 전실 금속 벽체 마감공사 中 소화전함(방수기구함) “외함” 물량 중복 삭제 건</t>
  </si>
  <si>
    <t>소화전함 외함 중복건으로 내역정리필요, 아이디어는 인정하나 금액 미비로 과제채택은 불가</t>
  </si>
  <si>
    <t>CO/I-YY-EXP-1</t>
  </si>
  <si>
    <t>현장 사무실 냉난방비 절감안</t>
  </si>
  <si>
    <t>호불호가 강한 아이디어. 유형효과 산정도 어려움</t>
  </si>
  <si>
    <t>EN/S-C-CE-7</t>
  </si>
  <si>
    <t>2203399</t>
  </si>
  <si>
    <t>서영의</t>
  </si>
  <si>
    <t>지반조사 필요에 따른 추가 실시</t>
  </si>
  <si>
    <t xml:space="preserve">개선전: 계획단계에서 부족한 지반조사 보고서로 인하여 발파 물량, 차수 물량 등의 오차 발생 
개선후: 추가 지반조사를 해야 되는 판단 시 언제든지 적용 
</t>
  </si>
  <si>
    <t>EN/E-E-CE-42</t>
  </si>
  <si>
    <t>특고압 인입 예비1회선 삭제</t>
  </si>
  <si>
    <t>CO/I-YY-CE-5</t>
  </si>
  <si>
    <t>2203402</t>
  </si>
  <si>
    <t>김대종</t>
  </si>
  <si>
    <t>(외주기성금 구매카드 지급 시)
금융사고 방지를 위한 입금계좌 사전 고시 방안의 건</t>
  </si>
  <si>
    <t>구매카드 지급시, 당사-협력사간 지정 계좌가 아닌 협력사-카드사간 지정 계좌로 입금되어 노무비닷컴 등 문제 발생</t>
  </si>
  <si>
    <t>외주팀, 금융팀 해결 완료
제안은 인정. 과제승인 불필요
당사 - 협력사 - 카드사 계좌가 다른 경우, 구매카드 미사용</t>
  </si>
  <si>
    <t>EN/I-A/F-CE-52</t>
  </si>
  <si>
    <t>현관문 주벽 벽도배지 제안</t>
  </si>
  <si>
    <t>서로 상이한 도배지 적용의 부작용에 따른 당사 패턴 적용한
단일 도배지 개발(개발비 소요) 후 전 현장 적용</t>
  </si>
  <si>
    <t>(1차검토 : 미채택)
FORENA2.0 적용에 따른 도배지 단일화 기 적용</t>
  </si>
  <si>
    <t>EN/I-A/F-CE-53</t>
  </si>
  <si>
    <t>지하주차장 천정마감 제안</t>
  </si>
  <si>
    <t>유지보수 시 별도 장비 필요에 따른 신속한 하자처리 불가로
기존 견출+뿜칠 -&gt; 견출+도장으로 변경</t>
  </si>
  <si>
    <t>(1차검토 : 미채택)
수성페인트 적용에 따른 별도 면처리 필요</t>
  </si>
  <si>
    <t>EN/E-E-CE-43</t>
  </si>
  <si>
    <t>케이블 트레이 높이 변경</t>
  </si>
  <si>
    <t>KS기준에 부합하지 않아 과제화 불가</t>
  </si>
  <si>
    <t>EN/I-A/F-CE-54</t>
  </si>
  <si>
    <t>2401363</t>
  </si>
  <si>
    <t>고잔연립 9구역 재건축</t>
  </si>
  <si>
    <t>박태준</t>
  </si>
  <si>
    <t>세대 내부 도배면 골조 부위 견출 마감 삭제</t>
  </si>
  <si>
    <t>기 제출 아이디어</t>
  </si>
  <si>
    <t>EN/I-A/F-CE-55</t>
  </si>
  <si>
    <t>커튼월룩 배면 수성페인트
(외벽1회_커튼월룩 배면) 규격 변경</t>
  </si>
  <si>
    <t>비 노출구간 수성페인트 2회 -&gt; 1회 축소 적용
(덕천3 기준 약 100만원 절감)</t>
  </si>
  <si>
    <t>(1차검토 : 미채택)
해당 현장만 적용(절감액 미비)</t>
  </si>
  <si>
    <t>EN/I-A/F-CE-56</t>
  </si>
  <si>
    <t>세대아트월타일을 가구시트판 등으로 변경 검토</t>
  </si>
  <si>
    <t>세대 아트월 타일(본시공 구간) 구간 시트판넬로 교체</t>
  </si>
  <si>
    <t>(1차검토 : 미채택)
제안 자체 의미 인정, 단 10개사 현황 대비 적용사례 없어 실 적용X</t>
  </si>
  <si>
    <t>EN/M-M-CE-25</t>
  </si>
  <si>
    <t>2203389</t>
  </si>
  <si>
    <t>신진연</t>
  </si>
  <si>
    <t>소방 드레인 배관 재질 변경</t>
  </si>
  <si>
    <t xml:space="preserve">소방법규상 명확히 구분되어있지 않고, 방재청 질의에 대한 구체적인 답변도 받을수 없어, 당사 기준으로 정했을 경우 Lisk확대로 과제채택은 불가 </t>
  </si>
  <si>
    <t>CO/D-ID/H-CE-6</t>
  </si>
  <si>
    <t>2203669</t>
  </si>
  <si>
    <t>김성우</t>
  </si>
  <si>
    <t>개구부 및 추락 위험부 이동식 고보조명 활용</t>
  </si>
  <si>
    <t>CO/I-PI-CE-12</t>
  </si>
  <si>
    <t>2201221</t>
  </si>
  <si>
    <t>이병현</t>
  </si>
  <si>
    <t>경영정보시스템(Unifier) 추정완성율표 조회 신규 생성</t>
  </si>
  <si>
    <t>DT팀 김희준 2갑 제안건에 통합</t>
  </si>
  <si>
    <t>CO/I-ID/H-CE-9</t>
  </si>
  <si>
    <t>2203310</t>
  </si>
  <si>
    <t>현장 관리용 CCTV 통폐합 운영</t>
  </si>
  <si>
    <t>CO/I-ID/H-CE-10</t>
  </si>
  <si>
    <t>2401051</t>
  </si>
  <si>
    <t>장재민</t>
  </si>
  <si>
    <t xml:space="preserve">현장 안전교육장 교육용 후렉스 간판 순환제 </t>
  </si>
  <si>
    <t>EN/I-A/F-CE-57</t>
  </si>
  <si>
    <t>최병일</t>
  </si>
  <si>
    <t>기준층 천장 마감 비닐페인트 &gt;&gt; 무늬코트 마감 변경</t>
  </si>
  <si>
    <t>도면 기준 기준층 천정 마감 비닐페인트 적용 됨
(천안두정, 천안신부, 천안노태, 대전학하)</t>
  </si>
  <si>
    <t>(1차검토 : 미채택)
당사 매뉴얼 기준 변경 기 협의중</t>
  </si>
  <si>
    <t>퇴사추정</t>
  </si>
  <si>
    <t>CO/D-A/F-CE-21</t>
  </si>
  <si>
    <t>1300808</t>
  </si>
  <si>
    <t>이종광</t>
  </si>
  <si>
    <t>아파트 세대내 경량벽체에 취부되는 석고보드 높이 조정</t>
  </si>
  <si>
    <t>CO/D-A/F-CE-22</t>
  </si>
  <si>
    <t>아파트 세대내 합지에 취부되는 석고보드 높이 조정</t>
  </si>
  <si>
    <t>CO/D-A/F-CE-23</t>
  </si>
  <si>
    <t>2202049</t>
  </si>
  <si>
    <t>최대희</t>
  </si>
  <si>
    <t>아파트 옥상 본난간 설치 후 갱폼해체</t>
  </si>
  <si>
    <t>아파트 옥상, 가설난간 설치X -&gt; 본난간대 설치</t>
  </si>
  <si>
    <t>CO/D-A/S-CE-50</t>
  </si>
  <si>
    <t>2400269</t>
  </si>
  <si>
    <t>이민우</t>
  </si>
  <si>
    <t>검측서 온라인 제출</t>
  </si>
  <si>
    <t>온라인 단점 존재, 또한 감리단 마다 승인 및 인정여부 상이</t>
  </si>
  <si>
    <t>CO/D-TF-CE-4</t>
  </si>
  <si>
    <t>호이스트 운행층 홀수, 짝수 분리</t>
  </si>
  <si>
    <t>CO/D-TF-CE-5</t>
  </si>
  <si>
    <t>0200534</t>
  </si>
  <si>
    <t>윤희준</t>
  </si>
  <si>
    <t>빗물 저장을 통한 가설용수 활용</t>
  </si>
  <si>
    <t>수도요금 절약 아이디어는 좋으나, 절감금액 미비로 과제화 채택은 불가</t>
  </si>
  <si>
    <t>CO/D-C-CE-3</t>
  </si>
  <si>
    <t>2201227</t>
  </si>
  <si>
    <t>양형석</t>
  </si>
  <si>
    <t>항타기/천공기 방음장치(D.S.D) 운영 (Drilling Soundproof Device)</t>
  </si>
  <si>
    <t>CO/D-ID/P-CE-1</t>
  </si>
  <si>
    <t>환경관리비</t>
  </si>
  <si>
    <t>소음 및 미세먼지 측정기설치 관리용역 시행</t>
  </si>
  <si>
    <t>외주팀에서 인접건물사전조사 용역업체, 측량업체 알아보았으나 소음, 미세먼지 측정 관련 전문성까지 보유한 업체 없음
용역 사용시, 문제발생 가능성 높으며 장비 재활용과 관련하여 소액자산관리방안과 연계하고자 함</t>
  </si>
  <si>
    <t>PR/P-A/S-CE-3</t>
  </si>
  <si>
    <t>1400272</t>
  </si>
  <si>
    <t>문진호</t>
  </si>
  <si>
    <t>레미콘 차량 불시 계근 시행 지역별 공인계량소 선정 건</t>
  </si>
  <si>
    <t>시행 방안에 대해 검토 필요(현장 주도 프로세스가 맞음)</t>
  </si>
  <si>
    <t>CO/D-C-CE-4</t>
  </si>
  <si>
    <t>CIP Cap Beam 설치 기준 수립의 건</t>
  </si>
  <si>
    <t xml:space="preserve">현지반고 또는 도면기준으로 Cap Beam 시공시, 불필요한 공사비 투입 및 지하구조물 형성 후 제거 비용 발생 및 
제거시 본구조물 영향으로 인한 품질관리 불리 </t>
  </si>
  <si>
    <t>아이디어 인정, 과제 미채택
(사유 : 기접수 아이디어 253번과 중복이지만, 상세한 예시자료 작성/기술혁신팀 토목설계 담당자 자료 전달함)</t>
  </si>
  <si>
    <t>CO/D-A/F-CE-24</t>
  </si>
  <si>
    <t>지하주차장 외벽 트렌치 기존에서 변경 제안</t>
  </si>
  <si>
    <t>　(25.06.02) 지하주차장 방수턱 통합하여 추진</t>
  </si>
  <si>
    <t>CO/D-A/F-CE-25</t>
  </si>
  <si>
    <t>2102481</t>
  </si>
  <si>
    <t>전민구</t>
  </si>
  <si>
    <t>기제출 아이디어와 중복 제안</t>
  </si>
  <si>
    <t>CO/D-A/F-CE-26</t>
  </si>
  <si>
    <t>유리공사 공장끼우기 반영의 건</t>
  </si>
  <si>
    <t>기제안 아이디어와 동일</t>
  </si>
  <si>
    <t>EN/I-A/F-CE-58</t>
  </si>
  <si>
    <t>공동주택 지하주차장 트랜치 개선</t>
  </si>
  <si>
    <t>기술팀 기술공지('24.10) 내용과 동일사항</t>
  </si>
  <si>
    <t>15차 과제승인위 상정완료</t>
  </si>
  <si>
    <t>통합
(511번)</t>
  </si>
  <si>
    <t>CO/D-A/F-CE-27</t>
  </si>
  <si>
    <t>주차장 외벽 배수 배관 시공 개선</t>
  </si>
  <si>
    <t>CO/D-ID/H-CE-7</t>
  </si>
  <si>
    <t>PJ전문직(2갑)</t>
  </si>
  <si>
    <t>이상훈</t>
  </si>
  <si>
    <t>공동주택 발코니 자재반입 계획</t>
  </si>
  <si>
    <t>PR/P-ID/H-CE-2</t>
  </si>
  <si>
    <t>낙하물방지망 재사용</t>
  </si>
  <si>
    <t>전사 기준으로 배포하기에는 예외 및 불가능한 현장이 많을 것으로 보여 업무만 가중시킬 수 있음. 현장별로 판단하여 낙하물방지망 처리방안 고민하는 것이 좋을 것으로 보임</t>
  </si>
  <si>
    <t>PR/C-PI-CE-9</t>
  </si>
  <si>
    <t>2300264</t>
  </si>
  <si>
    <t>김동민</t>
  </si>
  <si>
    <t>서면입찰계약 Process 간소화 방안</t>
  </si>
  <si>
    <t>연간단가 및 수의계약 업체 계약시, CIRCLE &amp; Unifier 이중결재로 인한 문제점 해결</t>
  </si>
  <si>
    <t>업무 프로세스 시스템화에 따른 서류 간소화 및 업무 효율 상승, 유관부서(본부 지원팀, 기획팀 등)에 확인 필요</t>
  </si>
  <si>
    <t>PR/C-TF-CE-1</t>
  </si>
  <si>
    <t>1907084</t>
  </si>
  <si>
    <t>신형교</t>
  </si>
  <si>
    <t>고한울, 박준용, 양창모</t>
  </si>
  <si>
    <t>가설휀스 H-Beam 신재 -&gt; 고재내역 반영 원가절감</t>
  </si>
  <si>
    <t xml:space="preserve">가설휀스 연간단가 내역中 H-BEAM 고재 연간단가 내역을 추가로 반영 </t>
  </si>
  <si>
    <t>아이디어 인정, 과제 채택
리더 교체(장동호 대리)
추가 내역으로 검토 
(RPP 플러스해서 과제화)</t>
  </si>
  <si>
    <t>　리더 교체(장동호 대리) 채택 포상 지급</t>
  </si>
  <si>
    <t>CO/D-A/S-CE-51</t>
  </si>
  <si>
    <t>2101146</t>
  </si>
  <si>
    <t>권순민</t>
  </si>
  <si>
    <t>골조공사 진행 중 세대내 우천 피해 감소안</t>
  </si>
  <si>
    <t>CO/D-A/S-CE-52</t>
  </si>
  <si>
    <t>0301114</t>
  </si>
  <si>
    <t>이원진</t>
  </si>
  <si>
    <t>살수차 운영으로 레미콘 타설후 물차 대체</t>
  </si>
  <si>
    <t>EN/I-A/F-CE-59</t>
  </si>
  <si>
    <t>화장실벽체 골조벽체로 변경</t>
  </si>
  <si>
    <t>화장실 벽체 전체 골조벽 적용
(조적대비 84기준 세대당 25만원 절감 추산)</t>
  </si>
  <si>
    <t>(1차검토 : 미채택)
현 기준 부분 골조벽 대체중, 전체 골조 치환할 경우
골조량 순증 및 공용욕실 측세대일 경우 단열시공 난해</t>
  </si>
  <si>
    <t>CO/D-A/F-CE-28</t>
  </si>
  <si>
    <t>2102478</t>
  </si>
  <si>
    <t>배수훈</t>
  </si>
  <si>
    <t>방바닥 통미장 유도줄눈 시공</t>
  </si>
  <si>
    <t>CO/D-A/S-CE-53</t>
  </si>
  <si>
    <t>2203132</t>
  </si>
  <si>
    <t>오종한</t>
  </si>
  <si>
    <t>단위수량 측정기 체계적 관리</t>
  </si>
  <si>
    <t xml:space="preserve">단위수량 측정기 관리부서 및 담당자 선정 관리 
기기별 번호표 부여 업무협조전을 통해 현장 지급 지원 
반납시 고장기기는 수리하여 반납 
검교정은 지급 받는 현장에서 검교정 실시하여 사용 </t>
  </si>
  <si>
    <t>진행중인 소액자산 관리 과제에 추가하여 진행 필요
현장별 1~2대 구매(대당 700만원의 고가 장비)</t>
  </si>
  <si>
    <t>아이디어 인정 과제 불채택 피드백 예정</t>
  </si>
  <si>
    <t>CO/D-A/S-CE-54</t>
  </si>
  <si>
    <t>0500761</t>
  </si>
  <si>
    <t>권혁원</t>
  </si>
  <si>
    <t>승강기 기계실 본 공사용 분전반 및 케이블 운용 건</t>
  </si>
  <si>
    <t>가설전기 시공표준안에 포함예정</t>
  </si>
  <si>
    <t>CO/D-A/F-CE-29</t>
  </si>
  <si>
    <t>1105006</t>
  </si>
  <si>
    <t>배훈</t>
  </si>
  <si>
    <t>PVC커튼박스 적용</t>
  </si>
  <si>
    <t>CO/Z-PI-SNA-5</t>
  </si>
  <si>
    <t>대체휴가 마일리지 적립</t>
  </si>
  <si>
    <t>52시간 법상 위법임. 52시간 초과 현장의 경우 6개월 탄력근로 적용을 건축지원팀, 인사기획팀과 협의하여 시행하여야 함</t>
  </si>
  <si>
    <t>CO/D-A/F-CE-30</t>
  </si>
  <si>
    <t>욕실방수턱 삭제</t>
  </si>
  <si>
    <t>PR/C-A/F-CE-10</t>
  </si>
  <si>
    <t>2201261</t>
  </si>
  <si>
    <t>박진현</t>
  </si>
  <si>
    <t>외주 및 구매 업무 프로세스 시스템화</t>
  </si>
  <si>
    <t>현장설명서 작성에 대한 시스템화</t>
  </si>
  <si>
    <t>업무 프로세스 시스템화에 따른 서류 간소화 및 업무 효율 상승, DT팀에 확인 필요</t>
  </si>
  <si>
    <t>CO/D-ID/H-CE-8</t>
  </si>
  <si>
    <t>2300570</t>
  </si>
  <si>
    <t>신영표</t>
  </si>
  <si>
    <t>건진법에 따른 공사안전관리 시스템 구축</t>
  </si>
  <si>
    <t>CO/D-A/F-CE-31</t>
  </si>
  <si>
    <t>2400960</t>
  </si>
  <si>
    <t>김은식</t>
  </si>
  <si>
    <t>지하주차장 차량통행로 소음저감 배수판 적용</t>
  </si>
  <si>
    <t>CO/D-A/F-CE-32</t>
  </si>
  <si>
    <t>분합창 하부막이 시공</t>
  </si>
  <si>
    <t>CO/D-TF-CE-6</t>
  </si>
  <si>
    <t>영구배수 재이용하여 가설용수로 활용</t>
  </si>
  <si>
    <t>영구배수를 이용한 아이디어는 좋으나, 설비투자비 및 상수도와 구분하여 저장등 내용 추가하여 현장VE로 적용 요청</t>
  </si>
  <si>
    <t>CO/I-PI-CE-13</t>
  </si>
  <si>
    <t>0300598</t>
  </si>
  <si>
    <t>이광준</t>
  </si>
  <si>
    <t>적산 산출 TOOL 구입 및 적산 전문인력 양성</t>
  </si>
  <si>
    <t>적산 TOOL 구매 및 TOOL을 사용가능하고 적산 경험이 많은 전문인력 채용 및 양성
- TOOL에 당사 기준을 적용한 프로그래밍 진행
- 전문인력이 양성되고, 본격화되면 현장마다 기준이 크게 다르지 않는 일반주택 / 데이터 센터/ 주상복합 아파트 공사에 한하여, 당사 자체 기준 적용한 적산 진행
- 개산견적 신속 산출 및 공사진행中 설계변경으로 인한 물량 신속 산출</t>
  </si>
  <si>
    <t>아이디어 인정, 과제 미채택
24' 12월 기술혁신팀 소속 BIM 기반 적산수행 인력 충원예정</t>
  </si>
  <si>
    <t>CO/Z-PI-CE-16</t>
  </si>
  <si>
    <t>안전화 지급기준 변경</t>
  </si>
  <si>
    <t>관련사항 검토 中(지급 사양 포함)</t>
  </si>
  <si>
    <t>EN/E-E-CE-44</t>
  </si>
  <si>
    <t>2102430</t>
  </si>
  <si>
    <t>이제준</t>
  </si>
  <si>
    <t>주택용전력 전기기본요금 절약 제안의 건</t>
  </si>
  <si>
    <t>공동주택 절감효과 도출가능 여부 검토중(제출된 전기요금 산정수식에 오류있음)</t>
  </si>
  <si>
    <t>CO/Z-PI-CE-17</t>
  </si>
  <si>
    <t>2303444</t>
  </si>
  <si>
    <t>용산주공 재건축</t>
  </si>
  <si>
    <t>엄기훈</t>
  </si>
  <si>
    <t>안전보건팀 내 중고나라 활성화 제안</t>
  </si>
  <si>
    <t>소액자산 관리방안과 유사. 해당 내용 포함여부 검토 예정</t>
  </si>
  <si>
    <t>CO/Z-PI-CE-18</t>
  </si>
  <si>
    <t>2401021</t>
  </si>
  <si>
    <t>정진욱</t>
  </si>
  <si>
    <t>철거 및 현장초기 필수 투입인원 충원</t>
  </si>
  <si>
    <t>철거 및 현장초기(현장소장, 공무, 안전, 보건) 인원 이외에 인원(공사, 관리, 환경)의 확충이 필요</t>
  </si>
  <si>
    <t>인력운영 현황에 따라 일부 배치가 부족한 현장이 있으나 기 시행 중인 사안. PJ직원은 모를 수 있는 부분으로 아이디어는 인정하여 피드백 예정</t>
  </si>
  <si>
    <t>CO/D-A/S-CE-55</t>
  </si>
  <si>
    <t>잠실 마이스 1way 벤트 재활용</t>
  </si>
  <si>
    <t>CO/D-A/S-CE-56</t>
  </si>
  <si>
    <t>잠실 마이스 전시장 트렌치 철골조 변경</t>
  </si>
  <si>
    <t>CO/D-A/S-CE-57</t>
  </si>
  <si>
    <t>잠실 마이스 지붕공사 무근콘크리트 삭제</t>
  </si>
  <si>
    <t>EN/S-A/S-CE-37</t>
  </si>
  <si>
    <t>9606332</t>
  </si>
  <si>
    <t>김명길</t>
  </si>
  <si>
    <t>기초 파일을 이용한 지열 천공</t>
  </si>
  <si>
    <t>아이디어 인정, 과제 미채택
지열업체 확인결과 대지면적이 넓고 대규모 지열 천공이 있을시 가능 할 것. 단 국내 사례는 없음</t>
  </si>
  <si>
    <t>EN/M-M-CE-26</t>
  </si>
  <si>
    <t>0600880</t>
  </si>
  <si>
    <t>최영범</t>
  </si>
  <si>
    <t>입상배관 단일화 방식 (세대별 &gt; 각층별 또는 2세대별)</t>
  </si>
  <si>
    <t>리더 교체(최중현 과장)
과제화 채택 가능</t>
  </si>
  <si>
    <t>　리더 교체(최중현 과장) 포상 지급</t>
  </si>
  <si>
    <t>EN/M-M-CE-27</t>
  </si>
  <si>
    <t>0201027</t>
  </si>
  <si>
    <t>류하영</t>
  </si>
  <si>
    <t>상수도인입시 초기가설공사 개선(물탱크실 삭제건)</t>
  </si>
  <si>
    <t>상수도 단수 및 외부적인 요인으로 물공급 중단시 대체안 없음</t>
  </si>
  <si>
    <t>EN/I-A/F-CE-60</t>
  </si>
  <si>
    <t>2201259</t>
  </si>
  <si>
    <t>박찬흥</t>
  </si>
  <si>
    <t>엘리베이터홀 천장 삭제</t>
  </si>
  <si>
    <t>소방배관 AV에서 각 세대로 바로 연결하여 공용부 천정 미설치</t>
  </si>
  <si>
    <t>통합
(636번)</t>
  </si>
  <si>
    <t>(1차검토 : 636번으로 통합)
2호조합 코어만 부분적 적용 가능</t>
  </si>
  <si>
    <t>PR/C-PI-CE-10</t>
  </si>
  <si>
    <t>1105004</t>
  </si>
  <si>
    <t>박종문</t>
  </si>
  <si>
    <t>주요공정외주절차개선</t>
  </si>
  <si>
    <t xml:space="preserve">외주, 안전, 기술혁신팀등 유관부서 참관 점수화하여 기준 미흡시 
계약 미체결. 차순위 업체 선정 고려 </t>
  </si>
  <si>
    <t>　(25.06.02) 중점과제로 추진 가능</t>
  </si>
  <si>
    <t>EN/I-A/S-CE-9</t>
  </si>
  <si>
    <t>1202920</t>
  </si>
  <si>
    <t>박상효</t>
  </si>
  <si>
    <t>계단실 및 옥탑1층 층고 기준층 유지</t>
  </si>
  <si>
    <t>(1차검토 : 미채택)
승강기 기계실 높이 기준 충족 미달</t>
  </si>
  <si>
    <t>CO/D-M-CE-2</t>
  </si>
  <si>
    <t>1900033</t>
  </si>
  <si>
    <t>이종찬</t>
  </si>
  <si>
    <t>일반건축물 배수 슬리브 미시공 후 코어링 작업(화장실 및 PS실 제외)</t>
  </si>
  <si>
    <t>재시공 예방을 위함이지만, 코어링 비용과다로 적용 불가능</t>
  </si>
  <si>
    <t>EN/EX-A/S-CE-7</t>
  </si>
  <si>
    <t>1906511</t>
  </si>
  <si>
    <t>김태훈</t>
  </si>
  <si>
    <t>옥상층 코어 골조 설계개념 변경</t>
  </si>
  <si>
    <t>옥탑 EV홀 부분(PD공간 포함) 볼륨을 삭제(실외화)하여 골조
시공물량 축소</t>
  </si>
  <si>
    <t>통합
(1184번)</t>
  </si>
  <si>
    <t>(1차검토 : 중점과제 통합)
중점과제 대비 소극적 방안임</t>
  </si>
  <si>
    <t>CO/D-ID/H-CE-9</t>
  </si>
  <si>
    <t>2000165</t>
  </si>
  <si>
    <t>이동현</t>
  </si>
  <si>
    <t>양중용 승강기 담당 인원 배치</t>
  </si>
  <si>
    <t>EN/I-M-CE-4</t>
  </si>
  <si>
    <t>2100232</t>
  </si>
  <si>
    <t>이의권</t>
  </si>
  <si>
    <t>욕실 샤워부스 배수 드레인 외 삭제</t>
  </si>
  <si>
    <t>(1차검토 : 미채택)
청소배수 용이를 위한 기 기준 유지 필요</t>
  </si>
  <si>
    <t>CO/D-TF-CE-7</t>
  </si>
  <si>
    <t>2100234</t>
  </si>
  <si>
    <t>박성원</t>
  </si>
  <si>
    <t>우천 및 폭우시 양수 시스템화</t>
  </si>
  <si>
    <t>CO/I-Z-CE-1</t>
  </si>
  <si>
    <t>2100244</t>
  </si>
  <si>
    <t>조경훈</t>
  </si>
  <si>
    <t>양창모, 안희진, 김태용</t>
  </si>
  <si>
    <t>청소용역 업체 계약</t>
  </si>
  <si>
    <t>과제화 진행중CFT로 편입</t>
  </si>
  <si>
    <t>EN/I-A/F-CE-61</t>
  </si>
  <si>
    <t>2101038</t>
  </si>
  <si>
    <t>정재훈</t>
  </si>
  <si>
    <t>세대 내부 조적부위 등 석고보드 합지 마감 제안</t>
  </si>
  <si>
    <t>CO/I-PI-CE-14</t>
  </si>
  <si>
    <t>2101553</t>
  </si>
  <si>
    <t>이세연</t>
  </si>
  <si>
    <t>전산업무 교육동영상 제작의 건</t>
  </si>
  <si>
    <t>CO/I-Z-CE-2</t>
  </si>
  <si>
    <t>김경재</t>
  </si>
  <si>
    <t>현장 정리정돈 업체관리의 명확화</t>
  </si>
  <si>
    <t>EN/M-M-CE-28</t>
  </si>
  <si>
    <t>2200405</t>
  </si>
  <si>
    <t>정설빈</t>
  </si>
  <si>
    <t>지하주차장 FAN 타입 변경의 건</t>
  </si>
  <si>
    <t>현장 설계변경 사항</t>
  </si>
  <si>
    <t>PR/P-A/F-CE-2</t>
  </si>
  <si>
    <t>2201210</t>
  </si>
  <si>
    <t>장동욱</t>
  </si>
  <si>
    <t>석고보드 하도급자재 이관</t>
  </si>
  <si>
    <t>과거, 석고보드는 지입자재로 운영하였음. 호황시, 수급 문제로 인해 석고보드는 지급자재로 운영 중. 소량의 석고보드는 구매팀과 협의하여 외주 지입자재 발주 가능함</t>
  </si>
  <si>
    <t>EN/I-Z-BE-1</t>
  </si>
  <si>
    <t>2201252</t>
  </si>
  <si>
    <t>박영호</t>
  </si>
  <si>
    <t>인테리어 사업 추진 건</t>
  </si>
  <si>
    <t>건설공사 외 인테리어 시장 신규 진출</t>
  </si>
  <si>
    <t>(1차검토 : 미채택)
인테리어는 건자재 사업과 연계된 레드오션 시장</t>
  </si>
  <si>
    <t>EN/M-M-CE-29</t>
  </si>
  <si>
    <t>입형소방펌프 사용</t>
  </si>
  <si>
    <t>단독벤더 제품 및 당사기준에 부합하지 않은 펌프사양임</t>
  </si>
  <si>
    <t>EN/I-A/F-CE-62</t>
  </si>
  <si>
    <t>박재완</t>
  </si>
  <si>
    <t>대피공간 바닥마감 변경</t>
  </si>
  <si>
    <t>대피공간 바닥마감 타일 -&gt; 에폭시코팅 변경</t>
  </si>
  <si>
    <t>(1차검토 : 미채택)
대피공간 마감재는 불연재 적용 의무화</t>
  </si>
  <si>
    <t>PR/P-A/F-CE-3</t>
  </si>
  <si>
    <t>9606553</t>
  </si>
  <si>
    <t>정제윤</t>
  </si>
  <si>
    <t>위생기구 하도급 자재 이관</t>
  </si>
  <si>
    <t>모든 지급자재에 해당 하는 내용. 위생기구 제조사는 소수로 지입자재 전환시, 바잉 파워 문재. 지입자재 전환시, 절감에 대한 명확한 자료 부족</t>
  </si>
  <si>
    <t>EN/S-PI-CE-1</t>
  </si>
  <si>
    <t>2200404</t>
  </si>
  <si>
    <t>조현근</t>
  </si>
  <si>
    <t>박준용, 박재보, 고한울</t>
  </si>
  <si>
    <t>경미한 구조변경에 대한 구조검토서 양식 표준화</t>
  </si>
  <si>
    <t xml:space="preserve">제안사항: 경미한 구조변경 건에 대한 구조검토서 양식 표준화를 통한 현장 검토 수행
제안사유: 일반건축은 설계변경이 잦은 편이고, 종종 설계변경에 따른 구조검토도 수반됨. 현장 전체에 대한 구조검토를 하는 것은 불가함. 그러나 비계, 동바리, 경미한 구조변경(국소부위 보/기둥 단면 변경, 슬라브 추가등)에 대한 구조검토의 정합성 여부만을 판별하는 것은 현장에서도 충분히 가능다고 사료됨.
개선 전: 납품한 구조검토서 결과가 안정시 해당 내용대로 시공
개선 후: 검토서 표준양식 제정 및 현장 주요 체크사항 매뉴얼 배포, 해당 양식으로 구조사무소에 납품 요청. 현장 직원들은 항상 같은 구성의 검토서로 납품받고, 주요 체크사항으로 정합성 판별이 가능. 
</t>
  </si>
  <si>
    <t>아이디어 인정, 과제 검토중
현재 해당업무에 대한 R&amp;R 확인예정 
(인프라 안전팀 정진영 과장님 협의예정)</t>
  </si>
  <si>
    <t>정진영 과장님 문의</t>
  </si>
  <si>
    <t>CO/D-M-CE-3</t>
  </si>
  <si>
    <t>2203388</t>
  </si>
  <si>
    <t>이종대</t>
  </si>
  <si>
    <t>PVC 원터치모듈화 시스템</t>
  </si>
  <si>
    <t>CO/I-PI-CE-15</t>
  </si>
  <si>
    <t>2갑</t>
  </si>
  <si>
    <t>정승민</t>
  </si>
  <si>
    <t>품질시험 전문기관 선정방식 변경</t>
  </si>
  <si>
    <t>김태영 과장이 진행 중
품질관리팀, 외주팀 확인필요</t>
  </si>
  <si>
    <t>EN/M-M-CE-30</t>
  </si>
  <si>
    <t>물탱크 설치공사</t>
  </si>
  <si>
    <t>현장VE로 과제정의서 작성요청</t>
  </si>
  <si>
    <t>CO/D-PI-CE-8</t>
  </si>
  <si>
    <t>균열보수팀 신설하여 관리</t>
  </si>
  <si>
    <t>PR/C-PI-CE-11</t>
  </si>
  <si>
    <t>단열재 파지 수거관련 입찰조건 명시</t>
  </si>
  <si>
    <t>기 검토 하였던 사안. 현장에 따라 단열재 파기수거가 가능한 현장이 있고 안되는 현장이 있어 일괄 적용 어려움. 구매팀 발주 후 현장에서 조율하는 것이 효율적</t>
  </si>
  <si>
    <t>CO/Z-PI-CE-20</t>
  </si>
  <si>
    <t>지역별 건강검진 입찰제</t>
  </si>
  <si>
    <t>일부현장 시행 중</t>
  </si>
  <si>
    <t>CO/D-A/F-CE-33</t>
  </si>
  <si>
    <t>2303102</t>
  </si>
  <si>
    <t>장성문</t>
  </si>
  <si>
    <t>최하층 EV피트 난간 교체 또는 변경 제작 건</t>
  </si>
  <si>
    <t>건축안전팀 기준공지 요청</t>
  </si>
  <si>
    <t>CO/Z-PI-CE-21</t>
  </si>
  <si>
    <t>1400229</t>
  </si>
  <si>
    <t>김도훈</t>
  </si>
  <si>
    <t>등유 관련 QR 코드화 관리</t>
  </si>
  <si>
    <t>아이디어 인정, 과제 미채택 제안. 현장 적용 방법 추가 검토 예정</t>
  </si>
  <si>
    <t>CO/D-M-CE-4</t>
  </si>
  <si>
    <t>본공사 배수펌프 현장 공사 진행 중 사용의 건</t>
  </si>
  <si>
    <t>준공후 배수펌프 하자예방을 위한 조치이나, 예비제품 및 부속추가구입은 원가상승 요인임. 하자비용절감 또한 현장별로 달라 표준화 적용하기 어려움.</t>
  </si>
  <si>
    <t>CO/I-PI-CE-16</t>
  </si>
  <si>
    <t>2101147</t>
  </si>
  <si>
    <t>김동현</t>
  </si>
  <si>
    <t>현장 출입관리 시스템 본사 기준 정립</t>
  </si>
  <si>
    <t>내용 보완하여 과제화 필요, 해당 내용으로 과제화는 무리</t>
  </si>
  <si>
    <t>PR/P-PI-CE-7</t>
  </si>
  <si>
    <t>단열재 지입자재로 변경</t>
  </si>
  <si>
    <t>과거, 단열재는 지입자재로 운영하였음. 호황시, 수급 문제로 인해 단열재는 지급자재로 운영 중. 소량의 단열재는 구매팀과 협의하여 외주 지입자재 발주 가능함</t>
  </si>
  <si>
    <t>CO/Z-PI-CE-22</t>
  </si>
  <si>
    <t>1205296</t>
  </si>
  <si>
    <t>김성한</t>
  </si>
  <si>
    <t>초기공사팀 신설</t>
  </si>
  <si>
    <t>필요성, 운영방법 구체성 부족. 초기 시공팀과 이후 인력 간의 책임소재 문제 다수. 현장 운영 역량 향상에 도움 안됨</t>
  </si>
  <si>
    <t>CO/D-PI-CE-9</t>
  </si>
  <si>
    <t>초기현장 GPS 측량기계 투입</t>
  </si>
  <si>
    <t xml:space="preserve">회사자체적으로 GPS 측량기계를 1~2대정도 구입하여 전현장에서 사용. 
본인이 직접 GPS 측량기기를 사용해본 결과, 초기에 1~2시간 이내의 교육만 있으면 직원도 충분히 사용가능 
( 당 현장에서는 기반시설 업체의 GPS를 빌려서 사용 ) </t>
  </si>
  <si>
    <t>EN/S-PI-CE-2</t>
  </si>
  <si>
    <t>파일 시항타증가로 파일자재 세분화 발주</t>
  </si>
  <si>
    <t xml:space="preserve">동당 시항타를 2본에서 필요시 8~10본까지 증가시키도록 함. 
(관리포인트가 늘어나지 않도록 감리입회하에 하는 시항타의 개수는 증가시키지 않고, 자체적으로 하는 시항타임을 인지하여야함.) </t>
  </si>
  <si>
    <t>아이디어 인정, 과제 미채택
: 현재 당사 파일컨설팅 주요 과업대상</t>
  </si>
  <si>
    <t>EN/I-A/F-CE-63</t>
  </si>
  <si>
    <t>2102421</t>
  </si>
  <si>
    <t>김동훈</t>
  </si>
  <si>
    <t>공동주택 기준층 EV홀 경량천장 미시공</t>
  </si>
  <si>
    <t>천정 미 시공</t>
  </si>
  <si>
    <t>636번 통합</t>
  </si>
  <si>
    <t>EN/S-A/S-CE-38</t>
  </si>
  <si>
    <t>동절기 내한콘크리트(삼표 신기술) 사용</t>
  </si>
  <si>
    <t xml:space="preserve">개선 전 : 동절기 타설시 보양 및 급열 관리 필요 
개선 후 : 동절기 타설시 보양 및 급열 관리 불필요 
동절기에 사용할 수 있는 내한콘크리트 사용시 -10℃까지 사용가능 
별도의 보양이나 급열양생 없이 48시간만에 5MPA 압축강도 발현 
(국토부 인증 획득) </t>
  </si>
  <si>
    <t>아이디어 미인정 (사유 : 기접수 아이디어 246번)</t>
  </si>
  <si>
    <t>CO/D-A/F-CE-34</t>
  </si>
  <si>
    <t>옥상 무근대체 방수공법 변경</t>
  </si>
  <si>
    <t>아이디어 인정, 과제 미채택
(25.06.02) 과제통합하여 추진 완(옥상방수+잔디매트)</t>
  </si>
  <si>
    <t>CO/D-A/F-CE-35</t>
  </si>
  <si>
    <t>2400571</t>
  </si>
  <si>
    <t>김서진</t>
  </si>
  <si>
    <t>갱폼 해체 전 본 난간대 설치</t>
  </si>
  <si>
    <t>PR/C-PI-CE-12</t>
  </si>
  <si>
    <t>코킹 공사 협력업체 별도 선정</t>
  </si>
  <si>
    <t xml:space="preserve">기존 여러 협력업체에 잡혀있던 코킹 공사 내역을 삭제하고 코킹 공사 전문 협력업체를 선정하여 관련 공사 내역을 일괄 설정. </t>
  </si>
  <si>
    <t>각 공종별 나눠져 있는 코킹공사 분을 일괄하여 시공한다면 누락분 및 하자보수에 용이 할 수 있음</t>
  </si>
  <si>
    <t>CO/D-A/F-CE-36</t>
  </si>
  <si>
    <t>2001722</t>
  </si>
  <si>
    <t>방영혁</t>
  </si>
  <si>
    <t>지하방습벽경량, 규격화</t>
  </si>
  <si>
    <t>당사기준 : 배수판, 대표적 VE아이템</t>
  </si>
  <si>
    <t>CO/D-A/F-CE-37</t>
  </si>
  <si>
    <t>계단실도장 검토</t>
  </si>
  <si>
    <t>당사기준 : 무늬코트, 대표적 VE아이템</t>
  </si>
  <si>
    <t>CO/Z-PI-CE-23</t>
  </si>
  <si>
    <t>데이터마이닝</t>
  </si>
  <si>
    <t>제안서 내용 부족, 보완하여 제출 예정(25년)</t>
  </si>
  <si>
    <t>CO/Z-PI-EXP-18</t>
  </si>
  <si>
    <t>2003385</t>
  </si>
  <si>
    <t>우정</t>
  </si>
  <si>
    <t>AI를 활용한 당사 공사, 안전 데이터 공유 프로그램</t>
  </si>
  <si>
    <t>AI 플랫폼 구축을 위해서는 다수의 인력과 예산이 소요될 것으로 예상됨. 명확한 기대효과 산출 없이 과제화 진행 어려움.(안전 데이터가 공유되면 사고가 정말 줄어드느냐?)</t>
  </si>
  <si>
    <t>CO/Z-PI-CE-19</t>
  </si>
  <si>
    <t>김형곤</t>
  </si>
  <si>
    <t>직원 근무복 지급기준 변경</t>
  </si>
  <si>
    <t>과제화 방안 검토 中(24년1-10월 피복비 2.4억원_10,164건)</t>
  </si>
  <si>
    <t>CO/Z-PI-CE-24</t>
  </si>
  <si>
    <t>3급</t>
  </si>
  <si>
    <t>MSDS관리개선안</t>
  </si>
  <si>
    <t>효용성 및 경제성 검토 필요</t>
  </si>
  <si>
    <t>EN/M-M-CE-31</t>
  </si>
  <si>
    <t>2201258</t>
  </si>
  <si>
    <t>서동준</t>
  </si>
  <si>
    <t>단위세대 거실, 주방 난방코일 피치 재설립</t>
  </si>
  <si>
    <t>3차승인위원회 승인 과제</t>
  </si>
  <si>
    <t>CO/Z-PI-EXP-19</t>
  </si>
  <si>
    <t>달력, 수첩 대신 미니태블릿 PC 지급</t>
  </si>
  <si>
    <t>비용이 상승할 가능성이 높은건입니다. 비용 검토가 가능할 것으로 보이나 내용이 없습니다. 하여, 해당 건은 단순 건의사항으로 판단하였습니다.</t>
  </si>
  <si>
    <t>EN/M-A/F-CE-4</t>
  </si>
  <si>
    <t>정세영</t>
  </si>
  <si>
    <t>1,2층,최상층 세대 계량기 열선 반영</t>
  </si>
  <si>
    <t>열선삭제후 동파발생시 LISK 큼</t>
  </si>
  <si>
    <t>EN/M-A/F-CE-5</t>
  </si>
  <si>
    <t>필로티 배수배관 방동보온</t>
  </si>
  <si>
    <t>EN/I-A/F-CE-64</t>
  </si>
  <si>
    <t>기준층 공조실무근 삭제</t>
  </si>
  <si>
    <t>일반건축물 공조실 각 설계 케이스(방수 미 필요시)에 따라 무근 미시공</t>
  </si>
  <si>
    <t>(1차검토 : 미채택)
각 현장 VE 사항(전 현장 적용 표준화 불가)</t>
  </si>
  <si>
    <t>CO/Z-PI-EXP-20</t>
  </si>
  <si>
    <t>현장 근무 태블릿PC 한정 지원</t>
  </si>
  <si>
    <t>과년도 제안에서도 유사 제안 건수 多, 태블릿 유무에 따른 B/C 분석 어려움, 개인 복지 차원 아이템이 될 가능성 높음</t>
  </si>
  <si>
    <t>PR/P-PI-EXP-1</t>
  </si>
  <si>
    <t>현장 양수기(임대,수리) 연간단가 선정 검토</t>
  </si>
  <si>
    <t>연단가 업체 개발 검토 필요</t>
  </si>
  <si>
    <t>PR/C-PI-CE-13</t>
  </si>
  <si>
    <t>외주업체선정(입찰금액비교)방식개선</t>
  </si>
  <si>
    <t xml:space="preserve">투찰금액 비교시 정산대상인 법정경비(건강,연금보험료)를 제외한 합계금액으로 낙찰업체 선정 </t>
  </si>
  <si>
    <t>외주모듈 중점과제인 "입찰 프로세스 개선"으로 채택 가능</t>
  </si>
  <si>
    <t>CO/D-ID/H-CE-10</t>
  </si>
  <si>
    <t>2203309</t>
  </si>
  <si>
    <t>최상민</t>
  </si>
  <si>
    <t>보행자 동선표기 기준안 정립</t>
  </si>
  <si>
    <t>아이디어 인정, 과제 미채택
　(25.06.02) TOP과제 보다는 안전환경실 및 현장 추진 사항</t>
  </si>
  <si>
    <t>EN/M-M-CE-32</t>
  </si>
  <si>
    <t>2201262</t>
  </si>
  <si>
    <t>김형준</t>
  </si>
  <si>
    <t>화장실 복합환기휀 변경안(난방코일삭제)</t>
  </si>
  <si>
    <t>복합환기휀은 유상옵션사항이며, 난방코일삭제시 기본사항으로 적용하기엔 고가제품임</t>
  </si>
  <si>
    <t>CO/D-PI-CE-10</t>
  </si>
  <si>
    <t>2300280</t>
  </si>
  <si>
    <t>이재훈</t>
  </si>
  <si>
    <t>감리 검측 서류업무 시스템화</t>
  </si>
  <si>
    <t>EN/S-A/S-CE-39</t>
  </si>
  <si>
    <t>2300271</t>
  </si>
  <si>
    <t>여주 점봉동 물류센터</t>
  </si>
  <si>
    <t>김도균</t>
  </si>
  <si>
    <t>사인장균열 방지대책</t>
  </si>
  <si>
    <t xml:space="preserve">철근콘크리트 벽체의 사각개구부 모서리에 합성수지 응력분산 
곡면판을 설치하여 재료특성(초기건조 및 온도변형 수축)에 의한 사인장균열을 제어함 </t>
  </si>
  <si>
    <t>아이디어 인정, 과제화 미채택
현실적으로 창호부 사보강 효과는 검증된것이 없으며, 회사마다 기준상이(당사 기준 사보강실시), 시공빈도가 높아 원가절감이 되는 상황이나 유관부서 협의 필요, 철근 기준과도 연관있는 아이템이라 판단되어 철근샵 표준안에 포함하여 정리예정</t>
  </si>
  <si>
    <t>EN/S-A/S-CE-40</t>
  </si>
  <si>
    <t>호이스트 패드 PC모듈화</t>
  </si>
  <si>
    <t xml:space="preserve">개선전 : 호이스트 패드 기초를 위한 거푸집 작업및 현장타설 작업 
개선후: 호이스트 패드를 PC로 납품받아 블록처럼 조립하여 현장에서 조립 </t>
  </si>
  <si>
    <t>아이디어 인정, 과제 미채택
아이디어는 좋으나 패드의 양중무게 이슈가 예상되어 적용성이 낮을것으로 판단하였습니다.</t>
  </si>
  <si>
    <t>CO/D-A/F-CE-38</t>
  </si>
  <si>
    <t>마감재 보양관리 기준 매뉴얼 지침 수립</t>
  </si>
  <si>
    <t>CO/D-A/F-CE-39</t>
  </si>
  <si>
    <t>2203368</t>
  </si>
  <si>
    <t>김경기</t>
  </si>
  <si>
    <t>유리난간 보양으로 하자보수 비용절감</t>
  </si>
  <si>
    <t>CO/D-A/S-CE-58</t>
  </si>
  <si>
    <t>갱폼 사다리 및 발판층수 변경</t>
  </si>
  <si>
    <t>CO/D-M-CE-5</t>
  </si>
  <si>
    <t>소화배관 시스템찬넬 U밴드 제거</t>
  </si>
  <si>
    <t>내진 흔들림 버팀대는 내진설비로 배관가대와는 별도로 법적 의무사항임. 흔들림 버팀대를 가대대신으로 사용은 인정 안됨</t>
  </si>
  <si>
    <t>CO/D-E-CE-10</t>
  </si>
  <si>
    <t>2401595</t>
  </si>
  <si>
    <t>진성민</t>
  </si>
  <si>
    <t>층간 가설분전반 삭제</t>
  </si>
  <si>
    <t>상세 검토 후 가설전기 시공표준안에 포함예정</t>
  </si>
  <si>
    <t>CO/D-A/F-CE-40</t>
  </si>
  <si>
    <t>욕실젠다이 알폼 적용의 건</t>
  </si>
  <si>
    <t>CO/D-A/F-CE-42</t>
  </si>
  <si>
    <t>가설 컨테이너 사무실내 분전반 타이머 설치건</t>
  </si>
  <si>
    <t>분전반 타이머를 설치할 경우, 야간작업 또는 기타 작업시간 변동상황에 대한 즉각적인 대응 및 관리가 어려운 케이스들이 존재합니다. 타이머가 아닌 컨테이너별 전력량계 설치를 통한 협력업체별 전기요금청구로 전력사용량 절감 및 화재발생 리스크 감소를 유도할 예정입니다.</t>
  </si>
  <si>
    <t>CO/D-A/F-CE-41</t>
  </si>
  <si>
    <t>2102420</t>
  </si>
  <si>
    <t>구형모</t>
  </si>
  <si>
    <t>지하주차장 지붕층 보호누름타설막이</t>
  </si>
  <si>
    <t>아이디어 인정, 과제 미채택
435번(이경훈) 아이디어와 연계하여 검토
　(25.06.02)</t>
  </si>
  <si>
    <t>CO/D-A/S-CE-59</t>
  </si>
  <si>
    <t>갱폼 리프트카 최상층 자리 방지막 선설치 방안</t>
  </si>
  <si>
    <t>CO/D-A/F-CE-43</t>
  </si>
  <si>
    <t>PF보드 3면심재 대체 준불연경질우레탄보드</t>
  </si>
  <si>
    <t>아이디어 인정, 과제 미채택
설계조건 및 인허가에 따라 적용여부가 결정되므로 과제화 불가</t>
  </si>
  <si>
    <t>CO/D-A/F-CE-45</t>
  </si>
  <si>
    <t>2200398</t>
  </si>
  <si>
    <t>윤혁민</t>
  </si>
  <si>
    <t>빗물설비 배관 재질 변경</t>
  </si>
  <si>
    <t>우수처리설비의 경우 유독가스나 유해물질이 없으므로, 기존의 용접방식보다 무용접방식으로 변경가능 할것으로 사료되며, 추가검토를 통한 과제화 추진 예정(금액미비로 보류)</t>
  </si>
  <si>
    <t>EN/S-A/S-CE-41</t>
  </si>
  <si>
    <t>공동주택 지하주차장을 라멘조(양방향)+무량판 ▶ 1방향 데크</t>
  </si>
  <si>
    <t>최근 주차장 구조안전점검 결과 ①지붕층 2-way 라멘구조는 형틀/동바리 과다로 (노조)인력 동원 및 현장 관리 업무가 과도 되고, ②중간층 무량판 구조의 경우 과도한 Value Engneering으로 도서관리 및 철근 구조 안전성 확보를 위해 현장 관리가 강화 되고 있음. 
또한 작년 무량판 현장 대형 붕괴 사고 이후 발주자/인허가청의 무량판 구조설계에 대한 기피 및 불신으로 구조안전성에 대한 집중관리(특수구조건축물 지정) 현상이  나타나고 있음</t>
  </si>
  <si>
    <t>EN/I-A/F-CE-65</t>
  </si>
  <si>
    <t>공동주택 기준층 EV HALL 마감재 변경</t>
  </si>
  <si>
    <t>비닐페인트 -&gt; 무늬코트 변경</t>
  </si>
  <si>
    <t>(1차검토 : 미채택)
단순 매뉴얼 변경 사항</t>
  </si>
  <si>
    <t>CO/I-A/S-CE-1</t>
  </si>
  <si>
    <t>양창모, 송원일, 박준용</t>
  </si>
  <si>
    <t>PC적기 발주에 따른 원가절감</t>
  </si>
  <si>
    <t>TOP DAY 체크리스트 추가 아이템(현장특수성)</t>
  </si>
  <si>
    <t>CO/D-A/F-CE-44</t>
  </si>
  <si>
    <t>기계실상부 주차장구간 방수 삭제</t>
  </si>
  <si>
    <t>CO/D-C-CE-5</t>
  </si>
  <si>
    <t>부대토목공사 옹벽 계획 변경을 통한 원가 절감</t>
  </si>
  <si>
    <t xml:space="preserve">1. 방음벽 기초 옹벽 : L형옹벽 설계
 2. 방음벽 규격이 변경으로 옹벽 규격 변경 가능
- 방음벽 설치 구간(28M) : L형옹벽 시공(옹벽 규격 축소)
- 방음벽 삭제 구간(226M) : 보강토 옹벽으로 변경
  : 터파기, 되메우기, L형옹벽 물량 감소로 원가 절감 효과  
</t>
  </si>
  <si>
    <t>CO/I-C-CE-1</t>
  </si>
  <si>
    <t>소음영향성 재평가를 통한 방음벽 규격 변경</t>
  </si>
  <si>
    <t xml:space="preserve">1. 소음영향성 재평가를 통한 방음벽 삭제 및 높이 변경 검토 
- 개선전 : h빔+방음판(접합유리)
   • 북측 : L-226m, H-12.5m~13.5m
   • 남측 : L-70m,  H-8m~14m 
- 개선후 : h빔+방음판(접합유리) +소음감쇠기(소음2㏈ 감소효과)  
   • 북측 : 전체삭제(소음기준 만족)
   • 남측 : L-70m,  H-3m~7.2m (5m~6.8m 낮아짐)
</t>
  </si>
  <si>
    <t>CO/D-L-CE-1</t>
  </si>
  <si>
    <t>안희진, 양창모, 차원재</t>
  </si>
  <si>
    <t>조경공사 식재계획 변경을 통한 원가 절감</t>
  </si>
  <si>
    <t xml:space="preserve">1. 고가 수종 계획 
- 개선전 : 고가 수목(소나무, 동백나무, 후박나무 등) 계획
- 개선후 : 고가 수목 수량 감소후 중저가 수목(서양측백, 아왜나무 등) 대체
 2. 옥상조경 계획
- 개선전 : 잔디, 자갈배수로 계획
- 개선후 : 관리 및 사용성 저하로 삭제
 3. 시설물 
- 개선전 : 파고라, 등의자, 테이블 수량 과다
- 개선후 : 휴게공간 협소로 불필요 시설물 삭제
</t>
  </si>
  <si>
    <t>CO/I-PI-CE-17</t>
  </si>
  <si>
    <t>2101631</t>
  </si>
  <si>
    <t>동탄-인덕원 복선전철 9공구</t>
  </si>
  <si>
    <t>김민준</t>
  </si>
  <si>
    <t>안전관리계획서&amp;유해위험방지계획서 통합 작성 모듈화</t>
  </si>
  <si>
    <t>착공 전 업무 과중 및 다수 보완으로 인해  용역 수행 필요
- 계약 기준 재검토 및 R&amp;R 재정립 필요</t>
  </si>
  <si>
    <t>CO/I-A/S-CE-2</t>
  </si>
  <si>
    <t>2201233</t>
  </si>
  <si>
    <t>배찬우</t>
  </si>
  <si>
    <t>집수정 변경발주를 통한 원가절감</t>
  </si>
  <si>
    <t>강재집수정 -&gt; PP집수정</t>
  </si>
  <si>
    <t>아이디어 인정, 과제 미채택
21' 8월 기술혁신팀 기공지 사항
TOP DAY 체크리스트 추가 아이템(현장특수성)</t>
  </si>
  <si>
    <t>CO/I-Z-CE-3</t>
  </si>
  <si>
    <t>롤스크린 변경발주를 통한 원가절감</t>
  </si>
  <si>
    <t>아이디어 인정 과제 미채택
현장특수성에 의한 VE</t>
  </si>
  <si>
    <t>EN/EX-A/F-CE-16</t>
  </si>
  <si>
    <t>필로티, 지하홀 천장재 자재 변경을 통한 원가절감 (기존 AL -&gt; DMC 변경)</t>
  </si>
  <si>
    <t>(1차검토 : 미채택)
독점공급자 이슈
단, 재료마감표 AL과 병기 여부 디자인팀, 외주, 품질팀 검토 예정</t>
  </si>
  <si>
    <t>CO/D-M-CE-6</t>
  </si>
  <si>
    <t>강재집수정 설비 펌프드레인 선 적용의 건</t>
  </si>
  <si>
    <t xml:space="preserve">강제집수정 옆면 타공은 지양하며, 배수펌프드레인은 노출로 상부 토출을 기본으로 하고있음. 단, 운암현장특성상 옆면 타공시 하자예방을 위한 아이디어 발굴은 인정함. </t>
  </si>
  <si>
    <t>CO/D-A/S-CE-60</t>
  </si>
  <si>
    <t>세대천정 균열 저감방안</t>
  </si>
  <si>
    <t>아이디어 인정, 과제 미채택
균열의 원인으로 추정되는 자재반입구에 대한 줄눈을 계획하더라도
슬래브 균열을 발생 할 것으로 판단되어 과제화 미채택 함</t>
  </si>
  <si>
    <t>CO/Z-PI-CE-25</t>
  </si>
  <si>
    <t>중기사업소 대체 게시판 운영안</t>
  </si>
  <si>
    <t>CO/I-PI-CE-18</t>
  </si>
  <si>
    <t>하도급 지급보증 수수료 절감안</t>
  </si>
  <si>
    <t>토목 등 조기에 준공 되는 공종에 한하여 계약기간 조정</t>
  </si>
  <si>
    <t>현장별 하도급대금지급보증시, 해당사항 없음</t>
  </si>
  <si>
    <t>CO/D-A/S-CE-61</t>
  </si>
  <si>
    <t>0500830</t>
  </si>
  <si>
    <t>조동진</t>
  </si>
  <si>
    <t>데이터센터를 위한 높은벽 안전폼웍시스템</t>
  </si>
  <si>
    <t>아이디어 인정 과제화 검토중</t>
  </si>
  <si>
    <t>CO/D-A/S-CE-62</t>
  </si>
  <si>
    <t>엘리베이터 선시공 투입 공법 개발</t>
  </si>
  <si>
    <t>제안 공법과 유사한 방식을 적용해서 시공한 현장이 있었으나, 공기단축에 큰 효과는 없었음. 대부분의 현장에서 해당 공법 적용을 위한 추가예산으로 돌관공사 수행 하는 방법을 선호함.</t>
  </si>
  <si>
    <t>CO/D-ID/H-CE-11</t>
  </si>
  <si>
    <t>직원안전보호구 기준정립</t>
  </si>
  <si>
    <t>아이디어 인정, 과제 미채택
공종별 안전보호구를 특정하기 어려울것으로 판단하였음</t>
  </si>
  <si>
    <t>EN/S-A/S-CE-42</t>
  </si>
  <si>
    <t>크로스타이를 대체하는 용접용 V-Tie</t>
  </si>
  <si>
    <t xml:space="preserve">여러 개의 v형 띠철근을 Holding Wire에 용접한 형태의 제품으로 
타이의 풀림현상 방지 및 시공성 향상, 피복두께 감소 문제 해결 
기존 대비 원가절감 (자재 및 시공비) </t>
  </si>
  <si>
    <t>아이디어 인정 (사유 : 기접수 아이디어 481번)</t>
  </si>
  <si>
    <t>CO/Z-PI-CE-26</t>
  </si>
  <si>
    <t>1100748</t>
  </si>
  <si>
    <t>김희준</t>
  </si>
  <si>
    <t>추정완성 시스템 화면개발 제안</t>
  </si>
  <si>
    <t xml:space="preserve">TOP추진실 </t>
  </si>
  <si>
    <t>EN/E-ID/H-CE-1</t>
  </si>
  <si>
    <t>오정화, 박재보, 안희진</t>
  </si>
  <si>
    <t>임시소방시설 개선안</t>
  </si>
  <si>
    <t>CO/Z-PI-CE-27</t>
  </si>
  <si>
    <t>차원재
(고한울)</t>
  </si>
  <si>
    <t>공동도급PJ 수행 기준 中 #1.정기안전점검</t>
  </si>
  <si>
    <t>JV현장 전체 적용검토 (기수행현장 사례조사 포함)</t>
  </si>
  <si>
    <t>EN/S-A/S-CE-43</t>
  </si>
  <si>
    <t>EV PIT 변경발주</t>
  </si>
  <si>
    <t>골조 EV PIT -&gt; 강재 엘리베이터 PIT</t>
  </si>
  <si>
    <t>EN/I-A/F-CE-66</t>
  </si>
  <si>
    <t>소방배관 위치 조정하여 아파트 기준층 천정마감 변경
- 천정 석고보드 미설치 + 무늬코트 적용</t>
  </si>
  <si>
    <t>(1차검토 : 채택_545, 579 통합)
충주용산 검토 결과 일부 코어는 적용 불가
민원을 고려한 상품성 통일 우선 검토 후 적용여부 협의 필요</t>
  </si>
  <si>
    <t>통합
(545,579)</t>
  </si>
  <si>
    <t>EN/I-A/F-CE-67</t>
  </si>
  <si>
    <t>2102436</t>
  </si>
  <si>
    <t>우상탁</t>
  </si>
  <si>
    <t>주방 벽타일 시공부위 일반석고보드 시공</t>
  </si>
  <si>
    <t>23년 품질팀 주관 변경사항과 대척하여 협의 예정
- 품질팀 : 일반석고 -&gt; 방수석고 변경
- 406번 아디이어 일부 중복사항(유재원 과장)</t>
  </si>
  <si>
    <t>EN/M-M-CE-33</t>
  </si>
  <si>
    <t>1105016</t>
  </si>
  <si>
    <t>주정현</t>
  </si>
  <si>
    <t>집수정 간 EQ파이프(equalizing pipe) 설치제안</t>
  </si>
  <si>
    <t>배수펌프 삭제는 유사시 대응에 부적합하지만, 공사중 집수정간 배관 연결로 가설배수에는 적합함</t>
  </si>
  <si>
    <t>EN/M-M-CE-34</t>
  </si>
  <si>
    <t>아파트 세대 에어컨 실외기 용량 변경</t>
  </si>
  <si>
    <t>당사 기준에 해당 아이디어 적용중, 일부 미적용 현장은 현장 VE반영</t>
  </si>
  <si>
    <t>EN/E-E-CE-45</t>
  </si>
  <si>
    <t>수변전설비 특고 인입케이블 시공 개선안</t>
  </si>
  <si>
    <t>EN/I-A/F-CE-68</t>
  </si>
  <si>
    <t>아파트 펫도어 추가
- 목문 하부 반려견/묘 통행용 구멍 개설</t>
  </si>
  <si>
    <t>단순 원가 상승요인으로 미채택</t>
  </si>
  <si>
    <t>CO/Z-PI-CE-28</t>
  </si>
  <si>
    <t>도급주요설변 아이템 리스트업</t>
  </si>
  <si>
    <t>견적팀 관리 업무</t>
  </si>
  <si>
    <t>EN/E-A/F-CE-1</t>
  </si>
  <si>
    <t>오정화, 송원일, 김태용</t>
  </si>
  <si>
    <t>아파트 스마트홈 옵션 추가</t>
  </si>
  <si>
    <t>과제화할 제안은 아닌것으로 판단됨</t>
  </si>
  <si>
    <t>EN/M-A/F-CE-6</t>
  </si>
  <si>
    <t>양변기 물탱크 개선 제안</t>
  </si>
  <si>
    <t>공동주택 사용불가, 일부 협소한 공용 화장실 사용 가능하나, 양변기와 결합한 세면기에 위생성 떨어짐</t>
  </si>
  <si>
    <t>EN/I-A/F-CE-69</t>
  </si>
  <si>
    <t>PL창호 레핑 삭제 제안
- 거실, 침실 등 내부 시트 삭제 제안</t>
  </si>
  <si>
    <t>(1차검토:미채택)
제안 자체 의미 인정, 단 상품성 저하 요인으로 미채택</t>
  </si>
  <si>
    <t>CO/I-PI-CE-19</t>
  </si>
  <si>
    <t>1101051</t>
  </si>
  <si>
    <t>수원발 KTX 노반공사</t>
  </si>
  <si>
    <t>강희종</t>
  </si>
  <si>
    <t>본실행 확정시 유니파이어 시스템 자동반영</t>
  </si>
  <si>
    <t>안됨</t>
  </si>
  <si>
    <t>EN/E-PI-CE-1</t>
  </si>
  <si>
    <t>오정화, 박재보, 고한울</t>
  </si>
  <si>
    <t>정보통신기술자 배치(법적사항)인원 절감의 건</t>
  </si>
  <si>
    <t>CO/D-TF-CE-8</t>
  </si>
  <si>
    <t>공통가설 설치 및 운영비 분리발주사에 분담금 청구</t>
  </si>
  <si>
    <t>EN/S-C-CE-8</t>
  </si>
  <si>
    <t>2403237</t>
  </si>
  <si>
    <t>이용복</t>
  </si>
  <si>
    <t>토목 외주공사 발주 시 SGR투수 의뢰시험 추가의 건</t>
  </si>
  <si>
    <t>아이디어 인정, 과제 미채택
본실행 편성시 협의 후 반영</t>
  </si>
  <si>
    <t>CO/D-TF-CE-9</t>
  </si>
  <si>
    <t>집수정 배수펌프 배관 기준 변경</t>
  </si>
  <si>
    <t>동지하 집수정 배관을 세대 배수횡주관에 연결가능(검토중)</t>
  </si>
  <si>
    <t>CO/Z-PI-SNA-6</t>
  </si>
  <si>
    <t>1401131</t>
  </si>
  <si>
    <t>이용승</t>
  </si>
  <si>
    <t>(본사)사내전화비용절감의 건</t>
  </si>
  <si>
    <t>旣 인지 및 추진예정 사항(기존 제안과 통합 진행, 아이디어 제출 시점 인정)</t>
  </si>
  <si>
    <t>EN/I-A/F-CE-70</t>
  </si>
  <si>
    <t>안방 발코니 분합 하부 마감 개선
-발코니 바닥 FL+80-&gt;90으로 조정 후 평 구배 형성</t>
  </si>
  <si>
    <t>해당 문제 해소를 위해 현 기준(FL+80) 설정 후 운영중
해당 문제는 예전 기준(FL+60) 현장 위주 발생사항</t>
  </si>
  <si>
    <t>CO/I-Z-CE-4</t>
  </si>
  <si>
    <t>시험기기 발주기준</t>
  </si>
  <si>
    <t>소액자산관리와 연계. 임대물품 중고 사용은 구매팀 공유</t>
  </si>
  <si>
    <t>EN/EX-A/F-CE-17</t>
  </si>
  <si>
    <t>DA구간 난간대 삭제
- 안전난간 및 추락방지망 중복설치에 따른 난간 삭제</t>
  </si>
  <si>
    <t>중복설치 현장 한정
기존 벽면 그릴창 강도(활화중 1.0KN/㎡) 확보 시 안전난간 삭제 가능
- (국토부)환기구 설계/시공 유지관리 가이드라인</t>
  </si>
  <si>
    <t>CO/I-PI-CE-20</t>
  </si>
  <si>
    <t>수주정보제안창구 신설</t>
  </si>
  <si>
    <t>CO/D-A/S-CE-63</t>
  </si>
  <si>
    <t>타워크레인 수량 변경</t>
  </si>
  <si>
    <t xml:space="preserve">(개선 전) 타워크레인 4대 설치,아레나 남측 타워 반경 부족
--------------------------------------------------
(개선 후) 아레나 건물 내부로 타워크레인을 설치하여 4대→3대
변경 가능 (원가절감), 아레나 지붕 트러스는 300톤 H/D 크레인
으로 계획되어 아레나 내부 타워크레인은 지붕 트러스 설치 전 
해체 예정
</t>
  </si>
  <si>
    <t>CO/D-A/S-CE-64</t>
  </si>
  <si>
    <t>타워크레인 좌대 삭제</t>
  </si>
  <si>
    <t xml:space="preserve">(개선 전) 역타구간 타워크레인 2대 설치 (1층 좌대)
--------------------------------------------------
(개선 후) 타워크레인 배치 계획을 변경하여 역타구간에 1대 설치,
당 현장 북측 역타공법은 공기 단축을 위한 방안으로 적용한 것이
아니라 E/A 설치가 불가하여 흙막이 지지공법으로 역타공법이 
적용된 것으로 1층에 좌대를 설치하여 타워크레인을 빠르게 설치
할 필요가 없음, 지하2층 타워 기초 설치로 변경 진행
</t>
  </si>
  <si>
    <t>CO/D-A/S-CE-65</t>
  </si>
  <si>
    <t>중장비 운영 계획에 따른 구조보강으로 복공 삭제</t>
  </si>
  <si>
    <t>CO/Z-PI-CE-29</t>
  </si>
  <si>
    <t>(본사)공용부회의 실비용 절감의 건</t>
  </si>
  <si>
    <t xml:space="preserve">공용부회의실 사용료 3,737원/h, 효율적인 사용위한 방법 검토 예정 </t>
  </si>
  <si>
    <t>EN/E-E-CE-46</t>
  </si>
  <si>
    <t>전열교환기 전기, 통신 박스 일체화</t>
  </si>
  <si>
    <t>건축전기팀과 협의하여 기준 정립 예정
추후 ‘단위세대 시공개선안’을 주제로 한 여러 개의 과제중, 한 개의 아이템으로 적용할 예정</t>
  </si>
  <si>
    <t>CO/D-A/F-CE-46</t>
  </si>
  <si>
    <t>공동주택 목문짝 하드웨어 공장 타공 실시 안</t>
  </si>
  <si>
    <t>아이디어 미인정
오시공시 Loss 발생 증가에 따른 업무 혼선 가능성 높다고 판단함</t>
  </si>
  <si>
    <t>CO/D-ID/H-CE-12</t>
  </si>
  <si>
    <t>2203316</t>
  </si>
  <si>
    <t>정현호</t>
  </si>
  <si>
    <t>안전관련 용품관리 개선의 건</t>
  </si>
  <si>
    <t>유사아이디어 다수</t>
  </si>
  <si>
    <t>EN/I-A/F-CE-71</t>
  </si>
  <si>
    <t>2102470</t>
  </si>
  <si>
    <t>허창익</t>
  </si>
  <si>
    <t>AL도어 기준 확립
- 용도, 위치 별 상세스펙 지정하여 과스펙 설치 방지</t>
  </si>
  <si>
    <t>AL류 상세스펙 검토 진행중</t>
  </si>
  <si>
    <t>CO/D-PI-CE-11</t>
  </si>
  <si>
    <t>필로티 안전난간 설치 process 개선방안 제안</t>
  </si>
  <si>
    <t>아이디어 인정, 과제 미채택
해체작업 불가피</t>
  </si>
  <si>
    <t>EN/I-A/F-CE-72</t>
  </si>
  <si>
    <t>욕실골조벽 방수삭제</t>
  </si>
  <si>
    <t>욕실 중 골조벽면 액체방수 삭제</t>
  </si>
  <si>
    <t>기 시행사항</t>
  </si>
  <si>
    <t>CO/I-PI-CE-21</t>
  </si>
  <si>
    <t>품질관리자 인력풀관리</t>
  </si>
  <si>
    <t>당연한거</t>
  </si>
  <si>
    <t>CO/D-A/S-CE-66</t>
  </si>
  <si>
    <t>철골방청도장 삭제 안</t>
  </si>
  <si>
    <t>아이디어 미인정
기 공지사항</t>
  </si>
  <si>
    <t>CO/D-A/S-CE-67</t>
  </si>
  <si>
    <t>드론 측량을 통한 토공 수량산출에 의한 절감안</t>
  </si>
  <si>
    <t>아이디어 미인정
기 시행사항</t>
  </si>
  <si>
    <t>CO/D-A/S-CE-68</t>
  </si>
  <si>
    <t>복공판 삭제방안 검토에 의한 절감안</t>
  </si>
  <si>
    <t>CO/D-A/S-CE-69</t>
  </si>
  <si>
    <t>가설휀스 자재 변경</t>
  </si>
  <si>
    <t>아이디어 미인정
중복사항(동일현장)</t>
  </si>
  <si>
    <t>EN/I-A/S-CE-10</t>
  </si>
  <si>
    <t>공동주택 단차이세대 간벽 단열재 기준 개선
- 측벽에 이중으로 설치되는 단열재 삭제 건</t>
  </si>
  <si>
    <t>특정현장(충주용산) 도서 사례
- 도서 변경 관련 별도 현장 협의</t>
  </si>
  <si>
    <t>CO/D-A/S-CE-70</t>
  </si>
  <si>
    <t>수서역복합개발 현장 레미콘 배치플랜트 운영 안</t>
  </si>
  <si>
    <t>아이디어 미인정
중복아이디어</t>
  </si>
  <si>
    <t>CO/D-A/F-CE-47</t>
  </si>
  <si>
    <t>실외기실 루버 후드캡 선시공</t>
  </si>
  <si>
    <t>유형효과 미비로 과제화는 불가하나, 현장적용시 무형효과 예상됨</t>
  </si>
  <si>
    <t>CO/I-ID/H-CE-11</t>
  </si>
  <si>
    <t>2102419</t>
  </si>
  <si>
    <t>최진규</t>
  </si>
  <si>
    <t>정기안전점검 비용 절감</t>
  </si>
  <si>
    <t>유사 아이디어 다수</t>
  </si>
  <si>
    <t>CO/D-C-CE-6</t>
  </si>
  <si>
    <t>버림con'c강도 저감 및 슬럼프 증가</t>
  </si>
  <si>
    <t>아이디어 인정, 과제 미채택
기술혁신팀 기공지사항(22' 11월 23일) 활용사례</t>
  </si>
  <si>
    <t>CO/D-A/S-CE-71</t>
  </si>
  <si>
    <t>일반데크 -&gt; 단열데크 적용</t>
  </si>
  <si>
    <t>CO/I-PI-EXP-1</t>
  </si>
  <si>
    <t>2401033</t>
  </si>
  <si>
    <t>배치전 및 특수건강검진 병원(출장검진) 본사계약 건</t>
  </si>
  <si>
    <t>특수건강검진은 의료수가가 정해져 있음.
원칙적으로 수가 조정시, 이슈 가능성 高</t>
  </si>
  <si>
    <t>EN/S-A/S-CE-44</t>
  </si>
  <si>
    <t>일체형 강재 EV PIT 및 집수정 적용</t>
  </si>
  <si>
    <t xml:space="preserve">E/V PIT 및 집수정 PIT의 형식 변경 (재래식→강재) 
- 개선 전(당초) : 1) 철근콘크리트 PIT 구조 
- 개선 후(변경) : 1) 일체형 강재 E/V PIT/집수정 기성품 적용 </t>
  </si>
  <si>
    <t>아이디어 인정 (사유 : 기접수 아이디어 635번)</t>
  </si>
  <si>
    <t>CO/D-M-CE-7</t>
  </si>
  <si>
    <t>전열교환기 비닐포장 반입</t>
  </si>
  <si>
    <t>박스포장 제거시 보관 및 장비파손우려, 박스는 설치후 수거조건 명시</t>
  </si>
  <si>
    <t>EN/I-A/F-CE-73</t>
  </si>
  <si>
    <t>실외기실 바닥 마감변경을 통한 원가절감</t>
  </si>
  <si>
    <t xml:space="preserve">바닥타일 -&gt; 우레탄 계열 </t>
  </si>
  <si>
    <t>방화구획 적용 추세로, 불연 마감재 적용 필요</t>
  </si>
  <si>
    <t>CO/Z-PI-CE-30</t>
  </si>
  <si>
    <t>0500485</t>
  </si>
  <si>
    <t>정유진</t>
  </si>
  <si>
    <t>전사 문서목록 개정(보존문서) 및 보관 문서 축소</t>
  </si>
  <si>
    <t>발표 완료</t>
  </si>
  <si>
    <t>CO/D-C-CE-7</t>
  </si>
  <si>
    <t>흙막이 배면 LEVEL 조정을 통한 흙막이 벽체 최적화 변경의 건</t>
  </si>
  <si>
    <t>CO/D-A/F-CE-48</t>
  </si>
  <si>
    <t>EV홀 PD내부 칸막이 최소화 시공 적용 건</t>
  </si>
  <si>
    <t>주거동 공용부 표준화 과제와 함께 검토</t>
  </si>
  <si>
    <t>CO/D-A/F-CE-49</t>
  </si>
  <si>
    <t>아파트 주동기초단차 150mm형성하여 물유입 차단</t>
  </si>
  <si>
    <t>ELEV홀+계단실 바닥골조 단차로 시공성 저하
당사 기준 상 경계벽(블록벽) 하부 방수턱 시공</t>
  </si>
  <si>
    <t>CO/D-A/F-CE-50</t>
  </si>
  <si>
    <t>지하주차장 무근콘크리트 막이 철판 사용</t>
  </si>
  <si>
    <t>아이디어 인정, 과제 미채택
접수아이디어 435번과 통합</t>
  </si>
  <si>
    <t>CO/D-C-CE-8</t>
  </si>
  <si>
    <t>CIP 엄지말뚝 보강공법 적용 검토</t>
  </si>
  <si>
    <t>8차 과제승인위 상정완료</t>
  </si>
  <si>
    <t>CO/D-C-CE-9</t>
  </si>
  <si>
    <t>도급계약서 검토를 통한 설계변경 가능 여건 조성</t>
  </si>
  <si>
    <t>CO/D-A/F-CE-51</t>
  </si>
  <si>
    <t>타워동 공용부 벽체 일람 변경</t>
  </si>
  <si>
    <t xml:space="preserve">[ 19‘방화석고’*2p +C-STUD +24K,50T G/W+19‘방화석고’*2p ] 2시간 내화 구조 에서  
[ 100T 경량기포콘크리트블럭(ALC) ] 2시간 내화구조 로 마감재 변경. 
2시간 내화구조라는 동등한 성적을 보유하고 있으며, 우수 유입에 따른 피해가 미비  
하여 마감공정 선행 가능함. 파손교체 등의 후속작업 불필요. </t>
  </si>
  <si>
    <t>CO/D-PI-CE-12</t>
  </si>
  <si>
    <t>체크리스트 아르바이트생 조기투입</t>
  </si>
  <si>
    <t>아이디어 인정, 과제 미채택
현장관리비 및 CS예산을 통해 현기준에서도 집행 가능</t>
  </si>
  <si>
    <t>CO/D-A/S-CE-72</t>
  </si>
  <si>
    <t>탑다운현장 타워크레인 투입 검토 안</t>
  </si>
  <si>
    <t>아이디어 미인정</t>
  </si>
  <si>
    <t>CO/D-Z-CE-17</t>
  </si>
  <si>
    <t>매립폐기물 비용 간접비 청구</t>
  </si>
  <si>
    <t>CO/D-C-CE-10</t>
  </si>
  <si>
    <t>CIP 캡빔 레벨변경</t>
  </si>
  <si>
    <t>아이디어 미인정
동일한 작성자 기제출 아이디어(중복)</t>
  </si>
  <si>
    <t>EN/M-M-CE-35</t>
  </si>
  <si>
    <t>급탕용 밀폐형탱크 삭제 건</t>
  </si>
  <si>
    <t>사용시 개방형에서 미사용시 밀폐형으로 볼수 있으며, 최소한의 안전장치임</t>
  </si>
  <si>
    <t>CO/I-PI-CE-22</t>
  </si>
  <si>
    <t>외주&amp;구매 발주용 현장설명서&amp;특기시방서 표준화</t>
  </si>
  <si>
    <t>당연히 되어있어야되는데 안되어있는 아이템을 구체적으로 제안한 것이 아님</t>
  </si>
  <si>
    <t>CO/D-A/F-CE-52</t>
  </si>
  <si>
    <t>지하주차장 천정 단열재 변경</t>
  </si>
  <si>
    <t>CO/D-PI-CE-13</t>
  </si>
  <si>
    <t>9000530</t>
  </si>
  <si>
    <t>전병현</t>
  </si>
  <si>
    <t>현장별 레미콘 적용단가 추가할인</t>
  </si>
  <si>
    <t>구체성 부족하여 현안 재파악 중.</t>
  </si>
  <si>
    <t>CO/D-E-CE-11</t>
  </si>
  <si>
    <t>0300317</t>
  </si>
  <si>
    <t>고춘욱</t>
  </si>
  <si>
    <t>가설전기 케이블 규격 변경(70SQ이상 케이블 4C시공)</t>
  </si>
  <si>
    <t>CO/I-YY-CE-6</t>
  </si>
  <si>
    <t>건강관리실 법적 비치 물품에 대한 일괄 단가화</t>
  </si>
  <si>
    <t>일부 되어있고 부족한것만 추가할 필요성이 있으면 추가 아이템을 구체적으로.</t>
  </si>
  <si>
    <t>CO/I-ID/A-EXP-1</t>
  </si>
  <si>
    <t>1103432</t>
  </si>
  <si>
    <t>인프라VE팀</t>
  </si>
  <si>
    <t>김동윤</t>
  </si>
  <si>
    <t>양창모, 양창모, 차원재</t>
  </si>
  <si>
    <t>김윤호</t>
  </si>
  <si>
    <t>공사손해보험 개선안</t>
  </si>
  <si>
    <t>25년2분기(250721)</t>
  </si>
  <si>
    <t>CO/Z-PI-CE-31</t>
  </si>
  <si>
    <t>복합개발사업 매뉴얼 제작</t>
  </si>
  <si>
    <t>복합개발사업에 대해 유형별 사업 초기단계부터 착공전까지의 표준 설계 매뉴얼을 제작하여 향후 수주할 복합개발사업의 성격에 따라 준비해야할 인허가와 집중관리 및 F/U에 대해 사전에 놓치지 않고 대응하여 인건비 절감과 높은 기술수준 구현을 동시에 확보 가능.</t>
  </si>
  <si>
    <t xml:space="preserve">복합개발사업의 매뉴얼화 현실적으로 불가 </t>
  </si>
  <si>
    <t>CO/D-A/F-CE-53</t>
  </si>
  <si>
    <t>1104093</t>
  </si>
  <si>
    <t>권성희</t>
  </si>
  <si>
    <t>전기차 급속충전기 PAD 변경을 통한 원가 절감</t>
  </si>
  <si>
    <t>현장 VE로 진행</t>
  </si>
  <si>
    <t>CO/Z-PI-EXP-21</t>
  </si>
  <si>
    <t>근무복 복지포인트로 전환</t>
  </si>
  <si>
    <t>기 접수 아이디어 (566번 과제와 통합)</t>
  </si>
  <si>
    <t>CO/D-E-EXP-1</t>
  </si>
  <si>
    <t>가설전기 분전반접지방법 변경(연접접지선-구조체본딩_접지접지방식변경)</t>
  </si>
  <si>
    <t>CO/D-ID/H-CE-13</t>
  </si>
  <si>
    <t>휀스하부 막이 개선</t>
  </si>
  <si>
    <t>잔디매트 시공時 원가, 시공성, 품질, 유지관리 등 모든 부분에서의  개선이 이루어짐</t>
  </si>
  <si>
    <t>아이디어 인정, 과제 미채택
TOP과제 보다는 현장 선택 사항</t>
  </si>
  <si>
    <t>CO/I-YY-CE-7</t>
  </si>
  <si>
    <t>0300770</t>
  </si>
  <si>
    <t>김판근</t>
  </si>
  <si>
    <t>숙소공과금절감</t>
  </si>
  <si>
    <t>임직원 복리후생과 연계되어 TOP과제화는 부적절, 현장지원팀 관리규정에서 해결 방안 모색</t>
  </si>
  <si>
    <t>EN/S-A/S-CE-45</t>
  </si>
  <si>
    <t>2201241</t>
  </si>
  <si>
    <t>강태곤</t>
  </si>
  <si>
    <t>기둥그룹핑 프로세스 개선안</t>
  </si>
  <si>
    <t xml:space="preserve">현장 개설 후, 도면의 기둥 위치와 일람을 확인하여 구조설계사에 주근 개수를 최적화 할 수 있게 세분화 요청
(ex. 기존: TC10, 변경: TC10A, TC10B, TC10C 등)
</t>
  </si>
  <si>
    <t>EN/S-C-CE-9</t>
  </si>
  <si>
    <t>PRD 굵은골재 최대치수 변경</t>
  </si>
  <si>
    <t xml:space="preserve">PRD 직경에 주근을 배치하여 철근의 순간격을 계산.
계산된 철근의 순간격이 25mm 이상일 경우, 통상적으로 많이 사용하는 25mm 굵은 골재 최대치수를 적용하는 방안을 검토.
</t>
  </si>
  <si>
    <t>아이디어 인정 과제 미채택
현장특수성에 의한 VE(서울역/수서역 현장 내용 공유완료)</t>
  </si>
  <si>
    <t>EN/EX-A/F-CE-18</t>
  </si>
  <si>
    <t>스노우멜팅 시공범위 최적화</t>
  </si>
  <si>
    <t>현장 VE로 진행요망</t>
  </si>
  <si>
    <t>CO/I-PI-SNA-1</t>
  </si>
  <si>
    <t>현전직 채용후 노트북 지급프로세스 개선</t>
  </si>
  <si>
    <t>현재, 정직들과 동일한 프로세스, 동일한 사양으로 PC/모니터 지급중. 현황 파악 잘못</t>
  </si>
  <si>
    <t>CO/I-PI-CS-5</t>
  </si>
  <si>
    <t>AS타일 재활용 방안</t>
  </si>
  <si>
    <t>소액자산관리에 포함. 과제화 불필요. 하자 현장 추가 방안 모색중</t>
  </si>
  <si>
    <t>CO/Z-PI-SNA-7</t>
  </si>
  <si>
    <t>‘FORENA’ 브랜드 가치 향상을 위한 명함 디자인 개선 및 활용</t>
  </si>
  <si>
    <t>제안 인정되나 QR 코드 삽입을 통한 정량적인 효과를 산출하기 어려워 과제화 미추진(QR코드 명함 삽입 관련은 현장지원팀과 논의 진행)</t>
  </si>
  <si>
    <t>EN/S-PI-CE-3</t>
  </si>
  <si>
    <t>SGR 투수시험내역화</t>
  </si>
  <si>
    <t>649번 중복(동일현장 동일아이디어)</t>
  </si>
  <si>
    <t>EN/I-A/F-CE-74</t>
  </si>
  <si>
    <t>2203290</t>
  </si>
  <si>
    <t>아산 배방 생활숙박시설</t>
  </si>
  <si>
    <t>김주형</t>
  </si>
  <si>
    <t>주방 벽체 석고 변경(방수 -&gt; 방균)</t>
  </si>
  <si>
    <t>현장TOP 처리 (일반공동주택은 방균 적용)
(아산배방 특수사항 -&gt; 세대 내 건식+ALC 반영_조적X)
- 406번 과제 일부 동일사항(유재원 과장)</t>
  </si>
  <si>
    <t>CO/D-L-CE-2</t>
  </si>
  <si>
    <t>철거부지내 식재의 타현장 이식을 통한 임목폐기물 절감</t>
  </si>
  <si>
    <t>CO/D-ID/H-CE-14</t>
  </si>
  <si>
    <t>가설사무실 축조 면적 분개 件</t>
  </si>
  <si>
    <t>CO/D-TF-CE-10</t>
  </si>
  <si>
    <t>2300284</t>
  </si>
  <si>
    <t>황주하</t>
  </si>
  <si>
    <t>초기가설수 연단가내역개정</t>
  </si>
  <si>
    <t>가설사무실 연단가 업체 활용</t>
  </si>
  <si>
    <t>CO/D-A/F-CE-54</t>
  </si>
  <si>
    <t>2101037</t>
  </si>
  <si>
    <t>이형도</t>
  </si>
  <si>
    <t>커튼월룩 색상검토
(클리어 유리 적용 시 내부 결속철물 도장 기준)</t>
  </si>
  <si>
    <t>24년 7월 디자인팀 설계공지(처리규정) 완료 건
(페인트 색상 -&gt; 클리어 or 그레이 결정 -&gt; 결속철물 우레탄 도장)</t>
  </si>
  <si>
    <t>CO/D-A/F-CE-55</t>
  </si>
  <si>
    <t>0500072</t>
  </si>
  <si>
    <t>박상준</t>
  </si>
  <si>
    <t>공사팀장설계검토 참여제도</t>
  </si>
  <si>
    <t>아이디어 인정, 과제 미채택
필요한 사안이긴 하나, 해당업무는 본래 유관부서에서 챙겨야 하는 
사안이며, 현실적으로 온라인 워크샵 등 추가 업무 부여를 통한 효과를 기대하기 어려울것으로 판단함</t>
  </si>
  <si>
    <t>CO/D-A/F-CE-56</t>
  </si>
  <si>
    <t>준불연단열재 대안</t>
  </si>
  <si>
    <t>아이디어 인정, 과제 미채택
중복 아이디어이나 상세한 분석과 금액제시 등 검토결과가 유의미함</t>
  </si>
  <si>
    <t>CO/D-C-CE-11</t>
  </si>
  <si>
    <t>CIP상단레벨 Down</t>
  </si>
  <si>
    <t>CO/D-A/S-CE-73</t>
  </si>
  <si>
    <t>2201222</t>
  </si>
  <si>
    <t>이산하</t>
  </si>
  <si>
    <t>AL Form브라켓 recess 시공</t>
  </si>
  <si>
    <t>아이디어 인정, 과제 미채택
유효한 아이디어이나 모든 현장에 동일 적용이 어려울것으로 판단함</t>
  </si>
  <si>
    <t>CO/D-A/F-CE-57</t>
  </si>
  <si>
    <t>인테리어 합판 삭제 적용의 건</t>
  </si>
  <si>
    <t>아이디어 불채택(아래 문제 해결될 경우 현장TOP 처리 가능)
합판 삭제 시 시트류 마감 적용에 따른 판과 판 사이 줄 나누기
시공 불가(시트류 기본 너비 사이사이 줄 나누기)로 삭제 어려움</t>
  </si>
  <si>
    <t>CO/D-M-CE-8</t>
  </si>
  <si>
    <t>주차장 및 주동 계단실 기초에 배수 배관 설치</t>
  </si>
  <si>
    <t>기초 배근 시 주차장 및 계단실 매입 배관하고 집수정으로 유도하여 집수정에서 양수할 수 있도록 설계/시공.
(*현장 여건에 맞춰 위치 선정)
계단실 등에 별도의 펌프 설치/배치가 불필요해짐.</t>
  </si>
  <si>
    <t>CO/I-ID/H-CE-12</t>
  </si>
  <si>
    <t>본사 점검인원 현장 점검시 개인보호구 지참건</t>
  </si>
  <si>
    <t>기초 배근 시 주1을 및 계단실 매입 배관하고 집수정으로 유도 하여 집수정에서 양수할 수 있도록 설계/시공.
(*현장 여건에 맞춰 위치 선정)
계단실 등에 별도의 펌프 설치/배치가 불필요 해짐.</t>
  </si>
  <si>
    <t>아이디어 인정, 과제 미채택
대중교통이동 제약 및 본사 지원업무 인원의 경우 개인보호구 없음</t>
  </si>
  <si>
    <t>CO/I-ID/H-CE-13</t>
  </si>
  <si>
    <t>무선호출벨을 활용한 긴급 정지 알람 시스템</t>
  </si>
  <si>
    <t>장비 내 무선 호출벨을 설치하여 긴급상황 발생시에 장비 기사가 장비내에서 인지할 수 있도록 조치함</t>
  </si>
  <si>
    <t>현장 장비투입시 적용하도록 안전보건 전달 예정</t>
  </si>
  <si>
    <t>CO/I-ID/H-CE-14</t>
  </si>
  <si>
    <t>안전용품 단가표 제품 변경 제안(안전비상라이트)</t>
  </si>
  <si>
    <t>안전용품 단가표상의 안전비상라이트 /Uled-100(120,000원)를 KFI 인증 된 화경산업 비상 조명등(20,000원)으로 변경하여 안전용품 구매 비용 절감</t>
  </si>
  <si>
    <t>안전환경실 건의, 과제화 불필요</t>
  </si>
  <si>
    <t>CO/I-ID/H-CE-15</t>
  </si>
  <si>
    <t>수입산 PF보드(심재준불연단열재) 적용</t>
  </si>
  <si>
    <t xml:space="preserve">수입산 심재 준불연 단열재 적용으로 자재비 절감
- 개선 전(당초) : 국산 PF보드(LX,금호석유화학,명일폼 등)
- 개선 후(변경) : 동일 성능의 수입산 PF보드 (KS인증)
</t>
  </si>
  <si>
    <t>210번과 유사, 검토 하였으나 KS인증 쉽지 않음. 타사 적용 상황 봐가며 검토</t>
  </si>
  <si>
    <t>CO/I-YY-CE-8</t>
  </si>
  <si>
    <t>복합기 흑백 기본설정</t>
  </si>
  <si>
    <t>*본사 및 전 현장 복합기 기본설정을 컬러가 아닌, 흑백으로 설정
*컬러 출력 필요시 본인이 컬러로 변경 출력하도록 설정 변경</t>
  </si>
  <si>
    <t>하면 됨</t>
  </si>
  <si>
    <t>CO/I-YY-CE-9</t>
  </si>
  <si>
    <t>현장 사무실구성시 연간단가 업체 활용</t>
  </si>
  <si>
    <t>-현장 사무실 출입보안, cctv 설치 등 해당 지역 업체 견적의뢰 등 판단 시간 소요
- 타현장 이관 물품 확인, 사무가구, 냉난방기 종류 선택부터, 예산 고민 등 불필요한 업무 발생
-현장 종료후 잉여 물품 처리에 대한 고민 해결
* 개선후 : 업무 간소화, 현장 구성 용이, 현장 종료후 폐기물 등 발생 최소화</t>
  </si>
  <si>
    <t>비품의 경우 소액자산관리 활용
사무실보안&amp;cctv 연간단가 검토 필요
 - 이전 및 해체 비용에 대해 과다 요구</t>
  </si>
  <si>
    <t>CO/I-E-CE-2</t>
  </si>
  <si>
    <t xml:space="preserve">박재보, 오정화, </t>
  </si>
  <si>
    <t>공용조명 연단가 제품 적용 건</t>
  </si>
  <si>
    <t>B.O.H 조명기구 中 유사품목 일부를 공동주택 연단가 제품을 적용.</t>
  </si>
  <si>
    <t>4분기 포상 730번까지 시행함</t>
  </si>
  <si>
    <t>EN/S-C-CE-10</t>
  </si>
  <si>
    <t xml:space="preserve">박준용, 박준용, </t>
  </si>
  <si>
    <t>흙막이 띠장 자재 변경 검토에 의한 절감안</t>
  </si>
  <si>
    <t xml:space="preserve">개선 전: H-beam 띠장 자재 구매 및 시공 
개선 후: RW띠장으로 자재 변경(자재비 절감)
</t>
  </si>
  <si>
    <t>아이디어 인정, 과제 미채택
(사유 : 과제는 채택되었으나, 현업적용성을 고려하여 기술혁신팀 박규선 차장이  과제리더(발표예정))</t>
  </si>
  <si>
    <t>리더 교체(박규선 차장)로 채택포상 해당사항 없음</t>
  </si>
  <si>
    <t>EN/S-A/S-CE-46</t>
  </si>
  <si>
    <t>박준용, 고한울, 박준용</t>
  </si>
  <si>
    <t>기초철근 과설계 검토를 통한 주근간격 조정으로 철근 절감</t>
  </si>
  <si>
    <t xml:space="preserve">[변경] D19@300(T/B),(E/W) + D16@300 보강근 활용으로 조정.
=&gt; 전체적인 간격은 @300으로 넓히고, 주요 힘받는 구간(기초 단부, 기둥주변 등)에 D16@300 보강근을 추가하여, 보완. (첨부도면 참조)
</t>
  </si>
  <si>
    <t>아이디어 인정, 과제 미채택
과설계에 대한 VE사항으로 현장특수성(현장 TOP 실적)</t>
  </si>
  <si>
    <t>CO/I-PI-CE-23</t>
  </si>
  <si>
    <t xml:space="preserve">박재보, 박재보, </t>
  </si>
  <si>
    <t>현장전문직 채용 위임전결 간소화(현재 모두 사업본부장)
- 실행 이내: 사업본부 지원팀장
- 실행 초과: 사업본부장</t>
  </si>
  <si>
    <t xml:space="preserve">1.현장 실행이내 채용시 : 사업부 지원팀장 최종승인
2.현장 실행 초과 채용시 : 사업부 본부장 최종승인
* 개선후 : 업무 간소화
</t>
  </si>
  <si>
    <t>제안은 인정, 채택 X, 현장 인력 채용에 대한 전문성 낮음. 본부내 유사직무, 경력 인력의 처우 수준이 더욱 상이해질 가능성 높음. 비위 문제도 우려됨.</t>
  </si>
  <si>
    <t>CO/D-A/S-CE-74</t>
  </si>
  <si>
    <t>2201231</t>
  </si>
  <si>
    <t>김용운</t>
  </si>
  <si>
    <t>고한울, 고한울, 박준용</t>
  </si>
  <si>
    <t>구조체 기초공사 시 사용가능한 가설슈트제작(특허)</t>
  </si>
  <si>
    <t>가설슈트 제품을 제작(첨부사진 참조)하여 구조체 기초공사 시 추가타설 설비배치로 장비결함, 레미콘 공급지연등을 최소화하여 연속적인 타설작업을 통한 타설목표량 달성 및 작업여유시간 확보 가능</t>
  </si>
  <si>
    <t>아이디어 좋음.
재무성과 판단 어려우나, 현장에 유용한 아이디어</t>
  </si>
  <si>
    <t>CO/D-C-CE-12</t>
  </si>
  <si>
    <t xml:space="preserve">고한울, 박준용, </t>
  </si>
  <si>
    <t>토목공사 가설내역변경 (복공구조물 삭제)</t>
  </si>
  <si>
    <t>복공구조물 삭제 ☞ 가설토공램프로 변경
1) 투입비 절감가능/안정성 향상
2) 토사상차/반출작업 생산성 증가(공기단축가능)
3) 현장 내 공간이용으로 외부민원발생 최소화</t>
  </si>
  <si>
    <t>기술팀, 현장에서 복공구조물 및 가설토공램프 검토 여부 확인 필요 
현장 TOP_day 반영이 맞음</t>
  </si>
  <si>
    <t>EN/S-C-CE-11</t>
  </si>
  <si>
    <t>흙막이 띠장 비용접 스티프너 적용</t>
  </si>
  <si>
    <t>-조건 : 흙막이 공법 어스앙카 + 코너스트러트 + 복공
      자재비(판매단가)+노무비(설치단가)+경비(외주재+외주노10%)=합계금액
-당초 : 강판 14T 스티프터 (용접) 300X300 Beam
자재비 6,300원/EA+노무비 8,600원/EA+경비 1,490원/EA=16,390원
-변경 : 재활용 가능한 전용철물 지급 후 설치 후 반납
(1회차)자재비 30,000원/EA+노무비 1,500원/EA+경비 150원/EA=31,550원
(2회차)                     노무비 1,500원/EA+경비 150원/EA= 1,650원
 ※ 2회 이상 전용시 절감 가능, 자재임대 여부에따라 점감금액상</t>
  </si>
  <si>
    <t>아이디어 인정, 과제 미채택
(사유 : 인프라 사업본부와 연계하여 소액자산 관리시스템 활용예정)
'스마트 스티프너(기성품) : 외주현설 조건 반영시 내역화(용접 스티프너, 조립식 스티프너 택1)</t>
  </si>
  <si>
    <t>CO/D-A/F-CE-58</t>
  </si>
  <si>
    <t>고한울, 고한울, 김태용</t>
  </si>
  <si>
    <t>지하주차장 지붕층 무근콘크리트 단부 공법 개선</t>
  </si>
  <si>
    <t>(개선전)
①지붕층 무근콘크리트 타설전 외벽 되메우기 후 외벽에
  보호콘크리트 타설용 거푸집 설치
②1차 되메우기-&gt;거푸집 설치-&gt; 무근 타설 후 제거
(개선후)
①지붕층 무근콘크리트 타설전 외벽에 외벽방수보호판(기성품)
설치
②외벽방수보호판 설치 -&gt; 무근타설</t>
  </si>
  <si>
    <t>중복아이디어(지하주차장 지붕층 단부 방수 보호콘크리트)</t>
  </si>
  <si>
    <t>CO/D-M-CE-9</t>
  </si>
  <si>
    <t>저수조 건식패드 변경</t>
  </si>
  <si>
    <t xml:space="preserve">1.	조립식기초로 중량 경량화 가능
2.	운반외에 별도 장비가 필요 없고, 설치시 단순 조립 시공
3.	규격화되 제품으로 건축, 설비간 공정간섭 최소화
</t>
  </si>
  <si>
    <t>중복 아이디어</t>
  </si>
  <si>
    <t>CO/D-A/F-CE-59</t>
  </si>
  <si>
    <t>공동주택 PVC 커튼박스 적용 안</t>
  </si>
  <si>
    <t xml:space="preserve">개선전 : 합판 커튼박스
▪개선후 : PVC(UV, 무광) 커튼박스
- 공장 선 제작, 현장 조립만 실시로 시공성 향상
- 도배마감 생략에 따른 원가 절감 및 공정단축
- 기존 합판 커튼박스 발생 하자 방지  
</t>
  </si>
  <si>
    <t>커텐박스 별도 공종으로 시공성, 품질 향상 가능(단가 15% 다운)
GS, 현산 등 현장 적용 피드백 결과 생각보다 처짐 하자 다수 발생하였고
벽지 미 시공에 대한 입주자 거부감 높아 최종적으로 미적용</t>
  </si>
  <si>
    <t>EN/EX-A/F-CE-19</t>
  </si>
  <si>
    <t>사업소(도시정비)</t>
  </si>
  <si>
    <t>1400234</t>
  </si>
  <si>
    <t>정비사업관리팀(사업소)</t>
  </si>
  <si>
    <t>최창연</t>
  </si>
  <si>
    <t>김태용, 고한울, 김태용</t>
  </si>
  <si>
    <t>시스템(클린)매트 적용기준 개선(안)</t>
  </si>
  <si>
    <t>제안설명
지하층 : 외부지하주차장 차량출입 후 동출입구까지 보행이동하는 지하층 특성 감안 물기가 적은 지하층 매트 삭제
지상층 : 자동문 외부에서 물기제거를 하기에 자동문 내부 매트 필요성 低
하자보수 및 유지관리에 어려운 지하층, 지상층 내부 삭제
클린매트 공통가설 or 골조공사 내역 추가로 내역 인지 必
개선 전 : 지하층 외부 + 지상층 내/외부 적용
개선 후 : 지하층 삭제 및 지상층 자동문 외부 적용</t>
  </si>
  <si>
    <t>적용범위 축소에 따른 그린TFT 협의 후 과제화 예정
(분양 시 홍보 현황 및 발주처 인지여부 확인 필요)</t>
  </si>
  <si>
    <t>과제 추진 - 유재언 대리</t>
  </si>
  <si>
    <t>CO/D-A/S-CE-75</t>
  </si>
  <si>
    <t>1907090</t>
  </si>
  <si>
    <t>전대경</t>
  </si>
  <si>
    <t>시스템동바리 비계 겸용사용</t>
  </si>
  <si>
    <t xml:space="preserve">전) 비계공사 &gt;비계해체공사&gt; 동바리설치공사 &gt;동바리 해체공사 
후) 동바리설치공사 &gt;난간대 및 발판설치공사 &gt;동바리해체공사
비계공사 삭제, 발판 및 난간대 설치공사 추가
</t>
  </si>
  <si>
    <t>아이디어 인정 과제 검토중
시스템서포트를 시스템비계로 전환활용의 적법성 확인필요!
층고가 높은구간에 경우 시스템서포트를 설치하여 발판을 추가하여 시스템 비계를 대신하는 경우가 있음(내역에는 시스템 서포트, 시스템 비계 2가지가 별도로 잡혀있음) 온전한 비계로 활용하기 위해서는 난간대 2단설치가 필요하나 해당행위에 대한 정산이슈가 있으므로. 최초 내역편성시 해당행위에 대한 항목을 추가</t>
  </si>
  <si>
    <t>CO/Z-ID/H-CE-2</t>
  </si>
  <si>
    <t>2403413</t>
  </si>
  <si>
    <t>정상혁</t>
  </si>
  <si>
    <t>복합가스측정기 불출 및 회수 제안, 검교정 업체 선정</t>
  </si>
  <si>
    <t>복합가스측정기를 현장에 불출 및 준공 시 회수 하는 방법으로 바꾸고, 불출 시 검교정만 진행하여 원가 절감.(최소 구매비용의 절반 원가절감 예상)</t>
  </si>
  <si>
    <t>소액자산관리에 아이템 추가 필요. + 구매/검교정/센서교체 포함하여 과제화 예정</t>
  </si>
  <si>
    <t>CO/Z-ID/Z-CE-2</t>
  </si>
  <si>
    <t>개인컵(텀블러) 지급 및 활용하기 제안</t>
  </si>
  <si>
    <t>현장 투입 시 보호구 지급하듯이 개인컵도 지급하여 개인컵 사용을 권장한다. 개인컵 사용으로 일회용 컵 사용을 줄여 쓰레기도 줄이고, 구입비도 절약한다.</t>
  </si>
  <si>
    <t>텀블러 사용은 적극 권장되나 강제화 하기에는 무리이며. 텀블러를 지급하여도 종이컵을 쓸사람은 계속 쓰고 손님 등 종이컵을 일체 안 쓸수는 없음. 과제 제안서에 텀블러와 종이컵 손익 분석이 없어 제안 미인정함</t>
  </si>
  <si>
    <t>CO/D-ID/H-CE-15</t>
  </si>
  <si>
    <t xml:space="preserve">고한울, 박재보, </t>
  </si>
  <si>
    <t>스마트 안전장비 추가 옵션 제안</t>
  </si>
  <si>
    <t>전 현장에서 사용하고 있는 이동형 CCTV에 가스측정기 기능을 추가하여 밀폐공간, 양생구간 배치하여 모니터링 및 작업자 투입 가능여부를 확인하고자 함. 이미 플랫폼, 이동형 CCTV 시스템이 구축되어 있어 시스템 구축비용이 타 회사 시스템구축비용보다 훨씬 감소할 것으로 예상됨.</t>
  </si>
  <si>
    <t>안전환경실 확인결과, 기 계약에 옵션 계약으로 CCTV에 악세사리로  장착 가능함</t>
  </si>
  <si>
    <t>CO/I-ID/P-CE-1</t>
  </si>
  <si>
    <t xml:space="preserve">박재보, 최재형, </t>
  </si>
  <si>
    <t>폐자재 활용 예술품 만들기 제안</t>
  </si>
  <si>
    <t>현장에서 사용하고 남은 폐자재를 이용하여, 현장 자체에서 예술경연대회를 실시하여 폐자재 처리비용을 아끼고, 현장 내 배치하여 건설현장 이미지를 개선한다. 또한, 작품 중 투표를 통하여 최우수 작품 선정하여 대상자에게 상품을 지급하게끔 하여 적극적인 참여를 유도한다.</t>
  </si>
  <si>
    <t>원가절감 및 프로세스 개선 내용이 아님. TOP에 부합하지 않음.</t>
  </si>
  <si>
    <t>CO/Z-ID/H-CE-3</t>
  </si>
  <si>
    <t>근로자 공종별 안전모, 조끼 색상 통일 건</t>
  </si>
  <si>
    <t xml:space="preserve">개선 前
근로자 공종별 구분없이 안전모/조끼를 착용하여 시인성이 좋지 않음.
개선 後
형틀공(하늘색), 철근공(녹색), 콘크리트공(노랑색), 습식공(주황색), 전기(파란색), 기계(회색) 등 위험공종업체를 위주로 색상 구분하고, 수시 투입 공종은 공통  색상을 지정하여 시인성을 높여 근로자가 어떤 위험작업을 하는지 관리가 용이
</t>
  </si>
  <si>
    <t>[안환실 의견]기대효과 미비. 관리 어려움
안하는 이유가 있을 것 같아 현황 파악 필요. 안전팀(변관영 과장) 검토 요청 함 / 중복여부 확인 필요</t>
  </si>
  <si>
    <t>CO/Z-ID/H-CE-4</t>
  </si>
  <si>
    <t>2403664</t>
  </si>
  <si>
    <t>김준</t>
  </si>
  <si>
    <t>안전의식 강화 및 집중력케어 프로그램</t>
  </si>
  <si>
    <t>작업 전 안전의식 강화 및 집중력 향상을 위해 VR교육 안전사고 사례를 게임처럼 시뮬레이션하여 작업자가 몰입하도록 학습, 위험상황대응을 가상 환경에서 체험(예: 낙하물 방지, 화재 대피 등)</t>
  </si>
  <si>
    <t>대전하수처리장 파일럿 운영 중. TOP과제화로는 부적합해 보임</t>
  </si>
  <si>
    <t>EN/E-E-CE-47</t>
  </si>
  <si>
    <t>피뢰탄기반 축소</t>
  </si>
  <si>
    <t>- 국선 인입이 광케이블로 사용됨에 따라 동선 인입에 필요한
   피뢰탄기반 축소</t>
  </si>
  <si>
    <t>추후 공용부 설계기준 개정때 설계기준 수립 예정(w/건축전기팀)</t>
  </si>
  <si>
    <t>CO/Z-PI-CE-32</t>
  </si>
  <si>
    <t>1403119</t>
  </si>
  <si>
    <t>김기성</t>
  </si>
  <si>
    <t>현장비품 재활용, 보관 업체 선정</t>
  </si>
  <si>
    <t>개선 전 : 준공 후 현장, 숙소 비품 필요 현장 수배 한계 -&gt; 폐기
개선 후 : 재활용 가능한 물품 수리 보관 -&gt; 타현장 이관
          또는 렌탈로 전환</t>
  </si>
  <si>
    <t>소액자산 관리방안과 내용이 다소 중복. 보관업체 활용 방법은 검토 필요하나 구체적인 내용 없음</t>
  </si>
  <si>
    <t>CO/I-TF-CE-17</t>
  </si>
  <si>
    <t xml:space="preserve">박재보, 박준용, </t>
  </si>
  <si>
    <t>가설 스피커 설치</t>
  </si>
  <si>
    <t xml:space="preserve"> 가설전등 입선할 때 가설스피커 입선도 같이 하여 부분적으로 스피커를 설치.
1.	가설스피커 케이블 1.5sq로 계획하여 설치
2.	가설스피커를 이용한 안전조회 및 화재전파 이용
3.	그 외 음악 등을 틀어 환경개선 및 능률상승
※가설전기납품 연단가 협력업체 ㈜태건비에프 와 협력하여 가설전등+스피커 제품 개발하여 설치하면 좋겠습니다.
</t>
  </si>
  <si>
    <t>실질적으로 효용성이 없을것이라 판단됨</t>
  </si>
  <si>
    <t>CO/D-A/F-CE-60</t>
  </si>
  <si>
    <t>2201239</t>
  </si>
  <si>
    <t>나현욱</t>
  </si>
  <si>
    <t>세대 정벌미장 부위 개선안</t>
  </si>
  <si>
    <t xml:space="preserve">[ 아트월 부위 ]                    정벌 18T  → 초벌 9T
[ 슬라이딩도어 내부 ]              정벌 18T  → 초벌 9T
[ 가구 후면 ]                      정벌 18T  → 초벌 9T
[ 욕실 상부 초벌-뒷벽 골조부위 ]    초벌 9T  → 삭제
</t>
  </si>
  <si>
    <t>유형효과는 현장 TOP로 
1. 당사 기준 확인 필요
2. 해당 현장만의 특성 확인 필요
3. 리스크 사항 검토(향후 입주자 인테리어 공사시)
4. 국소부위만 정벌/초벌 나누는 것이 업무 효율 저하 가능성 확인</t>
  </si>
  <si>
    <t>CO/D-A/F-CE-61</t>
  </si>
  <si>
    <t>피난층 천정 마감 개선안</t>
  </si>
  <si>
    <t xml:space="preserve">  [ 마감 개선 방법 ]
  * 관리자 관리동선 : 단열/흡음 중복 기능 통합
(당초) T110 G/W 48K + T50 G/C 48K → (변경) T110 G/C 48K
(당초) T30 G/W 48K + T50 G/C 48K → (변경) T50 G/C 48K
* 입주자 이동동선 : G/C로도 충분한 마감 성능 발현 가능(텍스천장 삭제)
(당초) T110 G/W 48K + 텍스마감 → (변경) T110 G/C 48K
(당초) T30 G/W 48K + 텍스마감 → (변경) T50 G/C 48K 
</t>
  </si>
  <si>
    <t>현장 TOP_day로 반영
(당 현장 설계 특수성 : 초고층 피난층 계획에 따른 절감 아이디어)</t>
  </si>
  <si>
    <t>EN/M-M-CE-36</t>
  </si>
  <si>
    <t>옥상 에어컨 배관 도그하우스 변경 제안</t>
  </si>
  <si>
    <t xml:space="preserve">개선 전 – 에어컨 배관 관통 스리브 자리 도그하우스 설치
개선 후 – 옥상 통기배관 마감과 같이 강관 지수판 스리브에 용접 연결 시공 후 에어컨 배관 삽입
</t>
  </si>
  <si>
    <t>에어컨 배관 시공불가</t>
  </si>
  <si>
    <t>EN/M-M-CE-37</t>
  </si>
  <si>
    <t>2200406</t>
  </si>
  <si>
    <t>이근우</t>
  </si>
  <si>
    <t>램프구간 염수분사 장치 적용</t>
  </si>
  <si>
    <t xml:space="preserve">전 : 램프구간 스노우멜팅 설치
후 : 램프구간 염수분사장치 설치
</t>
  </si>
  <si>
    <t>해당현장 현장 VE적용(현장별 상황이 달라서 표준설계안으로 지정 어려움)</t>
  </si>
  <si>
    <t>EN/E-TF-CE-1</t>
  </si>
  <si>
    <t xml:space="preserve">오정화, 박준용, </t>
  </si>
  <si>
    <t>가설케이블 포설시 ELP배관 삭제</t>
  </si>
  <si>
    <t xml:space="preserve">전 : 가설 케이블 포설 시 케이블 행거 위에 ELP배관을 사용하여 케이블 설치
후 : 케이블 행거 위에 ELP배관을 설치하지 않고 케이블 포설
</t>
  </si>
  <si>
    <t>구내가설전기공사 설계 및 시공지침 수립시 추가 검토 후 반영여부 최종판단 예정(w/건축전기팀)</t>
  </si>
  <si>
    <t>EN/E-L-CE-2</t>
  </si>
  <si>
    <t xml:space="preserve">오정화, 김태용, </t>
  </si>
  <si>
    <t>공동주택 단위세대 동체감지기 설치조정(거실,주방)</t>
  </si>
  <si>
    <t xml:space="preserve">개선전 : 확장형 거실 홈네트워크용과 최저,최상층 침입방지용 감지기 중복 적용 및 주방측 침입감지기 반영 
개선후 : 해당세대 거실침입감지기 통합적용 및 주방측 침입감지기 삭제 (창호 사이즈 및 위치 감안 침입우려 없다고 판단되며,통상 침입감지기 감지거리 10~12m 감안 거실감지기로 주방층 감시가능)
</t>
  </si>
  <si>
    <t>추후 단위세대 설계기준 개정때 설계기준 수립 예정(w/건축전기팀)</t>
  </si>
  <si>
    <t>CO/D-ID/H-CE-16</t>
  </si>
  <si>
    <t>안전 표지판에 공사구간 좌표표시 병행 표기</t>
  </si>
  <si>
    <t xml:space="preserve">공사구간 좌표 표시를 방음벽 및 현장 휀스에 안전표지판을
설치시 병행 표기하여 공사구간 좌표 표시에 소요되는 별도
비용 절감.
</t>
  </si>
  <si>
    <t>1. 법적으로 가능여부 확인 필요
2. 안전관리비 집행 여부 확인 필요</t>
  </si>
  <si>
    <t>CO/D-TF-CE-11</t>
  </si>
  <si>
    <t>2403387</t>
  </si>
  <si>
    <t>안환영</t>
  </si>
  <si>
    <t>외부 가설 통행로 지붕 경사지붕으로 변경</t>
  </si>
  <si>
    <t>통행로 지붕의 일정 경사를 형성하거나, 지붕의 형태를 경사지붕 등으로 변경</t>
  </si>
  <si>
    <t>아이디어 인정, 과제 검토중
1. 폭설에 대한 대비 한정적 
2. 유형효과 다소 미흡하여 안전사고 예방측면에서 추가 투입비용 고려한 검토 예정</t>
  </si>
  <si>
    <t>CO/D-ID/H-CE-17</t>
  </si>
  <si>
    <t>현장 내부 안전표지판 &amp; 현장 방위(X,Y좌표) 통합 제작</t>
  </si>
  <si>
    <t xml:space="preserve">터파기 공사時 방위 또는 X,Y 좌표 표식을 포함하여 발주함으로
원가절감 
</t>
  </si>
  <si>
    <t>757번 아이디어 중복(동일현장)</t>
  </si>
  <si>
    <t>EN/M-TF-CE-1</t>
  </si>
  <si>
    <t xml:space="preserve">박병규, 박준용, </t>
  </si>
  <si>
    <t>본공사 가설용수공사 내역 표준화</t>
  </si>
  <si>
    <t xml:space="preserve">입상관 재질:  백강관 -- &gt; PB PIPE 
가설용수분기위치 : 2개층 기준
간이소화장치: 공동주택의 경우 층별설치 규정없음
유지관리 및 보수비용 기준(면적 or 세대)필요
</t>
  </si>
  <si>
    <t>가설용수공사 기준 기정립 완료(건축기계팀,견적팀)</t>
  </si>
  <si>
    <t>CO/I-YY-CE-10</t>
  </si>
  <si>
    <t>현장 가설사무실내 착용 슬리퍼 일괄구매 배포</t>
  </si>
  <si>
    <t xml:space="preserve">현장 가설사무실내 직원 및 방문객 착용용 슬리퍼를 본사차원
대량구매 및 CI표기로 현장별 지급하여 대량구매 단가하락과
소속감 상승효과..
</t>
  </si>
  <si>
    <t>근무복처럼 지급하자는 내용. 단가 구체성 低. 단가는 더 오를 가능성도 높음. 본사/현장 관리 인력도 고려 필요함</t>
  </si>
  <si>
    <t>EN/S-A/S-CE-47</t>
  </si>
  <si>
    <t>콘크리트용 부순굵은골재 크기 변경 검토의 건</t>
  </si>
  <si>
    <t xml:space="preserve">콘크리트용 부순굵은골재 변경 요청
 (현재 25mm골재 사용 ㅡ&gt; 변경 20mm 골재로 변경)
</t>
  </si>
  <si>
    <t>아이디어 인정 과제 불채택
해당내용은 개선되어야 될 부분이 맞지만, 현실적으로 레미콘사에서 작은골재 수급 문제가 있어서 현실화는 어렵다고 판단하였습니다.</t>
  </si>
  <si>
    <t>EN/E-E-CE-48</t>
  </si>
  <si>
    <t>컨테이너 사무실 전기타이머 설치</t>
  </si>
  <si>
    <t>협력사 컨테이너 사무실/창고에 퇴근 후 전원을 자동으로 차단할 수 있는 전기차단용 타이머를 설치하여 전기에 의한 화재발생을 근본적으로 차단</t>
  </si>
  <si>
    <t>CO/Z-PI-CE-33</t>
  </si>
  <si>
    <t>1900016</t>
  </si>
  <si>
    <t>조용범</t>
  </si>
  <si>
    <t>FS(사업성 분석) 기준 양식 및 관리 프로세스 수립</t>
  </si>
  <si>
    <t xml:space="preserve">1. FS를 고도화하고 기준 양식 배포(총괄 갑지, CF, 투자효율성 지표 등)
2. 현장과 사업팀이 함께 FS 관리할 수 있도록 프로세스 수립
3. 전사에서 의사결정한 FS를 유니파이어 해당 사업 Shell에 업로드하여 추적 관리
</t>
  </si>
  <si>
    <t>필요성 있음. 다만, 유관부서들과 의해관계가 다를 가능성이 있어 과제화 이전 공감대 형성 필요함</t>
  </si>
  <si>
    <t>EN/M-M-CE-38</t>
  </si>
  <si>
    <t>2202050</t>
  </si>
  <si>
    <t>허영환</t>
  </si>
  <si>
    <t>각 동 최하층 계단실 배수배관 매립</t>
  </si>
  <si>
    <t>골조공사 기초 타설 전 계단실내부 배수관을 주차장 집수정으로 연결해 공용홀 내부에 유입되는 우수가 배수될 수 있도록 설치</t>
  </si>
  <si>
    <t>EN/E-E-CE-49</t>
  </si>
  <si>
    <t>공동주택 계단실 등기구 삭제의 건</t>
  </si>
  <si>
    <t xml:space="preserve">(기존)창호가 있는 계단실 참의 등기구 
-&gt; (변경) 삭제
</t>
  </si>
  <si>
    <t>설계기준에 포함시킬예정</t>
  </si>
  <si>
    <t>CO/D-ID/H-CE-18</t>
  </si>
  <si>
    <t>0201227</t>
  </si>
  <si>
    <t>포항영덕고속도로</t>
  </si>
  <si>
    <t>김준일</t>
  </si>
  <si>
    <t>안전시설물 설치 및 해체비 현실화 방안</t>
  </si>
  <si>
    <t xml:space="preserve">실제 투입비를 검토하여 인건비, 직접경비, 이윤 등을 반영한 
단가표 조정이 필요함
</t>
  </si>
  <si>
    <t>기존 안전관리비 집행 기준 개선안 적용</t>
  </si>
  <si>
    <t>EN/I-A/F-CE-75</t>
  </si>
  <si>
    <t>1204783</t>
  </si>
  <si>
    <t>박상현</t>
  </si>
  <si>
    <t>아파트 출입구 바닥 변경(클린매트-&gt;석재)</t>
  </si>
  <si>
    <t xml:space="preserve">- 개선 전: 아파트 출입구 바닥 출입 부위 클린매트 설치
- 개선 후: 해당 클린매트 삭제후 석재 시공.
</t>
  </si>
  <si>
    <t>740번 중복
- 인접 안산8구역 기 설치 사항으로 민원 감안하여 삭제 불가</t>
  </si>
  <si>
    <t>CO/I-PI-CE-24</t>
  </si>
  <si>
    <t>건설현장 온실가스 배출량 산정 및 예측 플랫폼 활용</t>
  </si>
  <si>
    <t xml:space="preserve">개선 전: 탄소배출량을 계산하여 이에 상응하는 탄소배출권 구매 및 친환경 연료 전환, 저용량 조명 등에 의한 로드맵 설정
개선 후: 온실가스 배출량 산정 및 예측 플랫폼 개발사와 협업하여 개선점 도출 및 로드맵 다각화. 시공 중 발생하는 탄소배출량 외 LCA에서 발생하는 탄소배출량 산정(준공 후 콘크리트 중성화에 의한 탄소 감소량 등), 설계 시 자재 관련 내재탄소량 산정 비교하여 저탄소 자재로 탄소배출량 적용 등 / K-RE100 외 미국 RE100 탄소배출량 산정 인증된 플랫폼 활용
</t>
  </si>
  <si>
    <t xml:space="preserve">현재 당사 온실가스 배출량에 대한 대응 중(Scope1,2)
절감방안 도출 등 차별화 방안 없는 단순 플랫폼 도입은 실효성 부족 </t>
  </si>
  <si>
    <t>CO/D-TF-CE-12</t>
  </si>
  <si>
    <t>가설사무실 마감변경</t>
  </si>
  <si>
    <t>- 개선 전: 천정 텍스 +바닥 데코타일
'- 개선 후: 천정 텍스 삭제 +바닥 모노륨 or 에폭시 시공.</t>
  </si>
  <si>
    <t>가설사무실 마감 변경</t>
  </si>
  <si>
    <t>CO/Z-YY-CE-10</t>
  </si>
  <si>
    <t>복합기용지 절감</t>
  </si>
  <si>
    <t>• 재질 및 동일한 품질의 타 사 제품을 인터넷 주문 시 비용 절감이 예상 
(A4 80g기준 2,500매/box)
 [기준  현지 구매시]   더블에이 A4 : 34,000원     A3 : 66,000원
[변경 쇼핑물 구매시] 한솔카피 A4 : 22,200원     A3 : 48,600원
             절감효과(1 box)        A4 : 11,800원     A3 : 17,400원 
(연간 단가 계약 시 추가 절감 효과가 예상)</t>
  </si>
  <si>
    <t>현장지원팀 소모품 MRO의 일부분으로 통합</t>
  </si>
  <si>
    <t>CO/D-YY-CE-2</t>
  </si>
  <si>
    <t>살수차운영비 절감</t>
  </si>
  <si>
    <t xml:space="preserve">1. 개선방향
• 장비 운행 가설 도로 구간 및 램프 구간 스프링 쿨러 설치 및 운영(구간 130m)
 [설치 위치 : 입구-남측 야적장(80m), 램프구간(50m)]
[기존 살수차 운영] 
- 살수차 (월)임대 : 6,500,000원 +기타경비 900.000원 * 1개월 = 7,400,000원
[변경 스프링쿨러 운영] 스프링 쿨러 설치 및 운영 자재 및 설치비 609,000원 투입
 (살수차 임대 기간  단축으로 임대료 절감).
</t>
  </si>
  <si>
    <t>현장 TOP_day로 반영</t>
  </si>
  <si>
    <t>CO/I-YY-CE-11</t>
  </si>
  <si>
    <t>0200574</t>
  </si>
  <si>
    <t>현장사무실 자동문 적용</t>
  </si>
  <si>
    <t xml:space="preserve">1. 현장사무실 구축 시 중문등에 자동문 설치로 현장 출입 시 자동 폐문으로 냉난방 비용 절감 및 근로환경 개선 </t>
  </si>
  <si>
    <t>비용 - 효과 분석 미비. 경제성 없음
외주팀 담당자 의견: 4월 단가계약 갱신시 적용
780번과 유사. 과제화는 이걸로는 부족한데 775랑 합쳐서...과제화 검토. 외주팀에서 동일한 성능(문이 자동으로 닫히게 하는)을 내는 슬라이딩도어 댐퍼를 가설사무실 공사 내역에 옵션 사항으로 추가할 예정</t>
  </si>
  <si>
    <t>CO/I-YY-CE-12</t>
  </si>
  <si>
    <t>현장사무실 전원 타이머 설치</t>
  </si>
  <si>
    <t>1. 현장사무실 전등/전열라인에 타이머 설치로 전기요금 절약</t>
  </si>
  <si>
    <t>중복
(223번)</t>
  </si>
  <si>
    <t>중복아이디어
외주팀 담당자 의견: 4월 단가계약 갱신시 추가
스위치 타이머_ 아날로그
스위치 타이머_ 디지털(IoT)
콘센트 타이머_ 아날로그
콘센트 타이머_ 디지털(IoT)
4가지 내역 추가하겠으며, 기성제품 어떤 것을 사용할지, 플러그인 타이머를 쓸것인지, 전기선을 직접물리는 타이머를 쓸것인지.. 등
시중제품이 많아서 가이드가 있어야할듯합니다.</t>
  </si>
  <si>
    <t>CO/Z-PI-EXP-22</t>
  </si>
  <si>
    <t>문서보관 절감의 건</t>
  </si>
  <si>
    <t>보존문서 모두 전자화 시켜 USB/CD에 스캔보관하여 문서고 일부 임대운영
사본 보관이 불가한 서류의 경우, 본사 각 사업부 문서고 활용 or
송파동 상가 여러 호실을 합쳐 운영하는 것으로 알고있어,
일부 호실을 필수 보관서류함으로 만들면 가능할 것으로 보임
(ex. 계약서 등)</t>
  </si>
  <si>
    <t>중복
(681번)</t>
  </si>
  <si>
    <t>681번 정유진 차장 과제랑 중복</t>
  </si>
  <si>
    <t>CO/Z-PI-CE-34</t>
  </si>
  <si>
    <t>촉탁직(1을)</t>
  </si>
  <si>
    <t>이정현</t>
  </si>
  <si>
    <t>3정5S</t>
    <phoneticPr fontId="1" type="noConversion"/>
  </si>
  <si>
    <t>3정 (정해진 공정에 필요자원을 필요 수량만큼 필요한 위치에 배치)
정품 / 정량 / 정위치</t>
  </si>
  <si>
    <t>PPT30장 정성. 다소 원론, 이상적이나 있으면 좋은 것은 분명함.
기술혁신팀에서 검토 결과 투입대비 실효성이 낮으며, 현재 Hi-note에 많은 기능 실현 중</t>
  </si>
  <si>
    <t>포상X, 퇴직함</t>
  </si>
  <si>
    <t>CO/Z-PI-CE-35</t>
  </si>
  <si>
    <t>RISK Management</t>
    <phoneticPr fontId="1" type="noConversion"/>
  </si>
  <si>
    <t>건축현장에서 발생하는 위기/기회 인자를 사전에 도출하고 전사 역량을 활용하여 최적의 Solution을 제시하며 Solution 실행여부 추적관리를 통해 손실zero 및 원가절감 극대화를 달성하여 절대 적자가 나지 않는 건설회사를 만드는 역할임.</t>
  </si>
  <si>
    <t>PPT20장 정성. 
이 안건도 이상적이나 있으면 좋은 것은 분명하나 현실화가 쉽지 않고 TOP 체크리스트, day와 매우 유사함(RM팀 의견)</t>
  </si>
  <si>
    <t>PR/C-Z-CE-3</t>
  </si>
  <si>
    <t>2203414</t>
    <phoneticPr fontId="1" type="noConversion"/>
  </si>
  <si>
    <t>민광호</t>
  </si>
  <si>
    <t>건설기계대여대금 보증서 발급 개선의 건</t>
  </si>
  <si>
    <t>착공 前 도급계약 금액으로 본사에서 일괄보증서를 발급
 - 개선전 : 현장에서 별도로 보증서 발급행위 中
 - 개선후 : 착공 전 보증서 발급으로 착공초기 인수인계 과정에서 전달하여, 보증서류
 발급 안정성을 향상
※현재 하도급대금보증서는 외주팀에서 착공 前 도급금액기준으로 발급 후 현장 송부</t>
  </si>
  <si>
    <t>(25.06.02) TOP과제 보다는 건축지원팀 추진 사항</t>
  </si>
  <si>
    <t>CO/I-YY-CE-13</t>
  </si>
  <si>
    <t>0600052</t>
    <phoneticPr fontId="1" type="noConversion"/>
  </si>
  <si>
    <t>현장 가설사무실內 방풍실 창호 계폐 편의개선</t>
  </si>
  <si>
    <t>방풍실 슬라이딩 도어 도르레 설치를 통한 도어 닫힘 기능 개선
(fix도어 상하부 스토퍼 설치, 슬라이딩도어 도르레 설치) #별첨 1</t>
  </si>
  <si>
    <t>외주팀 담당자 의견: 4월 단가계약 갱신시 적용
774번 중복. 외주팀에서 동일한 성능(문이 자동으로 닫히게 하는)을 내는 슬라이딩도어 댐퍼를 가설사무실 공사 내역에 옵션 사항으로 추가할 예정</t>
  </si>
  <si>
    <t>CO/D-PI-CE-14</t>
  </si>
  <si>
    <t>2403387</t>
    <phoneticPr fontId="1" type="noConversion"/>
  </si>
  <si>
    <t>현장 드론 비행승인신청(기업) 일괄 신청</t>
  </si>
  <si>
    <t>현장마다 개인이 비행승인신청을 하는 것이 아닌 기관(단체)로  신청을 할 수 있도록 개선</t>
  </si>
  <si>
    <t>유관부서와 협의 필요</t>
  </si>
  <si>
    <t>EN/I-A/F-CE-76</t>
  </si>
  <si>
    <t>2101152</t>
    <phoneticPr fontId="1" type="noConversion"/>
  </si>
  <si>
    <t>휀룸, 제연휀룸 방화문 편개 적용</t>
  </si>
  <si>
    <t>편개도어로 변경
- 개선 전(당초) : 2.0*2.1 FSD 갑종방화문(양개)
- 개선 후(변경) : 1.1*2.1 FSD 갑종방화문(편개)</t>
  </si>
  <si>
    <t>중복사항
- 또한 제연휀룸은 양개도어 적용 필요</t>
  </si>
  <si>
    <t>CO/Z-YY-CE-11</t>
  </si>
  <si>
    <t>생활소모품비 개인경비로 지급</t>
  </si>
  <si>
    <t>1.개인경비로 영수증처리 건의 
2.1개월 개인 15,000원(1년 18만원) 한도내 개인이 물품 구매 식대 등과 같이 개인경비 처리
* 개선후 : 개인이 원하는 물품 구입 가능</t>
  </si>
  <si>
    <t>현장지원팀 김지성 차장 건에 포함
현장지원팀 검토 요청</t>
  </si>
  <si>
    <t>EN/M-M-CE-39</t>
  </si>
  <si>
    <t>배관류 발주방식 변경</t>
  </si>
  <si>
    <t>개선 전 : 강관, STS관류 각 규격별 수량으로 발주
개선 후 : 강관, STS관류 중량단위 단가 + 가공비로 계약하고 총 중량내에서 현장 필요규격 청구하여 시공하고 배관 할증률 통합관리로 원가절감</t>
  </si>
  <si>
    <t>CO/D-M-CE-10</t>
  </si>
  <si>
    <t>실외기실 방화구획 관통부 내화충진 일체형 슬리브 개선</t>
  </si>
  <si>
    <t>1.	생산 매뉴얼에 따른 공산품 제작으로 내화충진 일제형 슬리브 제품 규격화
일정한 품질 확보 가능</t>
  </si>
  <si>
    <t>EN/M-M-CE-40</t>
  </si>
  <si>
    <t>9711089</t>
  </si>
  <si>
    <t>김성일</t>
  </si>
  <si>
    <t>각종 장비 드레인배관 재질(백강관 &gt; PVC관) 변경</t>
  </si>
  <si>
    <t>장비(위생/공조용) 드레인배관 재질을 백강관에서 PVC(VG1)
재질로 변경</t>
  </si>
  <si>
    <t>EN/S-A/S-CE-48</t>
  </si>
  <si>
    <t>기온보정강도 적용에 따른 철근배근 재산정</t>
  </si>
  <si>
    <t>콘크리트 강도 상향적용 구간에 대하여 철근배근 재산정</t>
  </si>
  <si>
    <t>아이디어는 인정, 과제 미채택
공사기간, 동절기 기온편차 등을 고려한 설계는 현실적으로 불가하며, 구조안전에 민감한 사안으로 현장에 적용되기 어려울 것으로 판단됨(대관업무, 감리단 RISK)</t>
  </si>
  <si>
    <t>EN/S-A/S-CE-49</t>
  </si>
  <si>
    <t>2202069</t>
  </si>
  <si>
    <t>금기호</t>
  </si>
  <si>
    <t>승강기 PIT지붕층 마감 시공건</t>
  </si>
  <si>
    <t>SLAB하부에 있는 단열재 시공을 SLAB 상부에 시공
* 개선 전 
- 마감재(불연재료)+단열재+SLAB+방수+무근
* 개순 후 
- SLAB+방수+단열재+무근</t>
  </si>
  <si>
    <t>현장 TOP 추진
- MRL 적용에 따른 승강로 최상부 마감공사 불리 (외단열 검토 사항)</t>
  </si>
  <si>
    <t>CO/I-YY-CE-14</t>
  </si>
  <si>
    <t>출력 용지 변경 (A4용지 -&gt; 갱지)</t>
  </si>
  <si>
    <t xml:space="preserve">개선 전 : A4용지 (80g, milk제품, 더블에이 등)
개선 후 : A4 갱지 용지 </t>
  </si>
  <si>
    <t>관리 어려움. 업무효율성 하향 우려. 임직원 반발 가능성 高</t>
  </si>
  <si>
    <t>CO/D-A/S-CE-76</t>
  </si>
  <si>
    <t>단위세대 욕실선반 하부 구조체 공법변경</t>
  </si>
  <si>
    <t xml:space="preserve">(개선전)
① 단위세대 욕실내 세면대 및 선반 설치구간 구조체를 조적으로 시행
② 공종 단순화 필요  
(개선후)
① AL폼 계획시 선 반영하여 콘크리트 일체 타설
</t>
  </si>
  <si>
    <t>EN/E-E-CE-50</t>
  </si>
  <si>
    <t>2201266</t>
  </si>
  <si>
    <t>한광수</t>
  </si>
  <si>
    <t>라이팅 부스웨이 검토</t>
  </si>
  <si>
    <t xml:space="preserve">1. 라이팅 부스웨이 시스템 적용
(1) 시공성 개선
- 케이블 및 전선 포설 대신 케미컬덕트 내부에 내장되어 있는 알루미늄 부스바를 이용하여
   별도의 케이블 및 전선 포설이 필요 없음.
-	추가 증설 및 변경에 의한 가변성이 우수.
-	모듈 조립 결합방식으로 시공성 우수.
-	몸체 및 도체 소재가 경량으로 설치가 편리.
(2) 원가 절감
- 케이블 포설이 필요 없어 노무비 절감 예상
- 설치 편리로 인한 노무비 절감 예상
- 부스웨이 내부 격실을 통하여 방송,  CCTV, 주차유도 표시, 비상벨 등의 배선 수용 가능.
</t>
  </si>
  <si>
    <t>과제정의서 작성예정</t>
  </si>
  <si>
    <t>EN/E-E-CE-51</t>
  </si>
  <si>
    <t>건축물전기설비 내진설계기준 제정에 따른 자가발전설비 방진패드 삭제 제안</t>
  </si>
  <si>
    <t xml:space="preserve">KDS 37 17 10 건축물전기설비 내진설계기준 제정에 따른 
자가발전설비 패드 구조체 일체화 설치를 위한 방진고무 삭제
</t>
  </si>
  <si>
    <t>EN/I-A/F-CE-77</t>
  </si>
  <si>
    <t>CRS보드 삭제 제안</t>
  </si>
  <si>
    <t xml:space="preserve">CRC보드 삭제. (타사도 삭제 검토중)
개선 전: CRC보드 + 폼본드&amp;석고본드 +도장
        (CRC보드 시공시 들뜸시공으로 단열성 저하예상됨)
개선 후: Con’c 벽체 + 견출 + 도장
</t>
  </si>
  <si>
    <t>1. 시공관리 미흡에 따른 기능 저하
2. 유관부서 협의 필요(발코니 외벽 결로방지재 적용 필요) 
3. 장기적 관점에서 발코니 삭제 + 다용도실 난방구간 적용으로
   CRC보드 설치 구간 원천 삭제 추진중(TOP 평면)</t>
  </si>
  <si>
    <t>EN/I-A/F-CE-78</t>
  </si>
  <si>
    <t>실외기실 SD도어 주변마감 제안</t>
  </si>
  <si>
    <t xml:space="preserve">시트판 삭제.
개선 전: 석고보드 + 시트판 +코킹
개선 후: 석고보드 + 도배 + 코킹
</t>
  </si>
  <si>
    <t>해당 구간 결로하자 발생 많은 구간으로 벽지 시공 시 문제발생 높음
단, 유관부서(디자인팀) 협의 후 다른 개선방향 검토 예정</t>
  </si>
  <si>
    <t>CO/D-PI-EXP-1</t>
  </si>
  <si>
    <t>(안전사고) 저감 방안 (조직PROCESS 개선)</t>
  </si>
  <si>
    <t xml:space="preserve">(제안) 
-‘자회사’ 개념의 “패트롤 社” 설립 (단, 회계적으로 별도 ‘법인’)
결론) 추가비용 없이, “안전(인력) Buffer층 운영 / 우수인원 배양”
Ex)
: ‘현채직(40세 이하)’ 고용(연장)난해 時 → 타현장 패트롤(팀장) 배치
→추후 안전직 고용(수요)증가 時 → 당사 재취업(PJ or 현장채용직)
※ 상기 과정에서 검증된 (우수)인력 →  바인딩(촉탁/정직)
 (인터뷰 결과)  “상기 인력운용 &amp; 급여인상” 조건을 가정 時
 기존 안전(PJ/현채직) 인력’s  호응도 높음
</t>
  </si>
  <si>
    <t>현실적인 부분에서 유관부서 협의 필요</t>
  </si>
  <si>
    <t>EN/S-A/S-CE-50</t>
  </si>
  <si>
    <t>아파트 옥탑 슬래브 변경(합판 &gt; 데크)</t>
  </si>
  <si>
    <t>- 개선 전: EV통행로 옥탑 및 EV기계실 슬라브 시공시 “합판거푸집”적용
- 개선 후: 해당 부위를 “데크플레이트” 시공으로 EV설치 공기단축 및
                                                                                                                                                                                                                                                                “골조공사/철근” 원가절감 효과.</t>
  </si>
  <si>
    <t>아이디어 미인정
기접수 아이디어, 기술혁신팀 설계관리 기준 및 시공방법 공지완료</t>
  </si>
  <si>
    <t>EN/E-E-CE-52</t>
  </si>
  <si>
    <t>가설전등 직매방식 변경</t>
  </si>
  <si>
    <t>EN/I-A/S-EXP-1</t>
  </si>
  <si>
    <t>김태용, 고한울, 박준용</t>
  </si>
  <si>
    <t>아파트 단위세대 마감을 위한 골조설계 반영</t>
  </si>
  <si>
    <t>설계 단계에서 실질적인 마감을 위해서 시공오차를 감안하여 설계</t>
  </si>
  <si>
    <t>반영 시 건축물 높이 증가(30층 기준 600m)
재건축/재개발의 경우 100~200mm 단위에서 한 층 삭제 경우 많음</t>
  </si>
  <si>
    <t>EN/I-A/F-EXP-1</t>
  </si>
  <si>
    <t>지하주차장 방수턱 삭제</t>
  </si>
  <si>
    <t xml:space="preserve">지하주차장 벽체배수판 시공 시 경량 골조틀 하부에 설치하는 러너를 방수턱 역할로 대신해 방수턱 삭제 </t>
  </si>
  <si>
    <t>기 제출 아이디어(현재 진행중)</t>
  </si>
  <si>
    <t>EN/EX-PI-CE-2</t>
  </si>
  <si>
    <t>2301142</t>
  </si>
  <si>
    <t>안병율</t>
  </si>
  <si>
    <t xml:space="preserve">김태용, 박재보, </t>
  </si>
  <si>
    <t>실시설계도서 관리방안 제안</t>
  </si>
  <si>
    <t xml:space="preserve">실시설계도서 작성시 필수도면 외 상세도면은 별권으로 하여
참조도면으로 활용, 감리단 외 대관 미제출.
해당공종 착수 전 시공상세도 제출로 대체하여 불필요한
설계변경 이슈 차단.
</t>
  </si>
  <si>
    <t>일부 상세도면은 제출도서에서 제외하여 별도 관리
- 디자인팀 기 시행사항
- 해당 현장 문제는 설계관리 담당자 미흡사항 (설계사 : 해안)</t>
  </si>
  <si>
    <t>EN/I-A/F-CE-79</t>
  </si>
  <si>
    <t>자동문 스펙변경</t>
  </si>
  <si>
    <t xml:space="preserve">AL자동문 적용시 금액절감(컬러SUS 대비 약 15% 절감)
외부 ACW/AW 색상에 따른 자동문 다양한 색상 적용 가능 
</t>
  </si>
  <si>
    <t>8차 과제승인위원회 발표 완료</t>
  </si>
  <si>
    <t>리더 교체(허창익 대리)로 채택포상 해당사항 없음</t>
  </si>
  <si>
    <t>CO/I-PI-CE-25</t>
  </si>
  <si>
    <t>1000508</t>
  </si>
  <si>
    <t>원주 1군지사 이전사업</t>
  </si>
  <si>
    <t>박승산</t>
  </si>
  <si>
    <t>안면인식 출력관리 시스템 활용방안</t>
  </si>
  <si>
    <t xml:space="preserve">*각공종별 공종관리자 업로드 방식- 안면인식을 통한 객관적 자료로 생성,활용하여 공종별 정산시 활용
*현장 작업자 안전관리 및 긴급상황 발생시 활용
</t>
  </si>
  <si>
    <t>안전에서 추진하기러
많은 현장에서 사용하는 시스템으로 RM팀에서 전사 적용을 위해 추진하였으나 실패함. 외주 노무, 장비 실투입비 검토가 주목적. 부가적으로 안전 등 인력 관리 측면에서 효용이 있음. 다만, 실제 정산시 시스템 투입비 보다 외주비 정산시 이득이 되었다는 것을 증명하지 못함....비용문제로 전사 적용은 못함</t>
  </si>
  <si>
    <t>CO/D-PI-CE-15</t>
  </si>
  <si>
    <t>타일접착력시험 내역화</t>
  </si>
  <si>
    <t>타일 접착력시험 및 보수를 타일공사 계약내역에 반영하여 협력사 주도적으로 장비를 갖춰서 진행할 수 있게 한다.</t>
  </si>
  <si>
    <t>재하시험과 같이 시험 횟수를 내역화하여 관리 가능
견적지침 변경을 통해 개선</t>
  </si>
  <si>
    <t>EN/M-M-CE-41</t>
  </si>
  <si>
    <t>2203380</t>
  </si>
  <si>
    <t>객실 에어컨 무선 리모컨 개수 조정 건</t>
  </si>
  <si>
    <t xml:space="preserve">- 각 실에 대한 에어컨 등은 각각 무선 리모컨을 지급하여 
제어가 편리하도록 하는게 맞으나 
- 거실이나 공용부(복도, 주방 등)에는 개별 리모컨 지급이 아닌
무선 리모컨 1개로도 제어가 충분하기 때문에 공용부 등은 
무선 리모컨 개수를 감소 시켜 공사비 절감 가능.
- 또한 현재 Forena App 등을 통하여 무선 제어도 가능하고
각 제작사 어플로도 wi-fi 제어가 가능하기 때문에 추후 
무선리모컨을 더욱 더 감소 시킬 수 있을 것이라 판단 됨.
</t>
  </si>
  <si>
    <t>84TYPE이상만 거실에어컨 두개소로 리모컨 한개 삭제 가능하나 금엑 미비로 설계 및 실행작성시 반영으로 추진(과제화는 X)</t>
  </si>
  <si>
    <t>EN/M-M-CE-42</t>
  </si>
  <si>
    <t>부대시설 에어컨 무선 리모컨 삭제 건</t>
  </si>
  <si>
    <t xml:space="preserve">- 부대시설에는 개별 리모컨 지급이 아닌 유선 리모컨 1개로도
제어가 충분하기 때문에 부대시설 등은 
무선 리모컨을 삭제 시켜 공사비 절감 가능.
</t>
  </si>
  <si>
    <t>당사 설계기준 : 부대시설 및 상가는 무선 리모컨X
해당현장은 현장 VE로 추진</t>
  </si>
  <si>
    <t>EN/M-M-CE-43</t>
  </si>
  <si>
    <t>오배수 CCTV 촬영 횟수 추가 건</t>
  </si>
  <si>
    <t xml:space="preserve">- 차수 별로 CCTV 촬영을 진행하여 배관 막힘 등의 하자 예방
EX) 1차수 1~19F, 2차수 1~46F, 3차수 1~70F 등으로 진행
</t>
  </si>
  <si>
    <t>PR/P-ID/H-CE-3</t>
  </si>
  <si>
    <t>1203761</t>
  </si>
  <si>
    <t>광양항 율촌 물류단지 조성공사</t>
  </si>
  <si>
    <t>강달호</t>
  </si>
  <si>
    <t>안전 이동형 관제시스템 운영 방안</t>
  </si>
  <si>
    <t>1.	공사기간을 고려한 월이용료 재산정 및 체계정립필요
-	공사기간에 따른 월이용료 차등적용
-	5년이상 공사현장 구매 적용</t>
  </si>
  <si>
    <t>안환실에서 단가계약한 CCTV(제안자 금액은 중국산 저가 수준) 임대, 구매 선택 가능함</t>
  </si>
  <si>
    <t>CO/D-A/F-CE-62</t>
  </si>
  <si>
    <t>ELEV PIT 열선반영건</t>
  </si>
  <si>
    <t xml:space="preserve">변경전 : 액체방수 + 보호몰탈
변경후 : 액체방수 + 열선 + 보호몰탈
</t>
  </si>
  <si>
    <t>구체적인 실행 계획 없음</t>
  </si>
  <si>
    <t>CO/D-A/F-CE-63</t>
  </si>
  <si>
    <t>발전기실 ELEV 기계실 글라스크로스 삭제건</t>
  </si>
  <si>
    <t xml:space="preserve">변경전 : 글라스크로스
변경후 : 면처리 + 도장
</t>
  </si>
  <si>
    <t>중복 아이디어 확인</t>
  </si>
  <si>
    <t>CO/D-PI-CE-16</t>
  </si>
  <si>
    <t>준공 후 AS자재 보관방법 및 수량 조정건</t>
  </si>
  <si>
    <t xml:space="preserve">변경전 : 정확한 기준 없음(보수후 남는자재 이관)
변경후 : 현장별 필요 자재 목록 및 수량 기준 전파
         (습기에 취약한 자재 보관방법 강구 필요함 예: 마루)
</t>
  </si>
  <si>
    <t>소액 자산관리에 하자 자재 포함하여 관리 예정
잔여 자재 관리 프로세스 구축 필요(중요 과제)
(25.06.02) 소액 자산관리 연계해서 시행 중</t>
  </si>
  <si>
    <t>CO/D-A/F-CE-64</t>
  </si>
  <si>
    <t>타일몰탈 자재변경건</t>
  </si>
  <si>
    <t xml:space="preserve">변경전 : 레미콘 몰탈
변경후 : 사이로 보통 레미탈
         (습기에 취약한 자재 보관방법 강구 필요함 예: 마루)
</t>
  </si>
  <si>
    <t>논의 필요</t>
  </si>
  <si>
    <t>EN/S-A/S-CE-51</t>
  </si>
  <si>
    <t>주차장 독립기초 PC제작 설치 건</t>
  </si>
  <si>
    <t xml:space="preserve">개선 前
①독립기초 터파기(사면 과다터파기)→②버림con’c타설→ ③철근배근/형틀설치
→ ④독립기초 타설 → ⑤형틀해체 → ⑥되메우기 → ⑦매트기초 타설 
개선 後
①독립기초 터파기(직각) 및 다짐 → ②주차장 독립기초 PC제작/반입/설치
→ ③되메우기 → ④매트기초 타설
개선 前 되메우기 단계에서 생략하고 레미콘으로 타설하는 경우 다수 발생.
개선 後 되메우기 단계는 직각터파기(최대 1M) 후 인력으로도 되메우기 가능.
</t>
  </si>
  <si>
    <t>아이디어 인정, 과제 미채택
일반적인 독립기초 규격 (3.8m x 3.8m x 0.9m)의 자중은 약30톤으로 제작 및 운반이 현실적으로 어려우며, 내수압 슬래브와 연결등 추가적인 작업이 필요하여 현실적으로 어려움, 다만 실행편성시 기초주변 절토부 무근타설에 대한 논의가 필요할것으로 판단되어 아이디어 인정</t>
  </si>
  <si>
    <t>CO/D-C-CE-13</t>
  </si>
  <si>
    <t>가설통행로 바닥 콘크리트 타설 적용</t>
  </si>
  <si>
    <t>가설공사 시 차량 통행로를 포함한 가설 통행구간에 바닥 콘크리트를 타설하여 흙막이 배면 지표수 유입 방지, 지게차이동 동선 및 자재 야적공간을 확보</t>
  </si>
  <si>
    <t>현장별 자체 판단 후, 시행</t>
  </si>
  <si>
    <t>CO/D-ID/H-CE-19</t>
  </si>
  <si>
    <t>2303389</t>
  </si>
  <si>
    <t>채창기</t>
  </si>
  <si>
    <t>세대 수직망(띠망형)종류PET망 삭제 PVC망으로 변경 설치</t>
  </si>
  <si>
    <t xml:space="preserve">세대수직망을 PET망에서 PVC망으로 변경
(개선 전 PET망 / 개선 후 PVC망)
</t>
  </si>
  <si>
    <t>기술혁신팀 23년 품의내용과 상반되며, 관련내용 검토예정</t>
  </si>
  <si>
    <t>CO/D-PI-CE-17</t>
  </si>
  <si>
    <t>1205310</t>
  </si>
  <si>
    <t>김현주</t>
  </si>
  <si>
    <t>단열재 파지 수거활용방법</t>
  </si>
  <si>
    <t xml:space="preserve">1.	구매 입찰 시 단열재 업체 파지 수거 계약 조건 명시
2.	운암3단지현장 기준 주변 압출법 단열재 재활용 업체 활용
</t>
  </si>
  <si>
    <t>현장자체적으로 판단</t>
  </si>
  <si>
    <t>EN/EX-A/F-CE-20</t>
  </si>
  <si>
    <t>난간 설계(디자인) 기준 마련에 의한 절감안</t>
  </si>
  <si>
    <t xml:space="preserve">개선 전: 설계사 디자인에 따름
개선 후: 옥상난간 디자인에 대해 기준을 마련(재질 변경: SST → ST’L) 하여 소음 하자 예방 및 원가 절감을 도모할 수 있음
</t>
  </si>
  <si>
    <t>중복
조합에서 별도 요청한 사항 아님
감리와 협의하여 현장 TOP 시행으로 적극 권장하는 사항
(당사 기준 ST'L 이미 적용중)</t>
  </si>
  <si>
    <t>CO/Z-PI-EXP-23</t>
  </si>
  <si>
    <t>집행내역</t>
  </si>
  <si>
    <t>개선 전 : Unifier/EA/법인카드 간 계정, 집행내역 존재 상이
	입력 오류  부정확한 데이터 집계
개선 후 : Unifier/EA/법인카드 등 계정, 집행내역 동일하게 생성  
 정확한 계정 및 집행내역 입력 
 정확한 누계 데이터 확보 및 활용</t>
  </si>
  <si>
    <t>추정원가 시스템에 포함되어 현재 시스템 개선 중인 내용.</t>
  </si>
  <si>
    <t>CO/D-E-CE-12</t>
  </si>
  <si>
    <t>구내가설전기공사 호이스트 분전반 삭제</t>
  </si>
  <si>
    <t xml:space="preserve">개선전:동 MAIN 분전반-&gt;호이스트 분전반-&gt;호이스트 전원공급
개선후:동 MAIN 분전반-&gt;호이스트 전원공급
-&gt;호이스트 분전반 미설치로 인한 자재비 및 설치인건비 절감효과
</t>
  </si>
  <si>
    <t>구내가설전기공사 설계 및 시공지침 제정중(w/건축전기팀)</t>
  </si>
  <si>
    <t>EN/S-A/S-CE-52</t>
  </si>
  <si>
    <t>벽체 수직철근 찔림사고 원천차단 조치</t>
  </si>
  <si>
    <t xml:space="preserve">현장 반입 수직철근의 공장가공시 수직철근 단부를 구부려 가공
하여 반입, 철근단부 찔림사고 원천 차단 및 철근 찔림방지 캡
구매비용 및 설치 인건비 절감 효과.
(철근 찔림사고 감소롤 인한 산재보험 비용 절감)
</t>
  </si>
  <si>
    <t>아이디어 미인정
현실적으로 찔림이 발생하는 경우는 다웰바(1~2m 수준)이며, 해당철근을 전부 상부 밴딩처리시 배근간격 등 품질이슈 발생예상됨</t>
  </si>
  <si>
    <t>CO/I-ID/H-CE-16</t>
  </si>
  <si>
    <t>AED 배치 확대 제안(협력사 구매)</t>
  </si>
  <si>
    <t>협력사 계약 시 AED 구매 및 배치를 필수적으로 하고 협력사 휴게실 및 공용구간 분배하여 설치하여 골든타임을 지키고, 주인의식을 가지게 할 수 있으며, 협력사 AED 점검은 협력사 관리자가 하도록 하여 업무과중을 줄일 수 있음.
(AED 산업안전관리비 사용 가능)</t>
  </si>
  <si>
    <t>현실적으로 어려움. 협력사에서 AED 관리 안 할시, 법적으로도 원청인 당사의 책임이 될 가능성이 높음. 현장 소유 AED 접근성을 높이는 방법이 필요할 것으로 보임
해당 내용은 안전환경실에 전달 예정</t>
  </si>
  <si>
    <t>CO/I-PI-SA-1</t>
  </si>
  <si>
    <t>옵션 판매 구독서비스 변경</t>
  </si>
  <si>
    <t>삼성/LG 등과 협약하여, 가전제품 구독서비스 당사 옵션 판매</t>
  </si>
  <si>
    <t>당사 수익 창출 방법이 없음.</t>
  </si>
  <si>
    <t>EN/M-M-CE-44</t>
  </si>
  <si>
    <t>공사중 지하주차장 집수정 수위 관리 개선 방안</t>
  </si>
  <si>
    <t xml:space="preserve">영구배수 시스템이 적용된 현장의 경우 집수정과 인접한 각동의 
PIT내부 집수정을 고압호수로 일정 높이로 연결 수위 관리 
(영구배수 집수정 2개이상에서 집중 배수관리)
</t>
  </si>
  <si>
    <t>공사중 우천시 현장관리를 위한 방법으로 검토필요. 단, 집수정간 가설배관연결시 집수정 옆면으로 타공이 되어 준공후 하자민원 여부 검토 필요</t>
  </si>
  <si>
    <t>CO/I-YY-CE-15</t>
  </si>
  <si>
    <t>임직원 숙소 소모품 개별 구매 후 일정금액 內 실비 정산 처리</t>
  </si>
  <si>
    <t xml:space="preserve">현장 직원들의 개인 성향에 맞게 숙소소모품 지급 규정을 개선할
필요성이 있다고 판단됨.
기존 현장에서 일괄(침대 및 비품 등 일부 제품 제외) 구매 방식
에서 개인의 성향과 취향에 맞게 월 or 분기별 일정 기간과 일정
금액 內 또는 쇼핑몰(복지몰)등 이용 개인이 직접 구입 후 실비
정산 하는 방안 
Ex)개인경비 中 식대비/통신비 처럼 금액 內 실비 처리 중
   (최초 인사 발령 시 한도 지정 / 근무 중 한도 지정) </t>
  </si>
  <si>
    <t>현장지원팀 검토 후 불가
직원 선호도 반영에는 유리할 것으로 판단되나, 부적절한 소모품지원비 사용 및 숙소 미 사용자와의 형평성 문제, 직원불만(영수증 첨부 부담 가중)이 예상되어 도입불가</t>
  </si>
  <si>
    <t>EN/S-A/S-CE-53</t>
  </si>
  <si>
    <t>2101151</t>
  </si>
  <si>
    <t>문준호</t>
  </si>
  <si>
    <t>기초보강재 적용 제안안</t>
  </si>
  <si>
    <t xml:space="preserve">일반건축 및 공동주택 현장 기초 내부에 Strut-tie Action이 가능한
기초보강재를 설치하여 건물의 하중을 효율적으로 분산시킴으로써
기초 두께를 줄일 수 있는 공법으로 공기단축, 원가절감, 주변민원
관리 효과 기대
</t>
  </si>
  <si>
    <t xml:space="preserve">아이디어 인정, 과제 미채택
특수조건에 따라 반영가능한 공법이며, 과제화 불필요(현재 기술혁신팀 설계관리시 기성품 보강과 철근 보강 비교하여 반영중) </t>
  </si>
  <si>
    <t>CO/D-PI-CE-18</t>
  </si>
  <si>
    <t>주요자재품질시험지역별연간단가적용</t>
  </si>
  <si>
    <t xml:space="preserve">지역별로 주요자재의 연간단가를 공신력있는 시험기관과 책정하여 현장 품질업무에 도움을 줄 수 있다.
(주요자재 : 흙막이가시설, 콘크리트용골재류, 철근, 가설기자재, 단열재, 철골자재)
</t>
  </si>
  <si>
    <t>(통합)
품질 시험 연간단가 체결로서 업무 효율 개선 가능</t>
  </si>
  <si>
    <t>EN/I-Z-CE-3</t>
  </si>
  <si>
    <t>0500422</t>
  </si>
  <si>
    <t>최종환</t>
  </si>
  <si>
    <t xml:space="preserve">김태용, 박준용, </t>
  </si>
  <si>
    <t>기계식 로봇주차 도입을 통한 서비스 개선 및 원가절감 확보</t>
  </si>
  <si>
    <t>로봇주차 도입</t>
  </si>
  <si>
    <t>과제화 추진
- 장기 준비 과제로 적정 PJ 확보될 경우 설계 적용하면서 과제화 추진</t>
  </si>
  <si>
    <t>CO/D-A/F-CE-65</t>
  </si>
  <si>
    <t>2403711</t>
  </si>
  <si>
    <t>권오운</t>
  </si>
  <si>
    <t>타일 부착력 시험 관련 개선 사항</t>
  </si>
  <si>
    <t xml:space="preserve">타일 부착력 시험 시 감리단과 협의 후 진행.
개선 1. 현장개설 시 타일부착력 시험을 재료 시험비에 반영.
     2. 시험업체 본사 지정 (연간단가계약)
     3. 타일 부착력 시험기기 임대 
</t>
  </si>
  <si>
    <t>802번과 연계하여 시행 가능
동일 현장 직원이 제안한 과제임(품질)</t>
  </si>
  <si>
    <t>CO/I-PI-CE-26</t>
  </si>
  <si>
    <t>다국어 AED 사용법 포스터 및 소책자 제공 제안</t>
  </si>
  <si>
    <t>생명이 걸린 문제이기에 본사에서 각 나라 언어를 전문적으로 하는 전문가에게 자문을 구하여 정확한 사용법 포스터 및 상황발생 시 함께 들고나갈 수 있는 소책자(AED보관함 내)를 각 현장으로 불출하여 외국인근로자분들께 정확한 교육, 정확한 정보, 정확한 사용법을 제공하는 것이 옳다고 봄. 본사에서 외국인근로자 현황을 조사를 진행해왔기에 번역이 필요한 국가를 선정하는것에 있어 어려움이 없을것으로 생각됨. 특히, 상황 발생시 누구나 당황할 수 있기에 AED와 함께 보관함에 넣어둘 소책자로 만들 수 있는 양식이 꼭 필요하다고 생각함.</t>
  </si>
  <si>
    <t>안전환경실 자체 처리</t>
  </si>
  <si>
    <t>EN/E-E-CE-53</t>
  </si>
  <si>
    <t>세륜기 전기요금 환경관리비 집행을 통한 공사원가 절감</t>
  </si>
  <si>
    <t>1.	현장 세륜기 별도 계량기 설치
2.	세륜기전기요금 환경관리비 처리 가능
-	환경관리비 정산 반영으로 기성 청구가능
(첨부#1. 타사 국토부 질의응답회신 참조)</t>
  </si>
  <si>
    <t>환경관리비 정산이 가능한 관공사만 해당될 것으로 보임.
또한, 환경관리비 사용액이 경비를 초과해야되지 않아야....
대충 연간 0.3억정도 절감 가능할 것 으로 보임
(15만원/월*20개현장*12개월)</t>
  </si>
  <si>
    <t>CO/I-PI-EXP-2</t>
  </si>
  <si>
    <t>3대 사고 9대 기인물 관련 동영상 제작 배포</t>
  </si>
  <si>
    <t>3대 사고 9대 기인물 관련 다큐멘터리 동영상을 제작하여 교육 시 흥미를 이끌고 교육받는 사람은 더욱 집중하여 볼 수 있음</t>
  </si>
  <si>
    <t>CO/I-PI-CE-27</t>
  </si>
  <si>
    <t>폐기 안전용품의 재활용 및 업사이클링</t>
  </si>
  <si>
    <t>1.	폐기된 안전모(플라스틱), 안전화(고무,가죽), 방호복(섬유)의 소재로 분리 후 재활용 -&gt; 플라스틱은 건설 자재로 활용, 섬유는 흡음재 또는 단열재로 재가공하여 활용 가능
2.	폐기 안전용품을 새롭게 디자인하여 다른 제품으로 재활용
         안전모 -&gt; 플랜터(화분), 휴지통, 조명 커버
         안전화 -&gt; 작업용 장갑, 방수 매트
         방호복 -&gt; 가방, 방수포
3.	폐기 안전용품을 전문적으로 재활용하는 업체와 제휴하여 안정적인 공급망 구축</t>
  </si>
  <si>
    <t>해당 업체 無. 너무 이상적인 내용임</t>
  </si>
  <si>
    <t>EN/S-A/S-CE-54</t>
  </si>
  <si>
    <t>설계로 인한 이중슬라브 누수건</t>
  </si>
  <si>
    <t xml:space="preserve">&lt;개선 전&gt;
대부분의 주차장 지붕층 위에 형성되는 부속동의 경우 이중슬라브 구조로 토목 되메우기 높이까지 이중 슬라브가 형성됨.
실시도면으로 피트구간에 방수가 잡혀있지 않고, 부속동 최하층 바닥 단열재 시공으로 인해 추후 누수로 인해 방수근로자가 작업할 수 있는 공간도 매우 협소함(유효 높이 800~900mm)
&lt;개선 후&gt;
첫번째로, 도면작성하는 설계단계에서 주차장 지붕층 보춤이 당초 900이였다면, 되메우기 레벨까지 올린 900+1200 = 2100 보로 보춤을 키워서 이중슬라브를 삭제하는 방법을 제안합니다.
두번째로, 첫번째 개선안이 구조상, 기전팀 배관 간섭등이 있다면 주차장 지붕층 시트방수를 마무리하고 누름 타설까지 완료 후 누름 위에 줄기초로 부속동 기초를 바꿔서 결로수가 생기더라도 줄기초에 심어논 배관으로 물이 외부로 유출되도록 제안합니다.
세번째로, 주차장 지붕층에 형성되는 외부램프 피트구간은 토목되메우기 레벨 보다 높은 위치로 환기그릴을 설치해서 간단하게 환기로 결로수를 예방할 수 있습니다.
</t>
  </si>
  <si>
    <t>아이디어 인정, 과제 미채택
당사 설계기준은 제안 아이디어 1 or 2와 동일하나, 청주매봉 현장의 경우 특수하게 반영된 사례이므로 과제화 불필요</t>
  </si>
  <si>
    <t>CO/D-A/S-CE-77</t>
  </si>
  <si>
    <t>동절기 내한콘크리트 사용 제안 건</t>
  </si>
  <si>
    <t xml:space="preserve">개선 전: 동절기 콘크리트 공사 시 천막보양하여 급열양생
개선 후: 내한 콘크리트를 사용하여 일 최저기온 -15℃까지 별도 급열양생 없이 표면비닐 양생만으로 타설 가능, 48시간 내 압축강도 5Mpa 이상 확보
※첨부자료 참조
</t>
  </si>
  <si>
    <t>아이디어 미인정
중복(246번, 580번)</t>
  </si>
  <si>
    <t>CO/D-A/S-CE-78</t>
  </si>
  <si>
    <t>갱폼 단부 안전난간대 일체형 제작 제안</t>
  </si>
  <si>
    <t>현재의 경우 기성품으로 제작되어 나오는 안전난간대가 탈부착이 가능하여 설치가 되어있어도 작업자들이 임의해체하여 작업 중 추락사고의 위험성이 있어 갱폼 단부마다 일체형으로 제작되어진 단부 난간대를 설치하여 작업자로 하여금 단부 인지 및 추락재해 예방</t>
  </si>
  <si>
    <t>중복 아이디어 확인 / 담당자 통화 후 추가 검토</t>
  </si>
  <si>
    <t>CO/I-PI-EXP-3</t>
  </si>
  <si>
    <t>2403406</t>
  </si>
  <si>
    <t>이상열</t>
  </si>
  <si>
    <t>업무용핸드폰 지급</t>
  </si>
  <si>
    <t>통신비3만원/업무용 핸드폰 지급시 초기 비용 부담이 있을수 있으나 장기적으로는 절감효과를 볼수있을것으로 사료됨.</t>
  </si>
  <si>
    <t>관리포인트 급증. 사람마다 호불호가 매우 다를 것으로 판단됨</t>
  </si>
  <si>
    <t>CO/D-PI-CE-19</t>
  </si>
  <si>
    <t>가설사무실 재활용</t>
  </si>
  <si>
    <t>가설사무실 신축시 재활용 자재 활용 원가 절감.</t>
  </si>
  <si>
    <t>다소 애매한 부분이 있음</t>
  </si>
  <si>
    <t>CO/I-PI-CE-28</t>
  </si>
  <si>
    <t>2400742</t>
  </si>
  <si>
    <t>이예린</t>
  </si>
  <si>
    <t>현장 복사용지 원가절감의 건</t>
  </si>
  <si>
    <t>현재 이용 중인 복사용지 업체의 단가가 타 업체에 비해 높은 편으로, 업체를 변경하면 비용 절감의 효과를 기대할 수 있음.</t>
  </si>
  <si>
    <t>해당현장 TOP로 해결. 단가 구체적임. 전사는 소모품MRO 과제에서 해결하고자 함</t>
  </si>
  <si>
    <t>CO/D-PI-CE-20</t>
  </si>
  <si>
    <t>현장 내 자산 활용 다각화 도모</t>
  </si>
  <si>
    <t xml:space="preserve"> 1. 철거 단계
- 철거 폐기물 일괄 반출 → 적극적인 감정(필요 시, 전문 집단
  투입)을 통하여 활용 가능한 자산으로 변환 가능성 도출
①	조경
 : 상품 가능성 있는 식재 판별 시, 매각 추진
 : 그 외에도 임목 폐기물 처리보다는 식재 원형 형태로 반출
  추진 → ‘반출 업체 운송비 부담’ 등을 통해 폐기물 비용 절감
②	재생 골재
: 콘크리트 폐기물이 다량으로 배출될 경우, 재생 골재로서의
 활용 가능성에 따라 매각 또는 반출 비용 절감 추진
Ex. 잠실 PJ 경기장 철거 시 나오는 폐콘 양 감안 시, 자원으로
 활용 가능성 적극적으로 타진할 필요 多
③	 기타
 : 상기 사항 외에도 재개발/재건축 현장 등 철거 진행 경험 다수
직원 의견 취합하여 자산 활용할 수 있는 부분 추가 탐색 도모
2. 토공사 단계
 - 토사, 암 등 일괄 사토장으로 반출/입
  → 현장 간(인프라 등 포함) ‘반출/입 가능성 확인 프로세스’ 도입
 : 서울 인근 사토장은 거의 사라진 추세로 사토거리 늘어남
 : 현장 토사, 암 등 발생/반입 필요 시점/양/성상 등 정보를
본사 차원에서 확인(위치 기반) → 반출 및 반입 시점이 맞아
떨어지는 지점 확인되면 적극적으로 현장 간 반출/입 도모
 : 타사 네트워크 구축 가능 시, 건설 현장 전반으로 확대 가능
</t>
  </si>
  <si>
    <t>의미있는 과제이나 현장별 특성에 맞춰 진행될 수 있음.</t>
  </si>
  <si>
    <t>EN/S-A/F-CE-2</t>
  </si>
  <si>
    <t>박준용, 고한울, 김태용</t>
  </si>
  <si>
    <t>커튼월룩 유리 사양 변경에 의한 절감안</t>
  </si>
  <si>
    <t xml:space="preserve">개선 전: 반강화접합유리 11.52THK
개선 후: 반강화 유리(접합 미적용) 6THK or 8THK 로 변경(자재비 절감)
</t>
  </si>
  <si>
    <t>아이디어 인정, 과제 미채택
현장 특수성에 따른 원가절감 사례로 TOP Day 체크리스트로 대체</t>
  </si>
  <si>
    <t>EN/S-A/S-CE-55</t>
  </si>
  <si>
    <t>발열갱폼 사용을 통한 동절기 보양비 절감, 공기 단축안</t>
  </si>
  <si>
    <t xml:space="preserve">개선 전: 급열 및 보온 양생(48시간)
개선 후: 발열갱폼 사용하여 보양 시간 단축(18~24시간)
-	발열갱폼으로 표면온도 60도 이상으로 유지하여 조기강도 발현 가능함
-	5일공정 가능
</t>
  </si>
  <si>
    <t>아이디어 인정, 과제 미채택
KCS 개정에 따라 온도추종 양생방법 등 완화된 기준이 도입되었으며, 실제 발열갱폼 사용시 얻는 이익이 크지 않을 것으로 판단하였습니다. 타사의 경우에도 건축공사에서 발열갱폼을 사용하는 사례는 극히 적은것으로 판단되어 아이디어만 인정하였습니다.</t>
  </si>
  <si>
    <t>EN/E-E-CE-54</t>
  </si>
  <si>
    <t>단위세대 콘센트 FORENA 로고 삭제</t>
  </si>
  <si>
    <t xml:space="preserve">화장실 환풍기 표기 유지, FORENA 각인 삭제
*개선 전 : 도색, 문자 및 픽토그램 적용
*개선 후 : 도색, 문자 및 픽토그램 적용(FORENA 문자 삭제)
</t>
  </si>
  <si>
    <t>제안인정. 삭제는 불가</t>
  </si>
  <si>
    <t>CO/I-PI-CE-29</t>
  </si>
  <si>
    <t>1105687</t>
  </si>
  <si>
    <t>홍상협</t>
  </si>
  <si>
    <t>신규 대금지급시스템 클린페이 도입</t>
  </si>
  <si>
    <t>신규 대금지급시스템 “클린페이” (교보증권, 신한은행 공동 개발)를 통한 노무비닷컴 대체
(개선점)
- 사용료 및 VAN FEE 없음
- (가)압류에 따른 체불 및 이중지급 Risk 예방(신탁제도 활용)</t>
  </si>
  <si>
    <t>11차 과제승인위원회 발표 완료</t>
  </si>
  <si>
    <t>11차(250526)</t>
  </si>
  <si>
    <t>CO/Z-PI-CE-36</t>
  </si>
  <si>
    <t>유니파이어 작성 시 수정 기능 추가 제안의 건</t>
  </si>
  <si>
    <t>유니파이어 상신 후 오타 발견 시 결재 전까지 수정 가능하게 변경할 것을 제안.</t>
  </si>
  <si>
    <t xml:space="preserve">DT팀에서 유니파이어 기능상 안된다고 함 </t>
  </si>
  <si>
    <t>CO/D-PI-CE-21</t>
  </si>
  <si>
    <t>공장검수 내역화</t>
  </si>
  <si>
    <t>공장검수의 내역화
예시) 공장검수(1일, 부스터 펌프 1대 시운전)</t>
  </si>
  <si>
    <t>내역화하여 관리 가능 검토 필요
견적지침 변경을 통해 개선</t>
  </si>
  <si>
    <t>CO/D-PI-CE-22</t>
  </si>
  <si>
    <t>부대토목 설계기준 수립/적용을 통한 원가절감</t>
  </si>
  <si>
    <t xml:space="preserve">• 부대토목공사 설계기준 수립/적용으로 시공성 향상 및 원가절감 </t>
  </si>
  <si>
    <t>EN/S-C-CE-12</t>
  </si>
  <si>
    <t>방진매트 재용역을 통한 원가절감(스펙해제)</t>
  </si>
  <si>
    <t xml:space="preserve">재용역 기간 1.5개월을 고려하여 방진매트 시공시점 2~3개월전
타업체를 통해 스펙해제(특수물성삭제)하여 경쟁입찰 실시
(ex. 에이티에스 등)
</t>
  </si>
  <si>
    <t>아이디어 인정, 과제 미채택
10차 승인위 상정예정(발표자 김광민 차장으로 교체 협의)</t>
  </si>
  <si>
    <t>CO/D-PI-CE-23</t>
  </si>
  <si>
    <t>0300769</t>
  </si>
  <si>
    <t>김석원</t>
  </si>
  <si>
    <t>외국인 안전감시단 운영</t>
  </si>
  <si>
    <t>-	안전감시단 파견업체와의 협업을 통해 외국인 근로자 중 한국어 소통이 가능한 인력을 안전감시단으로 운영하여 안전관리자 지도하에 효율적인 안전교육 및 점검 실시</t>
  </si>
  <si>
    <t>다소 시기상조 일 수 있는 부분,
노무 리스크 등 고려 필요</t>
  </si>
  <si>
    <t>EN/EX-PI-CE-3</t>
  </si>
  <si>
    <t>기획설계 검토 요청 절차 수립</t>
  </si>
  <si>
    <t xml:space="preserve">컴플라이언스 이슈가 있는 그룹사 검토 요청 건은 논외로 하더라도 사업지원팀에 요청하는 대부분의 기획설계 검토건은 명확한 사업팀의 니즈(ex. 연면적 2만평 이상, 500세대 이상, 단위세대 조합 59/84 등)를 별도 체크리스트 양식에 기입하여 업무연락의 형태로 검토를 요청하는 업무 절차 수립 제안.
현재 기획설계 검토건에 대해 PJ 워크샵 추진 등 결과를 공유는 같이 진행하지만 초기 업무 추진 시 사업팀의 니즈가 명확하게 전달 및 기록되지 않아 업무가 지연되는 경우가 발생했지만,
별도 양식과 업무연락 활용으로 업무 추진을 공식화하고 정확한 사업팀의 니즈와 정보를 가지고 사업팀과 합의한 기간 내 기획설계 검토 건을 송부하여 업무의 속도와 품질을 향상시킴.
</t>
  </si>
  <si>
    <t>제안 인정, 과제화 미채택
- 사실상 기 시행 사항에 대한 일부 보완 의견</t>
  </si>
  <si>
    <t>EN/S-C-CE-13</t>
  </si>
  <si>
    <t>GR-S 공법(흙막이 가시설 공법)</t>
  </si>
  <si>
    <t xml:space="preserve">2. 주요 특징
• 50m 이상 현장 적용 가능 
- 압축 휨에 대한 저항이 강해 기존 H-Beam 공법에서는 불가능했던 50m 이상 현장에
적용 가능.
• 볼트 조립을 통한 버팀보 연결
  - 용접 작업 저감
• 현장 실측 → 공장 제작으로 품질에 대한 신뢰도 ↑
</t>
  </si>
  <si>
    <t>아이디어 인정, 과제 미채택
731번 아이디어로 대체하여 발표 예정
(우상탁 대리 &gt; 박규선 차장으로 리더 교체 합의함)</t>
  </si>
  <si>
    <t>731번 아이디어 
리더 교체하여 
9차 상정완료</t>
  </si>
  <si>
    <t>CO/D-PI-CE-24</t>
  </si>
  <si>
    <t>2302435</t>
  </si>
  <si>
    <t>이상민</t>
  </si>
  <si>
    <t>수도권 폐기물(폐보드) 현장 별 계약 시행 건</t>
  </si>
  <si>
    <t xml:space="preserve">전 : 대다수 건축 현장에서 폐보드→혼합건설폐기물 배출 중.
→ box 內 폐기물의 부피↑, 폐기물 처리비용 과다 발생 및 법적 기준 위반.
후 : 현장 별 폐보드 재활용 업체 별도 계약 후 Box 설치 or 현장 직상차 배출.
→ 혼합폐기물 대비 저 단가로 집행 시 폐기물 처리비용 절감 및 법적 기준 준수.
</t>
  </si>
  <si>
    <t>폐기물 관리 세분화 고려</t>
  </si>
  <si>
    <t>CO/D-ID/H-CE-20</t>
  </si>
  <si>
    <t>AI CCTV 도입</t>
  </si>
  <si>
    <t xml:space="preserve">기존 CCTV에 AI분석 기능을 추가하여 실시간 안전 모니터링 강화
보호구 미착용 감지,무단출입 감지 중장비 충돌 경고 화재 및 이상행동 감지 기능 도입
기존CCTV를 그대로 활용하여 AI 소프트웨어 연동방식 적용 비용절감
</t>
  </si>
  <si>
    <t>투자비 多, 채택은 후일로 미룸</t>
  </si>
  <si>
    <t>EN/E-E-CE-55</t>
  </si>
  <si>
    <t>발전기 방진설비 절감의 件(상세첨부 자료 있음)</t>
  </si>
  <si>
    <t>개선 전 : PAD 내부 방진매트 및 발전기 하부 방진스프링마운트 설치
개선 후 : 발전기 하부 방진 일체형설비 설치(스프링마운트+매트)
          -PAD 내부 방진매트 제거</t>
  </si>
  <si>
    <t>제안인정. 현장 VE로 진행예정</t>
  </si>
  <si>
    <t>IN/C-PI-CE-1</t>
  </si>
  <si>
    <t>1400379</t>
  </si>
  <si>
    <t>수주지원팀</t>
  </si>
  <si>
    <t>김성배</t>
  </si>
  <si>
    <t xml:space="preserve">김태영, 박재보, </t>
  </si>
  <si>
    <t>선급금정산 업무 프로세스 개선</t>
  </si>
  <si>
    <t>• 선급금 정산 완료 시 자동으로 담당자에게 알람(메일 등)이 가도록 설정하여, 보증수수료 환급 누락 방지 및 정산 완료 후 최대한 짧은 기간 내 환급.
(D사의 경우 선급금 정산이 완료될 경우 담당자에게 메일이 자동으로 발송되도록 시스템이 구축 되어있음.)</t>
  </si>
  <si>
    <t>아이디어 제안 인정, 과제 불채택
필요한 아이디어로 판단되나, 유형효과에 대한 증명이 힘든 상황입니다.
DT팀에서 준공 기한임박 시 메일송부되는 시스템 上 선급금 정산 완료 시 안내메일을 보내고 최종 태스크로 보증금 환급할 수 있는 태스크 생성해서 진행이 가능한지 별도 협의진행 예정</t>
  </si>
  <si>
    <t>IN/C-PI-CE-2</t>
  </si>
  <si>
    <t>1300189</t>
  </si>
  <si>
    <t>김학진</t>
  </si>
  <si>
    <t>본사 사무용품 회사차원 대량구매 제안</t>
  </si>
  <si>
    <t>• 사무용품을 회사 차원에서 저렴한 가격으로 대량구매 및 비치하여 사용하도록 함</t>
  </si>
  <si>
    <t>중복 아이디어(139번)
소모품MRO 추진(10차) 예정</t>
  </si>
  <si>
    <t>IN/C-PI-CE-3</t>
  </si>
  <si>
    <t>1205299</t>
  </si>
  <si>
    <t>서원영</t>
  </si>
  <si>
    <t>기술인협회 교육비 절감</t>
  </si>
  <si>
    <t xml:space="preserve">• 현장 전문직 채용 시 교육이수 여부 확인하여 교육비 절감을 통한 원가절감. </t>
  </si>
  <si>
    <t>아이디어 제안 인정, 과제 불채택
채용 재추진 비용대비 교육비가 더 경제적이며, 지방 현장의 경우 채용 인원 Pool도 상당히 소규모인 상황이라 적용 시 채용이 더 힘들어지는 부작용이 발생할 수도 있다고 판단됩니다.</t>
  </si>
  <si>
    <t>IN/C-PI-CE-4</t>
  </si>
  <si>
    <t>환경 캠페인을 통한 원가절감</t>
  </si>
  <si>
    <t>• 종이컵 및 일회용품 사용 지양 환경 캠페인을 함으로써 원가절감 및 브랜드 이미지 상승효과</t>
  </si>
  <si>
    <t>중복 아이디어(743번/ 개인컵(텀블러) 지급 및 활용하기 제안)</t>
  </si>
  <si>
    <t>IN/C-PI-CE-5</t>
  </si>
  <si>
    <t>0700451</t>
  </si>
  <si>
    <t>최중관</t>
  </si>
  <si>
    <t>소방공제조합 출자를 통한 보증수수료 절감</t>
  </si>
  <si>
    <t>• 소방공제조합에 10억원 출자(현금 지출, 자산으로 포함) 및 보증서발급
• 국토부 산하 기관에 보증서를 발급 받기 위해 건설공제조합에 지급하던 보증수수료를 매년
 약 2.5억원 절감 가능(매년 평균 약 10억원 이상 지출)
• 4년 후면 지출된 현금 10억원 이상 절감 가능. 지출된 현금은 비용이 아니라 자산 임.
• 또한 건설공제조합과 보증 관련 협상 시 유리한 위치에서 협상 가능.</t>
  </si>
  <si>
    <t>아이디어 제안 인정, 과제 불채택
우수한 아이디어 제안하여 주셨으나, 초기 투자비가 발생하여 현재 회사 경영여건 상 금차 TOP과제 선정은 힘든 상황입니다.
해당 아이디어는 '27년 이후 경영상태 개선 후 추진토록 하겠습니다</t>
  </si>
  <si>
    <t>IN/C-PI-CE-6</t>
  </si>
  <si>
    <t>1300188</t>
  </si>
  <si>
    <t>한혁열</t>
  </si>
  <si>
    <t>공사손해보험 절감</t>
  </si>
  <si>
    <t xml:space="preserve">• 건설 최대보증기관인 건설공제조합에서 이 상품을 판매하고 있고, 당사는 조합에 2000좌 이상을 출자하고 있는 대형조합원으로서 보다 낮은 수수료로 가입할 수 있음
• 또한 공제조합애서도 이 상품을 타사보다 저렴한 요율로 판매가 가능하다고 밝히고 있고,
공사손해보험 가입시 다른 보증(공사이행보증/하자보증/계약보증 등)에 대한 추가할인까지도
적극적으로 검토가 가능하다고 밝힘
• 민간/그룹 공사 적용이 어렵다면 일단 공공부문에서 bidding을 통해 보험료를 절감하고
이 결과를 토대로 민간/그룹 공사까지 확대 목표
</t>
  </si>
  <si>
    <t>아이디어 제안 인정, 과제채택 검토 중
현재 인프라VE팀에서 진행 중인 상황으로 통합(699번), 857번 포함하여 공사손해보험 개선 추진 예정이며, 과제채택 검토 중 입니다</t>
  </si>
  <si>
    <t>IN/C-PI-CE-7</t>
  </si>
  <si>
    <t>공사손해보험 가입기준 및 운영방안 수립</t>
  </si>
  <si>
    <t>• 공사손해보험 가입기준 수립
- 가입범위/자기부담금/특별약관 등 가입기준을 수립하여, 원가집행 효율성 도모
• 경쟁입찰 통한 협상력 확대
- 본부 內 담당부서 지정을 통해, 보험현황 D/B 관리 및 가입을 추진하여 3개상 이상 
  비교견적을 통해 對보험사 협상력 확대 추진
• 영업배상책임보험 의무가입
- 3천만원 이하 소액배상 다수 발생하므로, 자기부담금 낮은 보험 가입 통해 보장범위 확대</t>
  </si>
  <si>
    <t>중복 아이디어(699번)</t>
  </si>
  <si>
    <t>IN/C-PI-CE-8</t>
  </si>
  <si>
    <t>설계변경 사례 공유 통한 매출손익 개선 방안</t>
  </si>
  <si>
    <t>• 문서관리(ECDA) 內 설계변경 D/B 구축을 통한 사례 공유
- 공통사항 발굴 및 현장 전파, 현장별 설계변경 필요 공종에 대한 설계변경 사례 제안
- 각 현장 D/B 內 사례 검색을 통한 현장간 자료(지침, 단가산출 등) 공유 및 업무지원 도모
• 사업본부 매출손익 개선에 기여
- 설계변경을 통한 도급증액 및 원가호조 공종 확대(도급/시행 사전 검토 수행)를 통한 
  매출손익 개선 도모</t>
  </si>
  <si>
    <t>아이디어 제안 인정, 과제 검토 중
설계변경 사례 공유에 추가하여 시공상세도, 시공계획서 등 내용 확장하여 과제화 검토 중 입니다.</t>
  </si>
  <si>
    <t>IN/C-C-CE-1</t>
  </si>
  <si>
    <t>2201936</t>
  </si>
  <si>
    <t>김성원</t>
  </si>
  <si>
    <t xml:space="preserve">김태영, 박준용, </t>
  </si>
  <si>
    <t>띠장스티프너</t>
  </si>
  <si>
    <t>• 자성이 있는 띠장 스티프너 적용시 강판 절단, 고소 용접작업 등이 없어 설치 및 해체에 대한 시공성이 매우 용이함
• 대전하수처리장(관로), 인덕원~동탄 현장에서 적용중</t>
  </si>
  <si>
    <t>아이디어 제안 인정, 과제 검토 중
건축사업본부 아이디어 및 소액자산 시스템 연계 활용 검토 예정이며, 기 제출한 1205번과 가시설 시트파일과 통합하여 과제화 추진 검토하겠습니다</t>
  </si>
  <si>
    <t>IN/C-C-CE-2</t>
  </si>
  <si>
    <t>모바일JACK</t>
  </si>
  <si>
    <t xml:space="preserve">공장에서 제작한 모바일 Jack는 공기단축 및 품질을 향상 시킬수 있음
• 또한 개소당 약 16만원으로 현장제작용 화타쐐기 대비 경제성이 매우 높음
• 동탄인덕원 현장에서 현재 적용중
</t>
  </si>
  <si>
    <t>아이디어 제안 인정, 과제 검토 중
건축사업본부 아이디어 및 소액자산 시스템 연계 활용 검토 예정이며, 기 제출한 가시설 시트파일과 통합하여 과제화 추진 검토하겠습니다</t>
  </si>
  <si>
    <t>IN/C-C-CE-3</t>
  </si>
  <si>
    <t>2401533</t>
  </si>
  <si>
    <t>김시지</t>
  </si>
  <si>
    <t>명함 제작 비용 절감의 건</t>
  </si>
  <si>
    <t>명함 신청 시 무분별한 신청을 방지하고자 전결권 지정
 - 본사: 각 팀장 전결 후 각 팀 판관비 처리
 - 현장: 현장 소장 전결</t>
  </si>
  <si>
    <t>아이디어 제안 인정, 과제 불채택
일부 영업부서에서 발생하는 문제로 판단되며, 본사 지원부서, 현장은 발생사례 적은것으로 확인되어, 중점과제에는 불채택 되었습니다</t>
  </si>
  <si>
    <t>IN/C-C-CE-4</t>
  </si>
  <si>
    <t>0601365</t>
  </si>
  <si>
    <t>김영주</t>
  </si>
  <si>
    <t>CCTV 업체 단일화</t>
  </si>
  <si>
    <t>CCTV 연간단가 업체 선정(유지관리비 비용 포함)</t>
  </si>
  <si>
    <t>아이디어 제안 인정, '안전관리비 사용내역 표준화'에 해당 내용이 포함되어 과제화 불채택 되었습니다.</t>
  </si>
  <si>
    <t>IN/C-A/S-CE-1</t>
  </si>
  <si>
    <t>0600058</t>
  </si>
  <si>
    <t>남기범</t>
  </si>
  <si>
    <t>김태영, 고한울, 박준용</t>
  </si>
  <si>
    <t>PC전문업체 MOU체결</t>
  </si>
  <si>
    <t xml:space="preserve">개선 전 : RC공법 적용, 짧은 시간내에 많은 투입이 불가, 기후조건에 따른 변동성으로 공기준수가 어려운 단점
개선 후 : 기본설계 or 현장설계변경으로 PC공법으로 변경, 특정업체와 MOU 체결을 통해 손익개선 및 공동특허 출원으로 당사 기술력 향상 및 홍보효과 극대화
</t>
  </si>
  <si>
    <t>아이디어 제안 인정, 과제화 차후 진행 예정입니다.</t>
  </si>
  <si>
    <t>IN/C-PI-CE-9</t>
  </si>
  <si>
    <t>본사지원부서 인건비 현장 배부</t>
  </si>
  <si>
    <t xml:space="preserve">개선 전 : 10억/년 → 판관비, 당사원가 100% 집행
개선 후 : 6억/년 현장원가 반영 시 2.2억/년 절감가능
(공동도급사 평균지분율 37.4% 적용, 기술지원파트 14인 기준)  </t>
  </si>
  <si>
    <t>박재보 추진 예정. 회계 기준과 관련되어 쉽지 않은 일. 명확하게 진행하여야 함
아이디어 제안 인정, IT비용과 유사하여 과제화 추진 여부 검토 중 입니다.</t>
  </si>
  <si>
    <t>과제 진행 - 박재보 차장</t>
  </si>
  <si>
    <t>IN/C-PI-CE-10</t>
  </si>
  <si>
    <t>현장지급자재정산프로세스개선</t>
  </si>
  <si>
    <t>개선 전 : 매월 기성공제(현실적으로 불가), 규격별정산, 정산합의서 작성여부(현장별로 상이)
개선 후 : 주요 구조물별 정산서 작성, 변경계약마다 정산내용 반영, 도급내역기준으로 정산, 공문송부 및 합의서 작성(협력사,법인도장 날인 必) / 현장여건 상 협력사 시공오류에 대한 비율을 변경계약 전 확정</t>
  </si>
  <si>
    <t>아이디어 제안 인정, 과제 검토 중
현장별 지급자재 정산 프로세스가 마련이 필요한 문제와 해결방안에 대해 동감하나, 해당 사항이 법규 상 문제가 없는지 여부 등 유관부서와 협의 후 중점과제 추진 검토토록 하겠습니다.</t>
  </si>
  <si>
    <t>IN/C-PI-CE-11</t>
  </si>
  <si>
    <t>1205338</t>
  </si>
  <si>
    <t>류영규</t>
  </si>
  <si>
    <t>준공 현장 문서관리 DB구축</t>
  </si>
  <si>
    <t>• 준공현장 문서관리 기준(ex 체크리스트)을 통한 자료 관리
• 이동식 디스크가 아닌 시스템 업로드 관리</t>
  </si>
  <si>
    <t>중복 아이디어(667번)
문서관리 개선에 내용 포함되어있는 사항입니다.</t>
  </si>
  <si>
    <t>IN/C-PI-CE-12</t>
  </si>
  <si>
    <t>0601293</t>
  </si>
  <si>
    <t>신현웅</t>
  </si>
  <si>
    <t xml:space="preserve">폐기물처리비 절감 및 재활용에 따른 자재 구매비 절감 </t>
  </si>
  <si>
    <t xml:space="preserve">• 1. 잔여자재 정보제공 관리 시스템 구축
내역, 규격, 수량, 스펙 및 자재 사진대지 등을 시스템에 업로드하여 전사에 정보 제공
  2. 시스템 구축 비용 발생의 효율성에 의문 시
     각 사업본부 수행(CM) 담당자에게 정보 제공(이메일 또는 카톡) 하여
     사업본부 내 활용에서 더 낳아가 타 사업본부에도 정보를 제공하고 
     운반비 대비 구매 비용을 비교하여 잔여자재 재활용 여부 결정
</t>
  </si>
  <si>
    <t>아이디어 제안 인정, 과제 검토 중
소액자산관리 시스템과 연계하여 시행 예정이며, 기 보고된 소액자산관리시스템이 있는 여건이라 과제화 여부 유관부서와 협의 후 진행토록 하겠습니다</t>
  </si>
  <si>
    <t>IN/C-PI-CE-13</t>
  </si>
  <si>
    <t>특수직군(조경) 인력운영 효율성 증가</t>
  </si>
  <si>
    <t xml:space="preserve">• 1. 각 사업본부 공정 및 여건 상 조경 직군이 현장 투입 또는 설계 검토가 필요한 경우
정직 및 촉탁(PJ)는 사업본부 전배 또는 파견
(한번 가면 못 돌아오는 1회 형식이 아닌 수시로 이동 가능한 형태)
으로 소수 직군인 조경직 인력 운영을 보다 효율적으로 관리
  2. 검증되고 우수한 조경 현전직 직원 타 사업본부 연계 채용
</t>
  </si>
  <si>
    <t>아이디어 제안 인정, 과제 검토 중
필요한 취지와 현재 문제점에 대한 해결이 가능하나, 현재 본부가 상이한 현실 감안 시 건축사업본부와 인프라사업본부 간 협업이 쉽지않은 실정입니다. 인사기획팀, 건축지원팀 등 유관부서 협의 후 과제화 여부 판단토록 하겠습니다.</t>
  </si>
  <si>
    <t>IN/C-PI-CE-14</t>
  </si>
  <si>
    <t>1202941</t>
  </si>
  <si>
    <t>인프라지원팀</t>
  </si>
  <si>
    <t>양현수</t>
  </si>
  <si>
    <t>현장관리비 내 공사용차량 경차 반영</t>
  </si>
  <si>
    <t>• SUV가 필수적이지 않은 현장은 최초 실행편성 시 경차를 일정비율 이상 반영</t>
  </si>
  <si>
    <t>아이디어 인정, 과제화 차후 진행 예정</t>
  </si>
  <si>
    <t>IN/C-PI-CE-15</t>
  </si>
  <si>
    <t>1202942</t>
  </si>
  <si>
    <t>이상영</t>
  </si>
  <si>
    <t>외주 발주시 하도급계약 규모별 고용보험료 요율 적용</t>
  </si>
  <si>
    <t xml:space="preserve">• 하도급 계약규모에 따라 요율 적용으로 원가 절감 가능
• 현재 시스템상 요율을 직접 입력하는 되어있으나, 외주계약시 실행금액에 따라 요율 적용으로 
 휴먼에러 예방
</t>
  </si>
  <si>
    <t>아이디어 제안 인정, 과제 불채택
경영정보시스템 사용 초기에는 업체 규모에 따라 고용보험 요율이 다른부분이 적용이 되지않았으나, 현재 시스템 상 금액변경 가능한 상황입니다.</t>
  </si>
  <si>
    <t>IN/C-PI-CE-16</t>
  </si>
  <si>
    <t>정호성</t>
  </si>
  <si>
    <t>설계 변경을 위한 공종별 협력 설계사 Pool 구축</t>
  </si>
  <si>
    <t xml:space="preserve">• 현장에서 협의와 설계변경을 즉각적으로 진행할 수 있도록 종합설계사와 MOU 체결을 통해 접근성 확대.
• 공종별 중소/중견 설계사 리스트를 구축하고 업무협약을 진행하여 현장에서 즉각적으로 협의와 설계변경을 진행할 수 있도록 업체 선정 권한을 부여.
• 매년 연말 또는 연초 설계사 리스트 갱신작업을 통하여 접근성 강화
</t>
  </si>
  <si>
    <t>아이디어 제안 인정, 과제 불채택
현장 인터뷰 시 현장여건을 모르는 인원으로 구성된 설계사 직원이 투입되어 실시할 수 있는 설계변경이 제한적인 상황이고, 만약 원 설계사를 통한 시행 검토 시 설계사의 특성 상 이직이 잦은 여건이라 실효성이 미미할 것으로 판단됩니다.</t>
  </si>
  <si>
    <t>IN/C-PI-CE-17</t>
  </si>
  <si>
    <t>0900286</t>
  </si>
  <si>
    <t>함희원</t>
  </si>
  <si>
    <t>소송 및 법무검토 DB 구축</t>
  </si>
  <si>
    <t xml:space="preserve">• 문서관리(ECDA) 內 소송 및 법무검토 D/B 구축을 통한 업무효율 개선
- 과년도 분쟁 issue별 사례 축적을 통한, 현장 claim 발생 시 유사사례 검색 지원
- 분쟁/issue 발생사항에 대한 해결과정 내용 축적을 통한 법무검토 기간 단축 
- 소송/중재 등 결과 공유를 통한 빠른 의사결정 및 영외손익 개선 기여
</t>
  </si>
  <si>
    <t>아이디어 인정, 과제화 채택
소송관련 Process 개선의 일환으로 관련 아이템 통합하여 과제화 진행예정입니다.</t>
  </si>
  <si>
    <t>IN/C-PI-CE-18</t>
  </si>
  <si>
    <t>2101425</t>
  </si>
  <si>
    <t>인프라견적팀</t>
  </si>
  <si>
    <t>김용선</t>
  </si>
  <si>
    <t>CAD직원거점채용</t>
  </si>
  <si>
    <t xml:space="preserve">• CAD 직원 (또는 수도권 사무실) 본사(수도권 거점현장) 통근실시
(본사통근시 견적팀 or 현장지원부서 내 자리배치, 현장통근시 거점현장 설정)
예) 안성구리 현장(당사지분50%, 수도권) 캐드직원 3名 채용, 서울~대전권 현장지원
</t>
  </si>
  <si>
    <t>아이디어 제안 인정, 과제 불채택
현장 인터뷰 시 현장여건을 모르는 인원으로 구성된 Cad 직원이 투입되어 수행할 수 있는 업무가 제한적인 상황이라 실효성이 미미할 것으로 판단됩니다.</t>
  </si>
  <si>
    <t>IN/C-PI-CE-19</t>
  </si>
  <si>
    <t>RPA도입</t>
  </si>
  <si>
    <t xml:space="preserve">• RPA 봇 도입 및 본사 및 현장에 프로그램 사용교육
- 현장 및 본사 단순반복작업 업무 조사 → RPA 통한 자동화 프로그램 개발
예시)
매월 1일 기술인협회 등록된 당사 모든 기술자 경력 조회하여 담당자 메일로 발송
매월 30일 사급자재(철근, 레미콘 등) 구매실적 취합 견적팀 담당자 메일로 발송
매일 9:00 당사 00, XX계좌 잔고 기작성된 양식의 표에 취합하여 회계담당 메일로 보내기
매달 23일 국세, 지방세, 보험 완납증명원 발급하여 전현장 현장공무들에게 메일로 보내기
매일 8:00 ‘키워드’ ‘네이버’에서 오늘 기준 올라온 뉴스 제목 취합하여 메일로 보내기
매일 7:30 LME 공식가격 마감가 메일로 보내기
매일 7:00 법인카드 사용실적에 ‘키워드1’ ‘키워드2’ 있을경우 감사팀 담당메일로 보내기
매일 00:00 파일보안해제 로그에 ‘키워드1’ ‘키워드2’ 있을경우 감사팀 담당메일로 보내기
외 본사 및 현장요구 업무 조사 및 취합, 자동화 
</t>
  </si>
  <si>
    <t>아이디어 제안 인정, 과제 불채택
과거 검토 시 활용가능한곳이 별로 없어 전사로 진행하지 않고 회계에 일부 업무만 RPA로 활용하고 있는 상황이며, 필요업무가 있을 시 관련부서와 신청가능 여부 확인토록 하겠습니다.</t>
  </si>
  <si>
    <t>IN/C-PI-CE-20</t>
  </si>
  <si>
    <t>0601368</t>
  </si>
  <si>
    <t>송종형</t>
  </si>
  <si>
    <t>철근가공조립 내역분리</t>
  </si>
  <si>
    <t xml:space="preserve">• 사전 설계도서 검토를 통해 가공이 필요 없는 철근량 검토
• 철근가공조립 내역을 철근 가공 / 철근 조립 내역으로 분리한 후 실제 가공량으로 수량 조정
• 외주업체 선정 요청시 변경된 내역으로 발주 및 계약
• 철근 가공비 및 운반비 원가절감
</t>
  </si>
  <si>
    <t>아이디어 인정, 과제화 불채택
인프라견적팀에서 시행가능한 부분으로 품목 분개 후 최초 실행편성 후 발주 시 감안하여 발주가 필요하다고 판단됩니다.</t>
  </si>
  <si>
    <t>IN/C-PI-CE-21</t>
  </si>
  <si>
    <t>1402813</t>
  </si>
  <si>
    <t>전상식</t>
  </si>
  <si>
    <t>차량편성기준변경</t>
  </si>
  <si>
    <t xml:space="preserve">• 도로, 단지 등 주로 비포장된 공사 구간을 주행하는 현장은 현행 차량편성 기준 유지. 
• 지하철 등 포장도로 주행이 주된 현장은 공사용 차량 현행보다 작은 규모의 차량으로 축소 사용 (ex. 준중형SUV 4대 → 준중형SUV 2대 + 경형SUV 2대)
• 신규 현장 최초 실행예산 편성시 적용. 기존 현장의 경우 공사용 차량 임대기간 만료에 따른 재계약 필요시 적용 가능. 현장 특성 및 필요에 따라 적용.
• 추후, 차량 사이즈 축소 및 전기차 사용으로 확대시 유류비 절감까지 가능.
</t>
  </si>
  <si>
    <t>아이디어 인정, 870번과 통합하여 과제화 차후 진행 예정입니다</t>
  </si>
  <si>
    <t>IN/C-PI-CE-22</t>
  </si>
  <si>
    <t>1300281</t>
  </si>
  <si>
    <t>황주성</t>
  </si>
  <si>
    <t>질의응답플랫폼구축</t>
  </si>
  <si>
    <t xml:space="preserve">• 질의응답 플랫폼 구축하여 해결 (익명, 자발적 참여 전제)
1)	참여자들은 질의에 직접 응답 가능
2)	직접 응답은 불가하지만 응답 가능 인물, 팀을 인지하고 있다면 지정 가능
위의 경우에 해당하지 않는 경우 관리자가 응답자 지정
</t>
  </si>
  <si>
    <t>중복 아이디어(92번)
한화그룹 AI(AIDA) 운영 중이며, AIDA는 그룹 자체 지식베이스 학습을 통한 답변 형식(Chat-GPT아님)입니다. 현재 건설부문 확대운영을 위해서는 다수의 인력과 예산이 소요될 것으로 예상되는 상황이라, 명확한 기대효과 산출 없이 과제화 진행은 어려운 실정입니다.</t>
  </si>
  <si>
    <t>IN/C-PI-CE-23</t>
  </si>
  <si>
    <t>2100787</t>
  </si>
  <si>
    <t>자원순환팀</t>
  </si>
  <si>
    <t>허진</t>
  </si>
  <si>
    <t>환경영향평가 AWS 사전 수행</t>
  </si>
  <si>
    <t xml:space="preserve">• 사업 제안 시 (최초(보완)제안) 환경영향평가 인허가 중 가장 소요기간이 AWS 사전 수행
• 주무관청 환경영향평가 수행 시 당사 AWS 대기질 측정 Data 제출 및 인허가 기간 단축
</t>
  </si>
  <si>
    <t>아이디어 인정, 과제화 검토중</t>
  </si>
  <si>
    <t>IN/C-PI-CE-24</t>
  </si>
  <si>
    <t>회의실 예약 시스템 개선</t>
  </si>
  <si>
    <t xml:space="preserve">[회의실 예약 시스템 개선]
• 회의실 예약시스템 개선 (1인 2시간 최대)
• 2시간 이상 불가피하게 사용 필요 시 명확한 사유 기재 및 2시간마다 Check-in 실시
  (2시간 경과 이후 15분 내 Check-in 하지 않을 시 자동 취소)
• 2시간 이상 불가피하게 사용 필요 시 명확한 사유 기재 및 2시간마다 Check-in 실시
</t>
  </si>
  <si>
    <t>아이디어 인정, 과제화 불채택
당사에서 해결 불가한 상황으로 인사지원팀에 해당안건 건의하였고, 관련해서 가능여부 확인 시 별도로 피드백 드리겠습니다.</t>
  </si>
  <si>
    <t>IN/C-A/S-CE-2</t>
  </si>
  <si>
    <t>2203193</t>
  </si>
  <si>
    <t>이덕현</t>
  </si>
  <si>
    <t>상세설계비 절감</t>
  </si>
  <si>
    <t xml:space="preserve">• 실시설계시 상세설계 업체 사전 금액 협의로 업체 계약 금액 절감 </t>
  </si>
  <si>
    <t>IN/C-E-CE-1</t>
  </si>
  <si>
    <t>1105689</t>
  </si>
  <si>
    <t>김주연</t>
  </si>
  <si>
    <t xml:space="preserve">김태영, 오정화, </t>
  </si>
  <si>
    <t>터빈 업체 사전 업무협약</t>
  </si>
  <si>
    <t xml:space="preserve">• 설계단계에서 터빈 업체 선정 및 업무협약 실시
• 업무협약을 통한 터빈 업체 선정 및 사용으로 비용 절감 
</t>
  </si>
  <si>
    <t>IN/C-PI-CE-25</t>
  </si>
  <si>
    <t>1901760</t>
  </si>
  <si>
    <t>김대령</t>
  </si>
  <si>
    <t>당사 vendor 관리 시스템 개선</t>
  </si>
  <si>
    <t xml:space="preserve">• 회사 內 주요기자재의 금액 비중이 큰 기기들을 대상으로, Sole-vendor 선정하여 기기 조달
• Sub-vendor list 명확하게 관리하여 각 사업팀에 해당 정보 공유 필요 (w/외주,구매,본부견적)
</t>
  </si>
  <si>
    <t>아이디어 인정, 과제화 검토중
환경부분 기계/ 전기 프로세스 개선과 연계하여 추진 필요하며, 과거 S-1떄처럼 각 사별 상이한 스펙을 검토하여 업체선정 시 동등 조건에서 경쟁입찰이 필요할 것으로 판단됩니다.</t>
  </si>
  <si>
    <t>IN/C-PI-CE-26</t>
  </si>
  <si>
    <t>1205331</t>
  </si>
  <si>
    <t>김준영</t>
  </si>
  <si>
    <t>유니파이어 시스템 개선</t>
  </si>
  <si>
    <t xml:space="preserve">[유니파이어 시스템 개선]
• 정형화한 word 보고자료 작성하여 유니파이어 업로드 시 유니파이어 내 데이터 이관 또는
  유니파이어 內 입력자료 작성 시 자동으로 보고서 갑지 생성되도록 시스템 개선
</t>
  </si>
  <si>
    <t>중복 아이디어(519번)
워드 보고자료의 경영정보시스템(Unifier)로의 데이터로 전환이 현실적으로 불가능한 상황이며, 경영정보시스템(Unifier) Data로 워드 보고자료 변환은 가능합니다. 구체적으로 어떤 자료의 변환이 필요한지 의견 주시면 반영하여 DT팀 등 유관부서와 협의토록 하겠습니다</t>
  </si>
  <si>
    <t>IN/C-PI-CE-27</t>
  </si>
  <si>
    <t>2400588</t>
  </si>
  <si>
    <t>강하영</t>
  </si>
  <si>
    <t>약품 자체 공급망 확보</t>
  </si>
  <si>
    <t xml:space="preserve">•	당사 기술 적용된 운영 현장 맞춤형 자체 약품 브랜드화 및 공급
	협력사 확보 및 ODM 생산/공급/브랜드 화
약품 성능 검증 및 주입율 최적화
</t>
  </si>
  <si>
    <t>아이디어 인정, 과제화 채택 예정</t>
  </si>
  <si>
    <t>IN/C-PI-CE-28</t>
  </si>
  <si>
    <t>0800692</t>
  </si>
  <si>
    <t>박정수</t>
  </si>
  <si>
    <t>분리막 벨류체인 확대</t>
  </si>
  <si>
    <t xml:space="preserve">• 밸류체인 확대 (OEM, ODM) 및 성능 직접 검증을 통한 분리막 자체 공급망 구축
: 신규개발 분리막 실증 테스트를 통한 성능 검증
	2025년~2030년 (천안하수처리장 4단계 테스트 베드 제공)
	운영사 에코이앤오㈜ 가 분리막 운전, 데이터 수집 및 제공
검증진행 후 신규프로젝트 설계반영
</t>
  </si>
  <si>
    <t>IN/C-PI-CE-29</t>
  </si>
  <si>
    <t>현장지원 컨설팅 비용 공도사 원가안분 수익창출</t>
  </si>
  <si>
    <t xml:space="preserve">•	기술지원 컨설팅 비용 
•	기본설계, 실시설계 단계의 공정설계 
•	시운전 교육 외 당사 기술반영 컨설팅
	지원항목 전체 공동도급사 원가안분 검토
</t>
  </si>
  <si>
    <t>무슨말인지는 알겠는데 현실로 어떻게 만들지는 떠오르지 않음
제안자 아이디어 추가로 필요함</t>
  </si>
  <si>
    <t>IN/C-PI-CE-30</t>
  </si>
  <si>
    <t>1204269</t>
  </si>
  <si>
    <t>차재환</t>
  </si>
  <si>
    <t>공법개선</t>
  </si>
  <si>
    <t xml:space="preserve">• 질산염 및 슬러지 반송흐름 개선을 통한 반응조 미생물 농도 증가 및 반송율 저감
• 반송율, 고부하 조건 별 최대 처리량 분석을 통한 설계인자 정밀도 향상
</t>
  </si>
  <si>
    <t>아이디어 인정, 과제화 채택 검토 중</t>
  </si>
  <si>
    <t>IN/C-PI-CE-31</t>
  </si>
  <si>
    <t>2100696</t>
  </si>
  <si>
    <t>최정훈</t>
  </si>
  <si>
    <t>기술사용료 수익창출</t>
  </si>
  <si>
    <t xml:space="preserve">•	환경기술 (HDF 공법 외) 당사 특허 보유 상표 사용 에 따른 기술사용료 협약체결
	상표 사용료 : 공사비의 0.75% ~ 1%
기술자문료 : 사업건당 3,000 만원~ 3,300 만원 수준 책정
</t>
  </si>
  <si>
    <t>CO/Z-PI-CE-37</t>
  </si>
  <si>
    <t>1906839</t>
  </si>
  <si>
    <t>강석현</t>
  </si>
  <si>
    <t>IT 재구성 운영비 절감</t>
  </si>
  <si>
    <t xml:space="preserve">1.	IT Infra 및 어플리케이션 구성 변경으로 운영 공수 축소
구분	내용
IT Infra 	∙ IT Infra 구성 변경 및 전환
- 물리→가상화 , 다중화→단일화 구성 전환
- 시스템 다운사이징 및 경량화 추진
어플리케이션 	∙ Application 통합 및 운영 공수 축소
- 플랫폼, 업무 유사도에 따른 시스템 통합
- 기동환경 통합으로 인한 운영 공수 축소
2.	IT Infra 상면(임대 면적) 축소
IT Infra 상면 약 10% 축소 추진하여 상면료 절감
</t>
  </si>
  <si>
    <t>일정문제로 DT팀에서 기 추진함
DT팀과 이야기 중. 해당 아이디어는 팀 고유업무에 가까운데 TOP로 하여 전사의 동참을 이끌어낼수는 있을수도</t>
  </si>
  <si>
    <t>CO/Z-PI-CE-38</t>
  </si>
  <si>
    <t>2201607</t>
  </si>
  <si>
    <t>인프라안전팀</t>
  </si>
  <si>
    <t>이진강</t>
  </si>
  <si>
    <t>사고분석을 통한 중대재해 사고예방 효과</t>
  </si>
  <si>
    <t xml:space="preserve">• 사고발생 전 사전예방 안전관리를 통한 선제적 대응책 제시.
-	전년도 사고발생 자료분석(스마트 안전 사고분석 시스템)을 통한 현장별 맞춤형 사고 예방
-	당해년도 현장지원시 확인되는 부적합 사항 분석(스마트 안전 사고분석 시스템)을 통한 현장별 맞춤형 자료의 활용의 용이
• 한눈에 보는 스마트안전 사고분석 시스템(대시보드)를 통한 쉬운 분석이 가능함.
</t>
  </si>
  <si>
    <t>아이디어 인정, 과제화 불채택
중점과제 추진없이 인프라사업본부 내 인프라안전팀에서 별도 품의통한 시행 중 입니다.</t>
  </si>
  <si>
    <t>IN/C-PI-CE-32</t>
  </si>
  <si>
    <t>2201127</t>
  </si>
  <si>
    <t>정진영</t>
  </si>
  <si>
    <t>가시설 3rd Party 비용 절감</t>
  </si>
  <si>
    <t xml:space="preserve">• 인프라안전팀의 가설구조물 담당의 현장 점검 시 가설 점검 수행에 따른 3rd Party 점검 면제 
(다회점검에 예방에 따른 점검 비용 지출 방지)
• 안전보건기획팀의 현장내 가설점검 배정시 인프라안전팀과 사전 협의를 통해 점검 비용 절약
• 안전보건기획팀에 VOS 수집 시 인프라 현장의 가설점검시 정진영 과장에 의한 가설 구조물 점검 요청 다수 접수
 사유 : 3rd Party 점검인원의 충실도 및 기술력 저하 
</t>
  </si>
  <si>
    <t>아이디어 인정, 과제화 검토중
당 사에서 점검 수행은 가능하나, 사고발생 또는 유관기관 점검 시 당 사 수행이 법규상 문제가 없는지 유관부서와 검토예정입니다.</t>
  </si>
  <si>
    <t>CO/Z-PI-CE-39</t>
  </si>
  <si>
    <t>0200748</t>
  </si>
  <si>
    <t>최종각</t>
  </si>
  <si>
    <t>소규모 소액 자산 낭비율 절감 효과</t>
  </si>
  <si>
    <t xml:space="preserve">• 종합적 소규모 소액 자산 관리의 시스템 신설 필요
• 소액자산 보관소 필요
• 소액자산관리 담당자 지정 필요
</t>
  </si>
  <si>
    <t>아이디어 제안 인정, 과제 불채택
소액자산관리 시스템과 연계하여 시행 예정이며, 기 보고된 소액자산관리시스템이 있는 여건이라 과제화 여부 유관부서와 협의 후 진행토록 하겠습니다</t>
  </si>
  <si>
    <t>IN/C-PI-CE-33</t>
  </si>
  <si>
    <t>1300267</t>
  </si>
  <si>
    <t>인프라신사업팀</t>
  </si>
  <si>
    <t>임윤대</t>
  </si>
  <si>
    <t>현장 출입구 압력식 발전 장치 설치</t>
  </si>
  <si>
    <t xml:space="preserve">• 차량 및 인원 통행이 잦은 현장 진출입구에 압력식 발전 장치 설치
• 발전 장치 발생 전기 사용하여 현장 장비 및 기계 충전
</t>
  </si>
  <si>
    <t>아이디어 인정, 과제화 검토중
인프라사업본부 현장 중 지하철현장이 효용성이 높을것으로 판단되며, 건축현장 연계하여 해당 아이디어 적용 시 발생 전력량 등 검토 후 과제화 진행토록 하겠습니다.</t>
  </si>
  <si>
    <t>IN/C-PI-CE-34</t>
  </si>
  <si>
    <t>0500569</t>
  </si>
  <si>
    <t>황현주</t>
  </si>
  <si>
    <t>이동전화(휴대폰) 통신비 지원</t>
  </si>
  <si>
    <t>• 자리별 전화기 미지급, 대체하여 개인별 통신비 지원</t>
  </si>
  <si>
    <t>중복 아이디어(339번)</t>
  </si>
  <si>
    <t>IN/C-PI-CE-35</t>
  </si>
  <si>
    <t>0600597</t>
  </si>
  <si>
    <t>이현주</t>
  </si>
  <si>
    <t>준공현장 분쟁(소송중재 등)시 업무 지원에 따른 인센티브 지급</t>
  </si>
  <si>
    <t xml:space="preserve">• 분쟁 발생시 기존 현장 담당자의 적극적 지원 및 기여로 승소 또는 예상 승소책 대비 추가 승소시 승소 비용에 대한 일정 인센티브 지급
• 분쟁 해결 및 승소
</t>
  </si>
  <si>
    <t>아이디어 인정, 과제화 검토중
873번 아이디어와 연계하여 유관부서와 적용 가능여부 검토예정 입니다.</t>
  </si>
  <si>
    <t>IN/C-PI-CE-36</t>
  </si>
  <si>
    <t>1402809</t>
  </si>
  <si>
    <t>김지다</t>
  </si>
  <si>
    <t>사업본부간 협업인증제도 도입</t>
  </si>
  <si>
    <t>• 협업인증제도 도입(협조 관계, 업무 범위, 성과 반영 등)</t>
  </si>
  <si>
    <t>아이디어 인정, 과제화 불채택
본부 간 협업제도의 취지에 대하여 공감하나, 해당 건은 상호간 주관적인 평가가 있을 수 밖에 없으며, 인사평가를 통한 반영에 대하여 인사팀에 문의 후 피드백 드리겠습니다</t>
  </si>
  <si>
    <t>IN/C-PI-CE-37</t>
  </si>
  <si>
    <t>1900029</t>
  </si>
  <si>
    <t>발주처별 방침 공유</t>
  </si>
  <si>
    <t xml:space="preserve">• 현장별 발주처 방침 리스트 작성
• 발주처별 방침 누적 관리 데이터 공유하여 향후 현장 운영시 참고
• 방침 미반영으로 인한 재시공 사례 최소화하여 원가 절감
</t>
  </si>
  <si>
    <t>아이디어 인정, 과제화 검토중
ECDA 통한 해당 사항 확대여부 인프라VE팀 등 유관부서와 검토예정입니다.</t>
  </si>
  <si>
    <t>IN/C-PI-CE-38</t>
  </si>
  <si>
    <t>1700064</t>
  </si>
  <si>
    <t>고강영</t>
  </si>
  <si>
    <t>시공상세도 통한 원가절감사례 공유</t>
  </si>
  <si>
    <t xml:space="preserve">• 현장별 시공상세도 작성을 통한 원가 절감 사례 공유
• 향후 동일 공종 현장에서 해당 사례 참고하여 시공상세도 작성 및 발주처 승인
• 승인된 시공상세도 바탕 시공하여 시공성 향상 및 원가 절감
</t>
  </si>
  <si>
    <t>IN/C-PI-CE-39</t>
  </si>
  <si>
    <t>2204269</t>
  </si>
  <si>
    <t>환경사업팀</t>
  </si>
  <si>
    <t>최정아</t>
  </si>
  <si>
    <t>미진동구간 탈취배관 신축관 제외</t>
  </si>
  <si>
    <t xml:space="preserve">• 하수처리시설 탈취덕트 미진동 구간 신축관 삭제
• 미진동 구간 : 유입맨홀, 유입수로,  스크린수로, 침사지, 
유량조정조, 드럼스크린조, 금속혼화조, 
교대반응조, 호기조, 후탈질조, 반송수조
탈수여액저류조, 찌꺼기 저류조, 분뇨저류조 등
</t>
  </si>
  <si>
    <t>아이디어 인정, 과제화 검토 중
현장별 공통된 부분인지 검토 후 과제화 여부 결정예정 입니다.
(검토 후 현장VE 통한 시행여부 확인예정)</t>
  </si>
  <si>
    <t>IN/C-PI-CE-40</t>
  </si>
  <si>
    <t>스티프너 형식 변경</t>
  </si>
  <si>
    <t xml:space="preserve">• 기성품 스티프너(멀티스티프너) 적용 후 재활용
-	별도의 용접이 필요 없고 재사용 가능
-	설치 용이
</t>
  </si>
  <si>
    <t>(아이디어 인정, 과제화 검토중)
860번 아이디어와 동일한 내용으로 소액자산 관리 시스템 확대 적용과 연계하여 과제화 검토중</t>
  </si>
  <si>
    <t>IN/C-PI-CE-41</t>
  </si>
  <si>
    <t>관 상단 다짐장비 변경</t>
  </si>
  <si>
    <t>• 다짐면적이 넓은 핸드가이드롤러 적용</t>
  </si>
  <si>
    <t>(아이디어 불인정) 현장 여건에 따라 판단가능한 부분으로 당초 설계에 반영하기에는 부적정하다고 판단됨</t>
  </si>
  <si>
    <t>IN/C-PI-CE-42</t>
  </si>
  <si>
    <t>2401615</t>
  </si>
  <si>
    <t>한재성</t>
  </si>
  <si>
    <t>우수관거(강성관) 관기초 변경</t>
  </si>
  <si>
    <t xml:space="preserve">• 지반의 지지력 검토 후 관거의 침하 및 변형 우려가 적을 경우 기초로 대체재 사용
  (모래→석분, 쇄석→순환골재)
</t>
  </si>
  <si>
    <t>(아이디어 인정, 과재 검토중) 하수처리장 설계 시 반영 가능한 아이디어로 VE팀 등과 협업하여 실질적인 효과 검토 필요</t>
  </si>
  <si>
    <t>IN/C-PI-CE-43</t>
  </si>
  <si>
    <t>추진 가시설 지수재 삭제</t>
  </si>
  <si>
    <t>• 지하수위가 낮은 구간 추진 가시설에서 팽창지수재 삭체</t>
  </si>
  <si>
    <t>IN/C-PI-CE-44</t>
  </si>
  <si>
    <t>전자결재 문서간 연결기능 추가</t>
  </si>
  <si>
    <t xml:space="preserve">연관된 결재 문서 간, 문서 연결 기능 추가
-	관련 문서(상위 전결을 득한 문서, 변경사항 이전 품의 등) 클릭 시 해당 문서로 이동 할 수 있는 기능 추가 (문서 조회 용이, 검색 소요 시간 단축)
-	각 문서 번호와 제목을 검색하여 추가 할 수 있도록 기능 구성, 연결 문서 표제 기안지 표출
(결재선의 참조, 수신처 등 추가하는 것과 유사하게 구성, 하기 이미지 참조) 
</t>
  </si>
  <si>
    <t>(아이디어 불인정) 기존에 있던 기능. 관련문서 클릭하여 기존 품의서를 선택가능함(타부서의 문서는 선택 불가하지만 타부서 담당자에게 전달(수신)받은 문서는 선택가능)</t>
  </si>
  <si>
    <t>IN/C-PI-CE-45</t>
  </si>
  <si>
    <t>1300767</t>
  </si>
  <si>
    <t>권도은</t>
  </si>
  <si>
    <t>시상수관 관종 변경 경제성 확보</t>
  </si>
  <si>
    <t xml:space="preserve">•	관종 변경을 통한 공사비 절감 및 시공성 향상
•	공사기간 단축 가능 </t>
  </si>
  <si>
    <t>IN/C-PI-CE-46</t>
  </si>
  <si>
    <t>2400806</t>
  </si>
  <si>
    <t>민정혜</t>
  </si>
  <si>
    <t>우수받이 시공 최적화</t>
  </si>
  <si>
    <t xml:space="preserve">•	기성제품 적용으로 공사비 절감 및 시공성 향상
•	공사기간 단축 가능
</t>
  </si>
  <si>
    <t>IN/C-PI-CE-47</t>
  </si>
  <si>
    <t>하수처리장 방류관로 변경 시공성 향상</t>
  </si>
  <si>
    <t xml:space="preserve">•	방류관로를 원형관(D1,800㎜)으로 변경하여 수리계산상 여유율 최적화
•	하천구간 원형관 적용을 통해 공사비 절감 및 시공성 향상
</t>
  </si>
  <si>
    <t xml:space="preserve">(아이디어 인정, 과재 검토중) 방류관로 규격이 처리장 처리 수량에 따라 결정되는 사항으로 현장별 방류관로 규모가 상이할 것으로 예상되며, 원가절감이 가능한 영역인지 추가 검토 필요 </t>
  </si>
  <si>
    <t>IN/C-PI-CE-48</t>
  </si>
  <si>
    <t>1302624</t>
  </si>
  <si>
    <t>오만영</t>
  </si>
  <si>
    <t>구조물의 상부의 영구배수 지선 설치간격 조정</t>
  </si>
  <si>
    <t xml:space="preserve">•	배수용 다발관 설치간격을 4m로 조정하여 배수계획을 최적화
공사비 절감 및 시공성 향상, 유지보수 비용 절감 기대
</t>
  </si>
  <si>
    <t>D/PM-PI-CE-1</t>
  </si>
  <si>
    <t>2102712</t>
  </si>
  <si>
    <t>개발사업팀</t>
  </si>
  <si>
    <t>김윤성</t>
  </si>
  <si>
    <t xml:space="preserve">박명진, 박재보, </t>
  </si>
  <si>
    <t>박명진</t>
  </si>
  <si>
    <t>개발/영업</t>
  </si>
  <si>
    <t>세금 및 부담금 절감방안</t>
  </si>
  <si>
    <t>사업 추진시 발생하는 세금 등 사전에 정확하게 산정 및 대응 통한 원가 절감</t>
  </si>
  <si>
    <t xml:space="preserve">(아이디어 인정, CFT 과제화 검토 중) 
사업 추진 시 발생하는 제세금 및부담금을 정확하게 산정하고
세금/부담금 절감 및 환급(납부 5년내 경정청구) 가능한 PJ발굴하여 사업이익 제고 
→ 추가로 절감 가능한  PJ가 현재 없어서 상정 보류  </t>
  </si>
  <si>
    <t>D/PM-PI-CE-2</t>
  </si>
  <si>
    <t>사업소(마케팅)</t>
  </si>
  <si>
    <t>2203995</t>
  </si>
  <si>
    <t>개발사업팀(사업소)</t>
  </si>
  <si>
    <t>김혜림</t>
  </si>
  <si>
    <t>제로 웨이스트 챌린지</t>
  </si>
  <si>
    <t>사내 탕비실에 텀블러 세척기 도입
주거 유상옵션 상품화 검토</t>
  </si>
  <si>
    <t>(제안 인정, 과제화 미채택) 지원팀에 전달하여 검토
※ LG myCup 세척기 B2B로 스타벅스, 학교, 오피스 등에 공급 중</t>
  </si>
  <si>
    <t>D/PM-PI-CE-3</t>
  </si>
  <si>
    <t>1100749</t>
  </si>
  <si>
    <t>박명기</t>
  </si>
  <si>
    <t>목표 분양률 기준 수립</t>
  </si>
  <si>
    <t xml:space="preserve">자체사업/도급사업 등 사업특성에 맞춰 목표 분양률 설정
분양가 심의 제도 신설하여 분양 목표 프로세스 확립 </t>
  </si>
  <si>
    <t>(제안 인정, 과제화 미채택) 목표 관리하기에 효율적일 수 있으나, 분양가 및 목표일정을 내부 심의로 정하기가 모호함. 분양승인 시 품의로 가능</t>
  </si>
  <si>
    <t>D/PM-PI-CE-4</t>
  </si>
  <si>
    <t>2201511</t>
  </si>
  <si>
    <t>박찬일</t>
  </si>
  <si>
    <t>모델하우스 활용하여 추가 광고 수익 확보</t>
  </si>
  <si>
    <t>모델하우스 내외부 공간을 활용하여 가전제품 광고 등의 추가 광고 수익 마련</t>
  </si>
  <si>
    <t>(제안 인정, 과제화 미채택) 홍보용 팝업스토어 처럼, MH 공간 분위기에 부합되는 광고 아이템이 있으면 가능하나, 공간 협소 등 CFT 부적합</t>
  </si>
  <si>
    <t>D/PM-PI-CE-5</t>
  </si>
  <si>
    <t>1300255</t>
  </si>
  <si>
    <t>유종선</t>
  </si>
  <si>
    <t>브랜드 홍보관 신설</t>
  </si>
  <si>
    <t>서울역북부역세권 MH건립 예산 활용하여 MUWA, FORENA 홍보관 상시 운영으로 재건축/고급주거 등 수주기회 확보</t>
  </si>
  <si>
    <t>(제안 인정, 과제화 미채택)  홍보관 있으면 수주에 도움은 되나, 신규PJ 수주 추진 건 수 대비 투자비/운영비 등을 감안해야 함</t>
  </si>
  <si>
    <t>D/PM-PI-CE-6</t>
  </si>
  <si>
    <t>2302222</t>
  </si>
  <si>
    <t>이경주</t>
  </si>
  <si>
    <t>비즈니스 출장 교통 편의 서비스 도입</t>
  </si>
  <si>
    <t xml:space="preserve">임직원 출장 시 기차, 항공 예약을 포탈사이트에서 진행하여 업무 간소화 및 비용절감 </t>
  </si>
  <si>
    <t>(제안 인정, 과제화 미채택) 출장 시 예약시스템 구축에 투자 필요 
코레일 어플 등 개별 사용 권장</t>
  </si>
  <si>
    <t>D/PM-PI-CE-7</t>
  </si>
  <si>
    <t>0601346</t>
  </si>
  <si>
    <t>장영기</t>
  </si>
  <si>
    <t>오픈 이노베이션 도입</t>
  </si>
  <si>
    <t xml:space="preserve">혁신 기술을 보유한 기업과의 협업을 통한 VE 및 신기술 개발 (삼성, 현대, 대우, 롯데건설 등 운영 중. 층간소음 차음재 등) </t>
  </si>
  <si>
    <t>(제안 인정, 과제화 미채택)  ESG 상생 관점에서 유용하나, 금번 미채택하고, 층간소음차음재 등 아이템이 현업으로 연결되는지 모니터링</t>
  </si>
  <si>
    <t>D/PM-PI-CE-8</t>
  </si>
  <si>
    <t>2201509</t>
  </si>
  <si>
    <t>정건희</t>
  </si>
  <si>
    <t>사업수지 공유 클라우드</t>
  </si>
  <si>
    <t>공유 클라우드 개설하여 사업수지 중복 검토 지양 및 검토 히스토리 공유를 통한 업무효율성 강화</t>
  </si>
  <si>
    <t>(제안 미인정) 유니파이어의 수주기회관리 시스템에 업로드 되고 있음</t>
  </si>
  <si>
    <t>D/PM-PI-CE-9</t>
  </si>
  <si>
    <t>LM업체 업무협약 체결</t>
  </si>
  <si>
    <t>상가 분양 리스크 햇지 및 신규 수주를 위해 임대대행업체와 업무협약 체결</t>
  </si>
  <si>
    <t>(제안 인정, 과제화 미채택) 임대대행업체와 업무협약 체결이 분양리스크 햇지 및 신규 수주로 연결될 가능성 낮고, PJ별로 진행하면 됨</t>
  </si>
  <si>
    <t>D/PM-PI-CE-10</t>
  </si>
  <si>
    <t>0400584</t>
  </si>
  <si>
    <t>조동성</t>
  </si>
  <si>
    <t>분양가 상한제 용역사 연간 계약 추진</t>
  </si>
  <si>
    <t>분양가 상한제 분양금액 시뮬레이션 용역이 수시로 필요한 바, 연간단가업체 선정하여 빠른 검토 및 용역비 절감</t>
  </si>
  <si>
    <t>(제안 인정, 과제화 미채택) 비용절감 효과 있으나, 분양가상한제 해당건수 축소되어 필요 시 개별 품의로 진행하는 방안이 적합함</t>
  </si>
  <si>
    <t>D/PM-PI-CE-11</t>
  </si>
  <si>
    <t>0300549</t>
  </si>
  <si>
    <t>탁지숙</t>
  </si>
  <si>
    <t>토지매매계약 체결 시점 및 조건 유의사항 숙지</t>
  </si>
  <si>
    <t>토지매매계약시 재산세 부과기준일 고려하여 가급적 6월1일 이후 계약하여 당해년도 재산세 절감 유도</t>
  </si>
  <si>
    <t>(제안 인정, 과제화 미채택)  CFT과제화 불필요. 해당팀에서 인지하면 됨</t>
  </si>
  <si>
    <t>D/PM-PI-CE-12</t>
  </si>
  <si>
    <t>1702541</t>
  </si>
  <si>
    <t>김정재</t>
  </si>
  <si>
    <t>도시개발사업 개발부담금 절감방안 검토</t>
  </si>
  <si>
    <t xml:space="preserve">개발부담금 비용 검증 업체로 지자체에 등록된 곳과 용역계약 체결하여, 부담금 절감 및 협상 우위 확보 </t>
  </si>
  <si>
    <t>(제안 인정, 과제화 미채택)  910번 과제와 통합</t>
  </si>
  <si>
    <t>D/PM-PI-CE-13</t>
  </si>
  <si>
    <t>2003026</t>
  </si>
  <si>
    <t>전략사업1팀</t>
  </si>
  <si>
    <t>남승훈</t>
  </si>
  <si>
    <t>로봇주차 도입으로 기존 주차장 면적 축소</t>
  </si>
  <si>
    <t>로봇주차시스템을 도입하여 주차장 면적 약30% 및 굴토깊이 축소하여 공사비 절감. 잠실PJ 외 대전, 수서PJ 등 적용 검토</t>
  </si>
  <si>
    <t>(제안 인정, 과제화 미채택)
로봇주차 신기술로 연면적 및 공사비 절감 효과.
잠실마이스PJ 설계에 적용 →  수서역세권PJ 검토했으나 적용 어려움</t>
  </si>
  <si>
    <t>D/PM-PI-CE-14</t>
  </si>
  <si>
    <t>1900018</t>
  </si>
  <si>
    <t>이지홍</t>
  </si>
  <si>
    <t>한화그룹 전용 AI 서비스(H-GPT) 개발</t>
  </si>
  <si>
    <t>당사(그룹) 임직원을 위한 AI를 도입하여 계열사 시너지, 정보 분석, 문서 작성 등 업무효율화</t>
  </si>
  <si>
    <t>(제안 인정, 과제화 미채택) 업무에 효율적이나, 금번 미채택하고, 관련 제안들을 통합 검토하여 회사차원의 보안/지원 가이드라인 필요</t>
  </si>
  <si>
    <t>D/PM-PI-CE-15</t>
  </si>
  <si>
    <t>2002019</t>
  </si>
  <si>
    <t>정진오</t>
  </si>
  <si>
    <t>복합개발사업 옥외광고사업 추진</t>
  </si>
  <si>
    <t>잠실PJ 등 옥외광고 진행 시, 대행사(수수료 약23%) 없이 광고주 대상 프로모션 등 직영하여 비용 절감</t>
  </si>
  <si>
    <t>(제안 인정, 과제화 미채택) 잠실PJ 등 운영사업의 오픈 준비 시점에 검토해 볼 여지 있음
※ 나인원한남 상업시설 (갤러리아에서 운영 중) 광고판 cash cow</t>
  </si>
  <si>
    <t>D/PM-PI-CE-16</t>
  </si>
  <si>
    <t>2201563</t>
  </si>
  <si>
    <t>차경원</t>
  </si>
  <si>
    <t xml:space="preserve">ECDA DB시스템의 영업·기획부서 활용 </t>
  </si>
  <si>
    <t>당사 circle 내 최근 오픈한 문서관리 ECDA 시스템에 영업·기획부서의 무형자산(정보 자료) 체계적으로 관리토록 활용도 제고</t>
  </si>
  <si>
    <t>(제안 인정, 과제화 미채택) PJ 관련 자료를 아카이빙 하면 후속 업무에 효율적. 본부 차원에서 팀별로 활용토록 독려토록 개발지원팀 협의 예정 (자료 보안 등 본부별 가이드라인 필요)</t>
  </si>
  <si>
    <t>D/PM-PI-CE-17</t>
  </si>
  <si>
    <t>0500171</t>
  </si>
  <si>
    <t>정비사업팀</t>
  </si>
  <si>
    <t>김은주</t>
  </si>
  <si>
    <t>건설 부동산시장 정보 파악 방안</t>
  </si>
  <si>
    <t>신문 구독료 절감 및 자원 낭비 개선, 게시판 (조간 신문 스크랩, 학회 등) 활성화를 통한 정보 공유 방안</t>
  </si>
  <si>
    <t>(제안 인정, 과제화 미채택) 964번 과제에 아이디어 제공
당사 써클에서 제공하는 기능 활용, 종이 신문구독 지양하여 원가 절감</t>
  </si>
  <si>
    <t>D/PM-PI-CE-18</t>
  </si>
  <si>
    <t>2100946</t>
  </si>
  <si>
    <t>권아람</t>
  </si>
  <si>
    <t>도시정비사업 실무 매뉴얼 수립으로 업무 효율성 제고</t>
  </si>
  <si>
    <t>정비사업 실무 매뉴얼 및 업무백서 작성/업데이트/공유를 통한 업무 효율성 제고</t>
  </si>
  <si>
    <t>(제안 인정, 과제화 미채택)
· 정비사업 특성 (총회 절차 복잡, 사업기간 장기화, 조합 위치 분산, 인원 변동 등)으로 업무 매뉴얼 필요  
· 유관부서 협업에 대한 구체적 개선방안이 도출되지 않아서 과제화 보류 →  정비사업실 내에서 진행 예정</t>
  </si>
  <si>
    <t>D/PM-PI-CE-19</t>
  </si>
  <si>
    <t>2003023</t>
  </si>
  <si>
    <t>정비사업팀(사업소)</t>
  </si>
  <si>
    <t>김태조</t>
  </si>
  <si>
    <t>브랜드 홍보관 상시 운영을 통한 홍보활동</t>
  </si>
  <si>
    <t>지역 거점(서울,부산,대전 등) 내 상시 홍보관을 운영하여 영업활동에 활용. 모델하우스 분양완료 후 홍보관으로 운영 방안</t>
  </si>
  <si>
    <t>(제안 인정, 과제화 미채택) 홍보관 있으면 수주에 도움은 되나, 신규PJ 수주 추진 건 수 대비 투자비/운영비 등을 감안해야 함</t>
  </si>
  <si>
    <t>D/PM-PI-CE-20</t>
  </si>
  <si>
    <t>0900308</t>
  </si>
  <si>
    <t>류동균</t>
  </si>
  <si>
    <t>수주를 위한 정비사업 사전 제안 기준 정립</t>
  </si>
  <si>
    <t>정비사업 영업력 제고를 위해 투심 전 단계의 사전 제안 가이드라인 (사업비 지원 조건, 대물변제안, 이주비, 금리 등) 정립</t>
  </si>
  <si>
    <t>(제안 인정, 과제화 미채택) 927번 과제 진행하며 선별 검토
투심 전 조합에 영업할 당사의 사전 제안 기준이 필요하나, 제시한 조건이 변동되는 우려가 있어서 가이드라인이 모호함</t>
  </si>
  <si>
    <t>D/PM-PI-CE-21</t>
  </si>
  <si>
    <t>1806237</t>
  </si>
  <si>
    <t>박진표</t>
  </si>
  <si>
    <t>수주활동 관련 한화그룹 임직원 지인 조사 체계화</t>
  </si>
  <si>
    <t>정비사업 수주를 위한 지인 조사 체계화 (ex. 수주 기여도에 따른 인사평가 반영 등 가점 부여)</t>
  </si>
  <si>
    <t>(제안 인정, 과제화 미채택) 필요 시 팀에서 보고하여 진행</t>
  </si>
  <si>
    <t>D/PM-PI-CE-22</t>
  </si>
  <si>
    <t>0600090</t>
  </si>
  <si>
    <t>우재희</t>
  </si>
  <si>
    <t>지하 주차장 기둥 디자인 변경</t>
  </si>
  <si>
    <t xml:space="preserve">주차장의 사각 기둥을 원 기둥으로 설계변경 시공하여 주차/출차 시 시야 확보 확대 및 디자인 제고 </t>
  </si>
  <si>
    <t>(제안 인정, 과제화 미채택) 건축구조 상 필요하여 단면 변경 불가함.
※ DL이앤씨 PC 현장에 주차/출자 시야각 확보를 위해 곡면 기둥 적용</t>
  </si>
  <si>
    <t>D/PM-PI-CE-23</t>
  </si>
  <si>
    <t>1202935</t>
  </si>
  <si>
    <t>인력운영의 선순환 구조 정착</t>
  </si>
  <si>
    <t>정비사업 특성 상 조합원 응대 및 인맥이 중요한 바, 노하우가 풍부한 고직급(55세 이상) 인력과 협업을 통해 업무 효율</t>
  </si>
  <si>
    <t>(제안 인정, 과제화 : 미채택) 필요 시 팀에서 개별 보고하여 진행</t>
  </si>
  <si>
    <t>D/PM-PI-CE-24</t>
  </si>
  <si>
    <t>2202704</t>
  </si>
  <si>
    <t>운암3단지 재건축 사업비</t>
  </si>
  <si>
    <t>이인원</t>
  </si>
  <si>
    <t>캘린더&amp;다이어리 영업용 신청 관련</t>
  </si>
  <si>
    <t>캘린더/다이어리를 인쇄소에서 정비사업소로 일괄 배송 대신 조합/개인에게 직배송</t>
  </si>
  <si>
    <t>(제안 미인정) 효과가 미비하고 인쇄소 업역과 맞지 않음</t>
  </si>
  <si>
    <t>D/PM-PI-CE-25</t>
  </si>
  <si>
    <t>1105681</t>
  </si>
  <si>
    <t>김경민</t>
  </si>
  <si>
    <t>AI를 활용한 부동산 시장 분석</t>
  </si>
  <si>
    <t>빅데이터 활용하여 부동산정책(대출규제, 정비사업 방안 변경 등), 신규 공급 지역의 적정 분양가 분석, 지역개발 영향 예측</t>
  </si>
  <si>
    <t>D/PM-PI-CE-26</t>
  </si>
  <si>
    <t>1205364</t>
  </si>
  <si>
    <t>김무성</t>
  </si>
  <si>
    <t>팀 별 사업 담당자 공식 배정</t>
  </si>
  <si>
    <t>현장PJ 유관부서별 담당자를 본부 지원팀에서 유관부서와 협의 후 일괄 배정하여 공지, 변경 시 알림, 도급 증액 인센티브</t>
  </si>
  <si>
    <t>(제안 인정, 과제화 미채택) 필요 시 팀에서 유관부서로 담당자 배정 업무 협조 요청</t>
  </si>
  <si>
    <t>D/PM-PI-CE-27</t>
  </si>
  <si>
    <t>김민수</t>
  </si>
  <si>
    <t>정비사업 사업수지 개선</t>
  </si>
  <si>
    <t>사업성 분석시 정비사업 건설조달금리 적용 기준 명확화, 내부 금리 변동시 분기별 업데이트</t>
  </si>
  <si>
    <t>(제안 인정, 과제화 미채택) 764번 과제 'FS 표준화 및 관리 프로세스 수립'에 통합하여 검토</t>
  </si>
  <si>
    <t>D/PM-PI-CE-28</t>
  </si>
  <si>
    <t>2102484</t>
  </si>
  <si>
    <t>김태일</t>
  </si>
  <si>
    <t>분양 광고홍보비 지역/권역별 통합 집행</t>
  </si>
  <si>
    <t xml:space="preserve">PJ별 광고홍보비 개별 발주 대신 통합 발주로 원가 절감 및 프로세스 개선 </t>
  </si>
  <si>
    <t>(제안 인정, 과제화 미채택) 필요 시 팀에서 홍보팀 등과 협의하여 진행</t>
  </si>
  <si>
    <t>D/PM-PI-CE-29</t>
  </si>
  <si>
    <t>2100475</t>
  </si>
  <si>
    <t>나영석</t>
  </si>
  <si>
    <t>업무 유관 직원의 인사평가 의무화</t>
  </si>
  <si>
    <t>인사평가 시 본인 해당 PJ의 타부서 직원의 인사평가 의무화를 통한 부서협업 극대화</t>
  </si>
  <si>
    <t>(제안 인정, 과제화 미채택) 인사팀에 의견 전달
제도개편 떄 시도했으나 실패함</t>
  </si>
  <si>
    <t>D/PM-PI-CE-30</t>
  </si>
  <si>
    <t>1202932</t>
  </si>
  <si>
    <t>노승환</t>
  </si>
  <si>
    <t>정비사업 사업시행인가 단계 中 원가절감 방안</t>
  </si>
  <si>
    <t>인허가 단계에서, 불필요한 마감재 및 동간 연결 브릿지 삭제 등을 조합 설득하여 원가절감</t>
  </si>
  <si>
    <t>(제안 인정, 과제화 미채택) 927번 과제에 통합하여 검토
인허가 단계 VE가능 아이템 PJ별로 선별 반영토록 매뉴얼화</t>
  </si>
  <si>
    <t>D/PM-PI-CE-31</t>
  </si>
  <si>
    <t>0700711</t>
  </si>
  <si>
    <t>박진한</t>
  </si>
  <si>
    <t>정비사업 고부가가치 창출을 위한 명품 특화 옵션</t>
  </si>
  <si>
    <t>당사의 수주 거점을 중심으로 정비사업 조합원 수요에 맞는 특화 상품군 (고부가가치 상품 옵션) 개발 필요</t>
  </si>
  <si>
    <t>(제안 인정, 과제화 미채택) 특화를 통한 고부가가치 전략의 구체적인 방안 필요</t>
  </si>
  <si>
    <t>D/PM-PI-CE-32</t>
  </si>
  <si>
    <t>지역거점 상설 주택전시관 개관</t>
  </si>
  <si>
    <t>경쟁 시공사들은 상설주택전시관을 운영 중인바, 당사도 상설 홍보를 할수 있는 주택전시관(모델하우스) 필요</t>
  </si>
  <si>
    <t>(제안 인정, 과제화  미채택) 홍보관 있으면 수주에 도움은 되나, 신규PJ 수주 추진 건 수 대비 투자비/운영비 등을 감안해야 함</t>
  </si>
  <si>
    <t>D/PM-PI-CE-33</t>
  </si>
  <si>
    <t>2200673</t>
  </si>
  <si>
    <t>서은수</t>
  </si>
  <si>
    <t>시장조사 및 분양대행용역 지역업체 활용</t>
  </si>
  <si>
    <t>해당 지역의 수요/공급 특성을 잘 이해하고, 실적이 우수한 지역업체를 선정하여 효율성 제고</t>
  </si>
  <si>
    <t>(제안 인정, 과제화  미채택) PJ별로 필요 시점에 마케팅팀과 협의하여 진행</t>
  </si>
  <si>
    <t>D/PM-A/F-CE-1</t>
  </si>
  <si>
    <t>1500187</t>
  </si>
  <si>
    <t>정비사업관리팀</t>
  </si>
  <si>
    <t>안성민</t>
  </si>
  <si>
    <t>박명진, 고한울, 김태용</t>
  </si>
  <si>
    <t>유상옵션 선택 세분화를 통한 유상옵션 계약률 제고</t>
  </si>
  <si>
    <t xml:space="preserve">유상옵션 희망 시, 색상/재질 등 세부스펙도 선택 가능토록 하여 옵션계약률 제고  </t>
  </si>
  <si>
    <t xml:space="preserve">(제안 인정, 과제화 미채택) 수분양자의 만족도 상승이 예상되는 반면, 옵션 다양화로 인한 현장 시공성 우려 </t>
  </si>
  <si>
    <t>D/PM-A/F-CE-2</t>
  </si>
  <si>
    <t>2202478</t>
  </si>
  <si>
    <t>이용민</t>
  </si>
  <si>
    <t>단위세대 빌트인 의류관리기(스타일러) 유상옵션</t>
  </si>
  <si>
    <t>외부 유해물질을 현관에서 즉시 제거할 수 있도록 현관(신발장 또는 펜트리)에 스타일러 설치하여 유상옵션으로 제공</t>
  </si>
  <si>
    <t xml:space="preserve">(제안 인정, 과제화 미채택) 
디자인팀 검토 의견 : 기 시행했으나 선택률 낮아서 공간 마련으로 적용 중 </t>
  </si>
  <si>
    <t>D/PM-A/F-CE-3</t>
  </si>
  <si>
    <t>2201512</t>
  </si>
  <si>
    <t>이진호</t>
  </si>
  <si>
    <t>단위세대 육아를 위한 층간소음매트 유상옵션</t>
  </si>
  <si>
    <t>시중 제품들과 차별화된 디자인과 차음성을 고려한 층간소음매트 유상옵션으로 제공</t>
  </si>
  <si>
    <t xml:space="preserve">(제안 인정, 과제화 미채택) 
디자인팀 검토 의견 : 시중에서 구입하여 단순 설치 가능한 항목임 </t>
  </si>
  <si>
    <t>D/PM-PI-CE-34</t>
  </si>
  <si>
    <t>2100476</t>
  </si>
  <si>
    <t>이현종</t>
  </si>
  <si>
    <t>현장준비팀 업그레이드</t>
  </si>
  <si>
    <t xml:space="preserve">착공 전 인허가, 철거계획서 검토, 철거감리 응대 등 기술적인 부분에 대하여 조합과 착공 전 사전협의 진행 </t>
  </si>
  <si>
    <t>(제안 인정, 과제화 미채택) 건축지원팀에서 판단한 적정 시점에 인원 투입</t>
  </si>
  <si>
    <t>D/PM-PI-CE-35</t>
  </si>
  <si>
    <t>1801789</t>
  </si>
  <si>
    <t>천재영</t>
  </si>
  <si>
    <t>주차로봇 도입</t>
  </si>
  <si>
    <t>경쟁사 대비 차별화 아이템으로 주차로봇 (현대WIA, HI만도 등) 제공, 주차장 면적 개선 홍보</t>
  </si>
  <si>
    <t>(제안 인정, 과제화 미채택) 922번 과제에 통합하여 검토
'24년 준공한 성수 팩토리얼 오피스빌딩 주차장에 '현대위아' 도입</t>
  </si>
  <si>
    <t>D/PM-PI-CE-36</t>
  </si>
  <si>
    <t>1104084</t>
  </si>
  <si>
    <t>최명호</t>
  </si>
  <si>
    <t>조합과 공사비 증액 협상을 위한 사전검토 프로세스 정립</t>
  </si>
  <si>
    <t>증액공사비 협상 착수 전, 발주처(조합원들)의 눈높이에 맞추어 공사비 변동내역에 대한 자료를 CFT를 통해 함께 준비</t>
  </si>
  <si>
    <t>(제안 인정, 과제화 미채택) 927번 과제에 통합하여 검토
마포공덕현대 재건축PJ 등 도급계약변경을 위해 필요</t>
  </si>
  <si>
    <t>CO/D-PI-CE-25</t>
  </si>
  <si>
    <t>단지내 차량 통행구간 차도블럭 설계 변경</t>
  </si>
  <si>
    <t>단지 차도블럭 설계시
개선 前
원지반+T150잡석다짐+T40모래+T80인조화강석블럭(투수) 설계 
개선 後
원지반+T150잡석+T100버림CON’C(25-18)+와이어메쉬+T40모래+ 
T80인조화강석블럭(투수) 설계</t>
  </si>
  <si>
    <t>현장 선시공 수행</t>
  </si>
  <si>
    <t>CO/I-PI-CE-30</t>
  </si>
  <si>
    <t>주요자재 품질시험(외부의뢰) 지역별 연간단가 적용</t>
  </si>
  <si>
    <t>지역별로 주요자재의 연간단가를 공신력있는 시험기관과 책정하여 현장 품질업무에 도움을 줄 수 있다.
(주요자재 : 흙막이가시설, 콘크리트용골재류, 철근, 가설기자재, 단열재, 철골자재)</t>
  </si>
  <si>
    <t>824번 아이디어와 중복(중복제출로 판단 됨)</t>
  </si>
  <si>
    <t>D/PM-PI-CE-37</t>
  </si>
  <si>
    <t>2100945</t>
  </si>
  <si>
    <t>홍대림</t>
  </si>
  <si>
    <t>포레나 케어 서비스를 통한 브랜드 가치 제고</t>
  </si>
  <si>
    <t>포레나 아파트 유지보수/리모델링 서비스 (ex. GS건설 하임랩), 입주자 매월 일정 구독료 지불 방식</t>
  </si>
  <si>
    <t xml:space="preserve">(제안 인정, 과제화 미채택) 참고사례 (GS건설 자회사 하임랩 - 아파트 개별 리모델링 공사) 수익성, 민원 대응 등 운영 동향 장기간 모니터링 후 필요시 재검토 </t>
  </si>
  <si>
    <t>D/PM-PI-CE-38</t>
  </si>
  <si>
    <t>2201567</t>
  </si>
  <si>
    <t>건축영업팀</t>
  </si>
  <si>
    <t>김동영</t>
  </si>
  <si>
    <t>책임준공형 PM 용역사업 발굴</t>
  </si>
  <si>
    <t>신탁사에서 PF 책준확약 하는 PJ에서 당사가 PM역할 수행, 시공이익 대신 PM용역수수료 수익</t>
  </si>
  <si>
    <t>(제안 인정, 과제화 미채택) 시공사의 신사업구도로 검토되고 있으나, 용역비 규모, 품질관리 등의 이슈가 있음
※ 은평 시니어레지던스PJ : 현대건설 책준PM, 동원건설 시공 사례</t>
  </si>
  <si>
    <t>D/PM-PI-CE-39</t>
  </si>
  <si>
    <t>0700714</t>
  </si>
  <si>
    <t>김상우</t>
  </si>
  <si>
    <t>Critical Path공사 공기지연 RISK 경감방안</t>
  </si>
  <si>
    <t>하도급사 이슈로 책준 지연되어 지체상금 발생하는경우, 하도급사에 청구 가능토록 하도급계약 시 조건 반영하여 계약</t>
  </si>
  <si>
    <t>(제안 인정, 과제화 미채택) 하도급 관련 법 이슈 등으로 청구가 쉽지 않음</t>
  </si>
  <si>
    <t>D/PM-TF-CE-1</t>
  </si>
  <si>
    <t>1105671</t>
  </si>
  <si>
    <t>김종호</t>
  </si>
  <si>
    <t xml:space="preserve">박명진, 박준용, </t>
  </si>
  <si>
    <t>계단실 난간대 설치 기준안 확립</t>
  </si>
  <si>
    <t xml:space="preserve">가설안전난간에서 타일시공을 하며본 공사용 난간대로 넘어가는 시점(해체된 시점)의 안전문제를 예방하고자, 안전난간대 존치를 통해 안전관리 및 이중작업 최소화 </t>
  </si>
  <si>
    <t xml:space="preserve">(제안 미인정) 기제출 아이디어 중복
※ 129번(난간대 통합발주 및 연간단가) 승인과제,  425번 아이디어  </t>
  </si>
  <si>
    <t>D/PM-ID/Z-CE-1</t>
  </si>
  <si>
    <t>노영우</t>
  </si>
  <si>
    <t>회사용 차량 활용도 개선</t>
  </si>
  <si>
    <t>법인차량 축소 운영으로 렌트비용 감소 및 임원 차량 활용</t>
  </si>
  <si>
    <t>(제안 미인정) 업무용 차량 필요함</t>
  </si>
  <si>
    <t>퇴사 (계열사 전배)</t>
  </si>
  <si>
    <t>D/PM-E-CE-1</t>
  </si>
  <si>
    <t>박영준</t>
  </si>
  <si>
    <t xml:space="preserve">박명진, 오정화, </t>
  </si>
  <si>
    <t>직류 전력시스템 데이터센터 도입</t>
  </si>
  <si>
    <t>DC 전력시스템 도입으로 한전과 특별공급계약 체결하여 추가전력 확보, PUE 개선 및 정부지원금 확보 추진</t>
  </si>
  <si>
    <t>아이디어 제안자 퇴사 (계열사 전배) → CFT 리더 건축전기팀 김재구 과장 
(제안 인정, 과제화 채택, CFT 구성 예정) 
DC 전력시스템 도입으로 Y-eDC 한전 특별공급계약 체결하여 추가전력 0.5~1.0MW 확보 시 추가 수익 100~200억 예상되어 중점과제 추진</t>
  </si>
  <si>
    <t>D/PM-PI-CE-40</t>
  </si>
  <si>
    <t>1703071</t>
  </si>
  <si>
    <t>윤상원</t>
  </si>
  <si>
    <t>공용부 커피머신 관리체계 확보</t>
  </si>
  <si>
    <t>커피머신에 청소, 교체시기 등의 체크리스트 부착</t>
  </si>
  <si>
    <t>(제안 미인정) 복지 관련 내용. 지원팀에 전달</t>
  </si>
  <si>
    <t>D/PM-PI-CE-41</t>
  </si>
  <si>
    <t>0900291</t>
  </si>
  <si>
    <t>이혁</t>
  </si>
  <si>
    <t>IOT를 활용한 회사 자산 전산화</t>
  </si>
  <si>
    <t>IOT 시스템 도입으로 QR코드 부착, 분실물 관리 및 안전사고 예방 등 회사 자산관리</t>
  </si>
  <si>
    <t>(제안 인정, 과제화 미채택) 소액자산 관리시스템 과제에 연동하여 검토</t>
  </si>
  <si>
    <t>D/PM-PI-CE-42</t>
  </si>
  <si>
    <t>기술제안서 작성 업체 연간단가 계약</t>
  </si>
  <si>
    <t xml:space="preserve">기술제안서 작성 용역업체 연단가 계약하여 비용 절감, 시간 단축, 업무 효율 </t>
  </si>
  <si>
    <t>(제안 인정, 과제화 미채택) 필요 시 팀에서 품의로 진행</t>
  </si>
  <si>
    <t>D/PM-PI-CE-43</t>
  </si>
  <si>
    <t>정기혁</t>
  </si>
  <si>
    <t>데이터센터 설계 표준안 작성</t>
  </si>
  <si>
    <t>글로벌 CSP, 국내 금융사 등의 니즈와 당사 노하우를 반영한 데이터센터 설계표준안 작성</t>
  </si>
  <si>
    <t>(제안자 퇴사로 미인정) Cloud Service Provider별로 각각 특성이 있어서, 후속 PJ에 활용도 높은 설계 표준안 작성이 가능한지 검토 필요</t>
  </si>
  <si>
    <t>D/PM-A/F-CE-4</t>
  </si>
  <si>
    <t>0500172</t>
  </si>
  <si>
    <t>인경은</t>
  </si>
  <si>
    <t>공동주택 주방가구 中 냉장고 장 삭제</t>
  </si>
  <si>
    <t>기본품목으로 제공되는 냉장고장 삭제를 통한 원가절감</t>
  </si>
  <si>
    <t>(제안 인정, 과제화 미채택) 
디자인팀 검토 의견 : 상품성을 위해 냉장고 상부장 기본 제공 필요</t>
  </si>
  <si>
    <t>D/PM-PI-CE-44</t>
  </si>
  <si>
    <t>2303172</t>
  </si>
  <si>
    <t>전략사업2팀</t>
  </si>
  <si>
    <t>육다빈</t>
  </si>
  <si>
    <t xml:space="preserve">패밀리데이 시행 제안 </t>
  </si>
  <si>
    <t>조기 퇴근 제도를 시행하고 점진적으로 주 4일제 도입</t>
  </si>
  <si>
    <t>(제안 인정, 과제화 미채택) 복지 관련 내용. 인사운영팀에 의견 전달
※ 에어로스페이스 : 주40시간 만근 시 금요일 오후 유연근무</t>
  </si>
  <si>
    <t>D/PM-ID/Z-CE-2</t>
  </si>
  <si>
    <t>1702426</t>
  </si>
  <si>
    <t>이승배</t>
  </si>
  <si>
    <t>명함 정보 간소화 및 QR 활용을 통한 명함 인쇄비 절감</t>
  </si>
  <si>
    <t>명함 인쇄 대신 이미지파일 제공으로 비용 절감. 또한 QR 코드 활용을 통해 직접 업데이트 가능 (2천명 기준 6천만원/년)</t>
  </si>
  <si>
    <t>(제안 인정, 과제화 미채택) 지원팀에 의견 전달</t>
  </si>
  <si>
    <t>D/PM-PI-CE-45</t>
  </si>
  <si>
    <t>2202366</t>
  </si>
  <si>
    <t>이정환</t>
  </si>
  <si>
    <t>상업시설(리테일) 체험단 운영</t>
  </si>
  <si>
    <t xml:space="preserve">리테일 성공/실패사례 탐방을 실시하고 간략한 보고서를 작성/공유하여 운영 역량 강화 </t>
  </si>
  <si>
    <t>(제안 인정, 과제화 미채택)
국내 상업시설 성공/실패사례 답사하여 도출한 시사점 → 해당 PJ 관련자 간 공유</t>
  </si>
  <si>
    <t>D/PM-PI-CE-46</t>
  </si>
  <si>
    <t>0300539</t>
  </si>
  <si>
    <t>이지형</t>
  </si>
  <si>
    <t>Chat GPT, Copliot, Perplexity 등 open AI (대화형 인공지능) 기업용 계정(유료) 활용</t>
  </si>
  <si>
    <t>Open AI 유료 서비스 지원으로, 자료작성 시간 절감, 검토 수준 향상 등 업무 효율성 증가</t>
  </si>
  <si>
    <t>D/PM-PI-CE-47</t>
  </si>
  <si>
    <t>1703072</t>
  </si>
  <si>
    <t>전창현</t>
  </si>
  <si>
    <t>임직원 제2외국어 전문화</t>
  </si>
  <si>
    <t>영어 교육을 통해 외국어 가능한 직원 양성, 통/번역 비용 절감</t>
  </si>
  <si>
    <t xml:space="preserve">(제안 인정, 과제화 미채택) 인사운영팀과 협의 예정 </t>
  </si>
  <si>
    <t>D/PM-PI-CE-48</t>
  </si>
  <si>
    <t>2000478</t>
  </si>
  <si>
    <t>정창환</t>
  </si>
  <si>
    <t>개발사업 투자심의 PJ 검토의견 R&amp;R 준수</t>
  </si>
  <si>
    <t xml:space="preserve">투자심의에서 심의위원별 R&amp;R에 맞는 PJ에 대한 검토의견 개진 </t>
  </si>
  <si>
    <t>(제안 인정, 과제화 미채택) 기획팀에 의견 전달 예정</t>
  </si>
  <si>
    <t>IN/C-PI-CE-49</t>
  </si>
  <si>
    <t>2400670</t>
  </si>
  <si>
    <t>허성민</t>
  </si>
  <si>
    <t>현전직 근로자 계약정보 내 이메일 정보 추가 건</t>
  </si>
  <si>
    <t>근로계약 체결 시 기존에는 연락처를 휴대전화만 또는 공란으로 시스템에 반영. 개선 후에는 정직과 동일하게 연락처를 이메일과 휴대전화 모두 취합하여 노무관리 시스템에 반영</t>
  </si>
  <si>
    <t>(아이디어 인정, 과재 미채택) 현장전문직 퇴직 시 발생하는 문제점으로 인사팀에 내용 전달 후 개선 가능할 것으로 판단됨, TOP과제로는 부적합</t>
  </si>
  <si>
    <t>IN/C-PI-CE-50</t>
  </si>
  <si>
    <t>판관비 중 통제성경비 장부 분기별 상쇄 건</t>
  </si>
  <si>
    <t>각 부서별 법인카드 결산 시 분기별로 장부내역 상쇄</t>
  </si>
  <si>
    <t>(아이디어 미채택) 장부 사용에 대해서도 부적정하며, TOP 추진과제로는 부적합하여 아이디어 채택이 어렵습니다.</t>
  </si>
  <si>
    <t>IN/C-PI-CE-51</t>
  </si>
  <si>
    <t>선급금정산 누락 방지 알림서비스 건</t>
  </si>
  <si>
    <t>법인카드 및 미정리 예수금의 메일링 서비스와 같이 메일링 또는 EA 내 알림 서비스 도입하거나 선급금 전표만 굵은글씨, 색상 등으로 표기</t>
  </si>
  <si>
    <t>(아이디어 인정, 과재 미채택) 852번 아이디어와 유사함</t>
  </si>
  <si>
    <t>CO/D-PI-CE-26</t>
  </si>
  <si>
    <t>현장 컨테이너 구매</t>
  </si>
  <si>
    <t xml:space="preserve">개선 전 : 현장 컨테이너 연간 단가 업체 임대 가격 높음
개선 후 : 연간 단가 추가 협상 or 구매 사용,준공 후 타 현장 이관 </t>
  </si>
  <si>
    <t>외주팀 가설사무실 축조공사 검토 要</t>
  </si>
  <si>
    <t>EN/S-A/S-CE-56</t>
  </si>
  <si>
    <t>2102474</t>
  </si>
  <si>
    <t>이동기</t>
  </si>
  <si>
    <t>RC EV PIT에서 강재 EV PIT로 변경</t>
  </si>
  <si>
    <t>강재 EV PIT제품을 현장에 적용 하여 주자재(철근, 콘크리트) 비용 절감 및 EV PIT기초 벽체 일체 타설로 공기, 원가 절감.</t>
  </si>
  <si>
    <t>아이디어 인정, 과제 미채택 
(사유 : 현장 TOP 절감)</t>
  </si>
  <si>
    <t>CO/D-ID/H-CE-21</t>
  </si>
  <si>
    <t>안전용품 및 시설물 개발</t>
  </si>
  <si>
    <t>- 자체 보호구 및 안전시설물을 개발, 제작 후 특허 또는 실용신안 취득
제작사 또는 유통업체와 협업하여 당사 전량 구매 및 각 개발품에 대해 일정 비율의 로열티 취득</t>
  </si>
  <si>
    <t>안전 보호구 및 안전화, 안전밸트 자체 제작 아이디어
기성품 대비 검토 필요</t>
  </si>
  <si>
    <t>CO/D-ID/H-CE-22</t>
  </si>
  <si>
    <t>0700697</t>
  </si>
  <si>
    <t>조형호</t>
  </si>
  <si>
    <t>PE방호벽 현장간 유용</t>
  </si>
  <si>
    <t>•	(현장별 구매) 개별 현장별 필요한 PE방호벽 구매 및 유용
•	(현장간 유용) PE방호벽 수요발생시 유용가능한 물량 게시판 확인 후 구매
•	(게시글 예시)
- 제목 : PE방호벽 250개 유용합니다
- 현장명 : OOOO 건설공사
- 현장위치 : 충북 청주
- 제품명 : PE방호벽
- 구입시기 : 1년 이상 2년 이하
- 유용가능수량 : 250개
- 특이사항 : 상하차비 및 운반비 부담 조건</t>
  </si>
  <si>
    <t>소액자산 관리 프로세스 활용 가능
중복 고민(안전용품 전반 활용)</t>
  </si>
  <si>
    <t>EN/EX-PI-CE-4</t>
  </si>
  <si>
    <t>0900279</t>
  </si>
  <si>
    <t>노대혁</t>
  </si>
  <si>
    <t>민간 건축공사 등의 설계 검토 참여를 통한 과설계 방지</t>
  </si>
  <si>
    <t>최초 입찰/계약 시 설계 과정에 당 사의 검토가 가능하도록 조항 반영(법무/사업 검토 必), 계약 이후 설계사의 설계 과정을 점검할 수 있는 담당자(지원/견적 및 당 현장 직원 등) 지정하여 과설계 및 현장 적용성 등 검토하여 설계 확정 전 사전 조율 수행</t>
  </si>
  <si>
    <t>현실적으로 과제화 불가
- 주요한 제안사항이나, 사실상 수주 전(도급계약) 설계사 관리권 등 발주처
고유 권한에 대한 당사 개입 불가</t>
  </si>
  <si>
    <t>EN/M-M-CE-45</t>
  </si>
  <si>
    <t>1103495</t>
  </si>
  <si>
    <t>김영찬</t>
  </si>
  <si>
    <t>에어컨 추가옵션을 통한 매출증대방안</t>
  </si>
  <si>
    <t>에어컨 실내기 옵션의 다양화를 통한 고객만족과 매출증대 창출
개선전 : 에어컨 옵션 중 실내기 판넬 선택사항 없음
개선후 : 프리미엄급실내기 판넬 추가를 통한 선택지 다양화</t>
  </si>
  <si>
    <t>옵션 다양화를 통한 이익개선으로 과제화 검토필요/기존 옵션 진행 품목임</t>
  </si>
  <si>
    <t>CO/Z-PI-CE-40</t>
  </si>
  <si>
    <t>1502613</t>
  </si>
  <si>
    <t>박한영</t>
  </si>
  <si>
    <t>문서 정례화를 통한 업무 효율화</t>
  </si>
  <si>
    <t>개선 전: 전 현장의 품의 양식은 크게 상이하지 않게 관리되고 있으나 개별 품의 시 양식 복사/붙여넣기 또는 기존 품의서를 재활용해서 사용하고 있음. 또한 업무를 신규로 수행 또는 경력자의 경우 현장부서문서함 또는 본사 요청 등 구두/개인 스터디를 통한 업무적인 Loss가 발생됨.
개선 후: 
1) 공통/본부/기타 양식의 Circle 품의 양식화
-	업무에 국한하지말고, 현장/본사 업무 수행에 따른 서류 전산화 목적과 함께 정례화 시행
Ex) 외주 업체 선정요청/변경계약/정산 요청, 현안보고 등
※ 시행중인 참조 양식 : 인프라 선시행공사 등등
2) 개별 양식/품의 목적 및 집행규모 등에 따른 자동 전결선 적용
   (Circle/Unifier 등)
- 자동전결선 이후 기안자 또는 본사담당에 의해 전결선 재조정 가능하게 한다면, 담당자 변경 또는 필요시 변경(추가 협조/수신 설정 용이)
Ex) 집행 기준에 따른 현장소장(팀장)/담당임원/본부장/대표이사 전결 기준 상이
※	업무공통(사용자계정관리) : 담당별 자동전결선 반영(참조)</t>
  </si>
  <si>
    <t>본부별 현장에서 자주 사용하는 양식 서클 전자결재화.
과거 한번 추진했었던 적 있었음. 다시 할떄가 되긴 했음. 
DT에 건의해볼까 함</t>
  </si>
  <si>
    <t>CO/D-PI-CE-27</t>
  </si>
  <si>
    <t>1803693</t>
  </si>
  <si>
    <t>장준호</t>
  </si>
  <si>
    <t>현장별 커플러 적용 Process 수립으로 인한 원가 절감</t>
  </si>
  <si>
    <t>&lt;커플러 적용 Proces&gt;
1.	첨부파일 커플러 적용 계산기(첨부1) 통한 검토
2.	철근이음당 금액 / 커플러시공금액 비교
3.	현장 원가 절감 추진 
4.	(현장)도급 : ESC 청구하여 도급금액 증액 
5.	(현장)원가 : 커플러 VE를 통한 원가상승 방어
6.	(본사,구매팀): 커플러 수요 확인 후 판단결정(추가절감가능)</t>
  </si>
  <si>
    <t>아이디어 인정, 과제 미채택 
(사유 : TOP Day Check List  포함된 내용)</t>
  </si>
  <si>
    <t>D/PM-PI-CE-49</t>
  </si>
  <si>
    <t>2102711</t>
  </si>
  <si>
    <t>주택사업팀</t>
  </si>
  <si>
    <t>김성준</t>
  </si>
  <si>
    <t>역량개발시간 관련 교육 및 교육비 절감 등 추진</t>
  </si>
  <si>
    <t>역량개발 교육시간 관련, 불필요한 사외위탁교육 지양으로 교육비 절감. 사내 연간 교육 프로그램 사전 안내 필요</t>
  </si>
  <si>
    <t>(제안 인정, 과제화 미채택) 인사팀과 협의 예정</t>
  </si>
  <si>
    <t>D/PM-ID/Z-CE-3</t>
  </si>
  <si>
    <t>0700726</t>
  </si>
  <si>
    <t>김진섭</t>
  </si>
  <si>
    <t>본사 화장실 핸드티슈 제거 (핸드드라이어 교체)</t>
  </si>
  <si>
    <t>화장실에 핸드티슈 제거하고 기 설치된 핸드드라이어 사용</t>
  </si>
  <si>
    <t>(제안 미인정) 핸드드라이어 소음, 대기시간 등 장단점 있음</t>
  </si>
  <si>
    <t>D/PM-E-CE-2</t>
  </si>
  <si>
    <t>0500555</t>
  </si>
  <si>
    <t>이성철</t>
  </si>
  <si>
    <t>포레나 야간 바닥형 태양광모듈 조명 특화특허 제품 개발</t>
  </si>
  <si>
    <t>태양광 바닥 발전시설을 통한 포레나 광장/놀이터/보행가로 디자인 특화, 계열사 협업으로 포레나 야간 조명 특허 등록 상품화</t>
  </si>
  <si>
    <t>(제안 인정, 과제화 미채택) 그린솔루션TFT, 건축전기팀과 협의 예정</t>
  </si>
  <si>
    <t>D/PM-A/F-CE-5</t>
  </si>
  <si>
    <t>조민기</t>
  </si>
  <si>
    <t>단위세대 무상옵션 및 시공 Spec 점검</t>
  </si>
  <si>
    <t xml:space="preserve">아이템별 실행 금액 검토 및 타사 M/H 벤치마킹하여 당사 기준 기본 Spec 재정립 등을 통해 원가율 개선 방안 마련 </t>
  </si>
  <si>
    <t>(제안 인정, 과제화 미채택) 디자인팀 검토 의견 : 타사 데이터 분석하여 옵션 상품 체계 검토 진행 중</t>
  </si>
  <si>
    <t>D/PM-PI-CE-50</t>
  </si>
  <si>
    <t>1601830</t>
  </si>
  <si>
    <t>조혜진</t>
  </si>
  <si>
    <t>사업관리 메일링 서비스 도입</t>
  </si>
  <si>
    <t>사업관리 메일링 서비스 (세금/보험/분담금 분할납부 및 재계약시점 도래 시) 누락 최소화. 업무 인수인계 시 메일 주소 변경</t>
  </si>
  <si>
    <t xml:space="preserve">(제안 인정, 과제화 미채택) 개발지원팀과 협의 예정 (알람 필요한 프로세스 취합, 필요시 개발지원팀에서 DT팀과 협의) </t>
  </si>
  <si>
    <t>D/PM-PI-CE-51</t>
  </si>
  <si>
    <t>2201562</t>
  </si>
  <si>
    <t>개발지원팀</t>
  </si>
  <si>
    <t>문정관</t>
  </si>
  <si>
    <t>정보 수집을 위한 스크래핑 활용</t>
  </si>
  <si>
    <t xml:space="preserve">생성형 스크래핑 활용을 통해 업무 효율 제고 </t>
  </si>
  <si>
    <t>(제안 인정, 과제화 미채택) 당사 업무 상 활용빈도가 낮을 것으로 예상됨
※ 리멤버 어플의 명함 스캔 같은 기능. 사용 빈도가 높으면 유용함</t>
  </si>
  <si>
    <t>D/PM-A/F-CE-6</t>
  </si>
  <si>
    <t>1205385</t>
  </si>
  <si>
    <t>박진희</t>
  </si>
  <si>
    <t>아파트 옵션 추가</t>
  </si>
  <si>
    <t>창문 블라인드, 자외선 차단용 미러필름 등 유상옵션 품목화</t>
  </si>
  <si>
    <t>(제안 인정, 과제화 미채택) 
디자인팀 검토 의견 : 미러필름은 빛공해 유발하여 적용 불가, 열차단 효과 있는 스마트필름 유상 옵션 검토 중</t>
  </si>
  <si>
    <t>D/PM-PI-CE-52</t>
  </si>
  <si>
    <t>1300235</t>
  </si>
  <si>
    <t>백용운</t>
  </si>
  <si>
    <t>구매계약 공통공구 면세율 선택</t>
  </si>
  <si>
    <t>코드에 설정된 면세율에 의거 부가세 불공제 일괄 처리 개선토록, 구매계약별 면세율 선택 옵션 유니파이어 기능 추가</t>
  </si>
  <si>
    <t xml:space="preserve">(제안 인정, 과제화 미채택) 1단지/2단지 각각 별도의 사업승인 득한 천안 노태(준공 완료), 대전 학하 현장에 해당. 해당 현장이 많지 않아서 절감효과 미비  </t>
  </si>
  <si>
    <t>D/PM-A/F-CE-7</t>
  </si>
  <si>
    <t>1002928</t>
  </si>
  <si>
    <t>안영균</t>
  </si>
  <si>
    <t>임대리즈 운영세대 가전제품 렌탈 서비스</t>
  </si>
  <si>
    <t xml:space="preserve">가전제품 렌탈서비스 제공하여 임대아파트 만족도 높이고, 렌탈비용 법인세액 공제로 세금 절감 가능 </t>
  </si>
  <si>
    <t xml:space="preserve">(제안 인정, 과제화 미채택) 가전제품 렌탈서비스 시장 확대 예상, 당사 참여여지에 대한 모니터링 필요   
※ 기준 : '25년 1분기 제안내용 간 중복 시 제안포상지급 </t>
  </si>
  <si>
    <t>D/PM-A/F-CE-8</t>
  </si>
  <si>
    <t>1504603</t>
  </si>
  <si>
    <t>이세엽</t>
  </si>
  <si>
    <t>주거상품 유상옵션(실링팬&amp;다운라이트) 도입</t>
  </si>
  <si>
    <t>거실 천장 실링팬&amp;다운라이트 유상옵션 도입</t>
  </si>
  <si>
    <t>(제안 인정, 과제화 미채택) 디자인팀 검토 의견 : 실링팬 유상옵션 판매 중. TOP 과제화 진행 중인 제로에너지 조명 변경과 관련하여 거실 우물천장 매입 등과 세트 유상옵션 검토 중</t>
  </si>
  <si>
    <t>D/PM-PI-CE-53</t>
  </si>
  <si>
    <t>2203159</t>
  </si>
  <si>
    <t>임민태</t>
  </si>
  <si>
    <t>전표 복사 기능 도입의 건</t>
  </si>
  <si>
    <t xml:space="preserve">거래처 정보, 임대료 등 매월 유사한 내용이 반복되는 전표 복사 기능 도입하여 업무 효율
</t>
  </si>
  <si>
    <t xml:space="preserve">(제안 인정, 과제화 미채택) DT팀 검토 의견 : 매출/매입세금계산서 전표 발행은 국세청 전자세금계산 시스템과의 연동으로 인해, 스마트빌 등 검토 후 가능할 것으로 보임 </t>
  </si>
  <si>
    <t>D/PM-A/F-CE-9</t>
  </si>
  <si>
    <t>0600612</t>
  </si>
  <si>
    <t>임한빈</t>
  </si>
  <si>
    <t>보안강화된 스마트도어락 옵션</t>
  </si>
  <si>
    <t>보안강화된 스마트도어락 유상옵션 도입</t>
  </si>
  <si>
    <t xml:space="preserve">(제안 인정, 과제화 미채택) 디자인팀 검토 의견 : 검토 가능하나 기 계약된 공종과 호환성 검토 필요 </t>
  </si>
  <si>
    <t>D/PM-PI-CE-54</t>
  </si>
  <si>
    <t>1700066</t>
  </si>
  <si>
    <t>장동윤</t>
  </si>
  <si>
    <t>기간별 원가 계획 관리시스템 개발</t>
  </si>
  <si>
    <t xml:space="preserve">현장별 계획/실적 추적 관리가 용이하고, 연간 사업계획 변동이 최소화되도록, 기간별 예상 원가 투입 추정의 정확도 개선 </t>
  </si>
  <si>
    <t>(제안 인정, 과제화 미채택) 
'FS 표준화 및 관리 프로세스 수립' CFT에 전달하여 반영 예정
사업비 관리시스템은 1180 과제로 진행</t>
  </si>
  <si>
    <t>D/PM-A/F-CE-10</t>
  </si>
  <si>
    <t>2100944</t>
  </si>
  <si>
    <t>강현구</t>
  </si>
  <si>
    <t>빌트인 정수기 유상옵션 도입</t>
  </si>
  <si>
    <t>빌트인 정수기 유상옵션</t>
  </si>
  <si>
    <t>(제안 인정, 과제화 미채택) 디자인팀 협의, 유상옵션 시행한 적 있으나 옵션 선택율이 낮아서 현재 미시행</t>
  </si>
  <si>
    <t>D/PM-A/F-CE-11</t>
  </si>
  <si>
    <t>1105735</t>
  </si>
  <si>
    <t>권오서</t>
  </si>
  <si>
    <t>비선호세대 특화계획을 통한 분양성 제고</t>
  </si>
  <si>
    <t xml:space="preserve">1~2인 가구용 평면, 펫 프렌들리, AI CCTV, 외부 창호 스마트 글라스(불투명 전환), 자동 블라인드 시스템 등 도입 검토 </t>
  </si>
  <si>
    <t>(제안 인정, 과제화 미채택) 디자인팀에서 기 검토</t>
  </si>
  <si>
    <t>D/PM-PI-CE-55</t>
  </si>
  <si>
    <t>2201564</t>
  </si>
  <si>
    <t>신형섭</t>
  </si>
  <si>
    <t>입주관련 개선을  통한 원가절감 및 입주자 만족도 향상</t>
  </si>
  <si>
    <t>입주 안내문 및 인수인계확인서 등 입주에 필요한 인쇄물을 PDF 및 E-BOOK으로 대체</t>
  </si>
  <si>
    <t>(제안 인정, 과제화 미채택) 중장년층 불편할 수 있고 비용 절감효과 미비</t>
  </si>
  <si>
    <t>D/PM-A/F-CE-12</t>
  </si>
  <si>
    <t>1204779</t>
  </si>
  <si>
    <t>유병윤</t>
  </si>
  <si>
    <t>AIoT 기반의 공간활용 주거 솔루션 도입</t>
  </si>
  <si>
    <t>BIM 같은 스마트 건설 역량 강화를 위해 프롭테크 스타트업 발굴
(ex. 포스코E&amp;C 스마트 모듈러 로보틱스 주거시스템 특허 출원)</t>
  </si>
  <si>
    <t>(제안 인정, 과제화 미채택) 타사 동향 장기간 모니터링 후 재검토
916번 (오픈 이노베이션), 951번, 996번(주거서비스) 등 유관 내용</t>
  </si>
  <si>
    <t>D/PM-PI-CE-56</t>
  </si>
  <si>
    <t>1103500</t>
  </si>
  <si>
    <t>오성엽</t>
  </si>
  <si>
    <t>FORENA 브랜드 가치 제고</t>
  </si>
  <si>
    <t xml:space="preserve">주거 서비스 우량 업체와 제휴를 통한 방식으로 주거 편의 서비스 제공하여 입주민 만족도 제고 </t>
  </si>
  <si>
    <t xml:space="preserve">(제안 인정, 과제화 미채택) 타사 동향 장기간 모니터링 후 재검토
삼성물산 홈닉 App 제공 가능 서비스 파악. 당사(충전기)-삼성(홈닉) MOU 사례처럼 GS 하임랩 등과  협업 방안 검토 </t>
  </si>
  <si>
    <t>D/PM-PI-CE-57</t>
  </si>
  <si>
    <t>0601375</t>
  </si>
  <si>
    <t>박태호</t>
  </si>
  <si>
    <t>주거시설에 대한 원가 표준화</t>
  </si>
  <si>
    <t>프로젝트 참여 검토시(특히 재건축 분야) 표준화 된 주거시설 원가를 활용하여 빠른 의사결정 진행</t>
  </si>
  <si>
    <t>(제안 인정, 과제화 미채택) 927번 과제 진행하며 건축견적팀과 협의 예정</t>
  </si>
  <si>
    <t>D/PM-PI-CE-58</t>
  </si>
  <si>
    <t>협력사 선정 외부 요청에 대한 대응방안 마련</t>
  </si>
  <si>
    <t>협력사 선정 외부 요청에 대한 초기 대응을 위한 공통 매뉴얼 구축 및 전파</t>
  </si>
  <si>
    <t xml:space="preserve">(제안 인정, 과제화 미채택) 외주팀과 협의하여, 매뉴얼이 필요한 정도의 빈도인지 파악 예정 </t>
  </si>
  <si>
    <t>IN/C-PI-CE-52</t>
  </si>
  <si>
    <t>1004647</t>
  </si>
  <si>
    <t>박형일</t>
  </si>
  <si>
    <t xml:space="preserve">개발사업(산업단지) 500억 이하 공사 수주 제한 해제 </t>
  </si>
  <si>
    <t>• 500억이하 우수사업(수도권 입지/자기자본 비율↑) 수주가이드 완화
  - 미분양 리스크 ↓, 사업진행(준공) 속도 ↑
   * 기존 10년간 민간개발 산업단지 평균 공사 실행률 : 82%  (매출이익 高)</t>
  </si>
  <si>
    <t>(아이디어 미채택) 수주가이드 라인 조정에 대한 의견으로 TOP로 추진하기에는 적합하지 않은 아이디어임</t>
  </si>
  <si>
    <t>IN/C-PI-CE-53</t>
  </si>
  <si>
    <t>1103431</t>
  </si>
  <si>
    <t>천안하수처리장 현대화</t>
  </si>
  <si>
    <t>Ai를 접목시킨 업무 Process 개선</t>
  </si>
  <si>
    <t xml:space="preserve">• AI 활용으로 업무 진행과 관련된 질문시 답변이 가능한 시스템 구축 (챗GPT)
• 회사의 기밀 관련된 사항을 제외한 전자결재 문서의 검색/열람 자율화
</t>
  </si>
  <si>
    <t>(아이디어 인정, 과재 미채택) 중복 아이디어(92번)
한화그룹 AI(AIDA) 운영 중이며, AIDA는 그룹 자체 지식베이스 학습을 통한 답변 형식(Chat-GPT아님)입니다. 현재 건설부문 확대운영을 위해서는 다수의 인력과 예산이 소요될 것으로 예상되는 상황이라, 명확한 기대효과 산출 없이 과제화 진행은 어려운 실정입니다.</t>
  </si>
  <si>
    <t>IN/C-PI-CE-54</t>
  </si>
  <si>
    <t>2300959</t>
  </si>
  <si>
    <t>인프라개발사업팀</t>
  </si>
  <si>
    <t>김수연</t>
  </si>
  <si>
    <t>결재 알림 시스템 도입</t>
  </si>
  <si>
    <t>•	일회성 결재 알림 외 법인카드 사용 미신청 건 메일링 서비스처럼 결재 알림을 전송 해야 한다고 봄
1.	열람한 결재 문서 알림은 n시간 간격으로 결재 알림 전송
2.	열람하지 않은 결재 문서는 법인카드 알림처럼 오전 8시쯤 매일 알림 발송
다음 결재자들에게도 결재진행문서함 이외에 결재 요청 알림</t>
  </si>
  <si>
    <t>(아이디어 인정, 과재 미채택) 결재 지연에 따른 업무 지연을 방지하기 위한 아이디어로 휴먼에러 방지를 위한 방법이나 TOP 과제화로는 부적합함</t>
  </si>
  <si>
    <t>IN/C-PI-CE-55</t>
  </si>
  <si>
    <t>1103439</t>
  </si>
  <si>
    <t>변승환</t>
  </si>
  <si>
    <t xml:space="preserve">민간개발 공사 계약이행보증 보험금 절감 </t>
  </si>
  <si>
    <t xml:space="preserve">• 추후 도급계약 예정인 사업부터 “계약이행보증 증권 미발급”으로 매뉴얼화
  - 도급계약은 PF와 동시 체결로, PF약정서에 시공사의 “책임준공확약”이 있기 때문에 “계약이행보증금” 지급은 무의미 한 것으로 시행사를 설득하여 증권 미발급으로 유도
</t>
  </si>
  <si>
    <t>(아이디어 인정, 검토중) 민간공사에 제한적으로 PF약정 상 책임준공 확약이 존재하기에 발주기관과 협의 하여 계약이행보증증권 발급 비용을 절감하자는 의견으로 법적이슈 등 추가 검토</t>
  </si>
  <si>
    <t>IN/C-PI-CE-56</t>
  </si>
  <si>
    <t>1302533</t>
  </si>
  <si>
    <t>지창수</t>
  </si>
  <si>
    <t>지역별 인쇄소 지정</t>
  </si>
  <si>
    <t xml:space="preserve">• 한방향 소통으로 보다 효율적으로 인쇄소에서 회사 Needs에 맞게 신속한 대응 가능
• 정량적인 측면보다 정성적인 측면에서 보다 효과적일 것으로 판단.
• 다만, 회사의 자료 유출 가능성이 있어 보안관련 시스템 구축필요
</t>
  </si>
  <si>
    <t>(아이디어 인정, 과재 미채택) 좋은 의견이나 지역별 인쇄소 설정을 통한 절감 효과는 미미할 것으로 예상되며 본부내 사업팀 공유로 일부 추진 가능한 아이템으로 판단됨</t>
  </si>
  <si>
    <t>IN/C-PI-CE-57</t>
  </si>
  <si>
    <t>0802070</t>
  </si>
  <si>
    <t>이현석</t>
  </si>
  <si>
    <t>설계변경 외주용역 신설 방안 검토</t>
  </si>
  <si>
    <t>• 건설현장의 수익성을 개선하기 위해서는 다양한 설계변경 검토를 통해 비용 절감이 가능한 요소를 발굴하는 것이 중요
• 그러나 현장에서는 노동력 부족과 인건비 상승으로 인해 신규 인력 충원이 어려운 상황임. 따라서 전문 외주용역사를 1년 단위로 계약하여 전 현장의 설계변경 검토를 체계적으로 진행하고, 원가 절감이 가능한 아이템을 지속적으로 발굴하는 등의 노력이 필요함
• 이를 통해 건설 현장의 수익성을 효율적으로 개선할 수 있을 것으로 판단됨</t>
  </si>
  <si>
    <t>(아이디어 인정, 과재 미채택) 현장 내 원활한 설계변경을 위하여 설계업체(용역사)를 활용하자는 의견이나 매년 수십, 수백건에 달하는 현장별 실정보고 건을 외주 용역을 통하여 처리하기에는 원가 과 투입이 우러됨</t>
  </si>
  <si>
    <t>IN/C-PI-CE-58</t>
  </si>
  <si>
    <t>1500186</t>
  </si>
  <si>
    <t>김진욱</t>
  </si>
  <si>
    <t>자동화를 통한 현장 업무 효율성 향상</t>
  </si>
  <si>
    <t>• 유니파이어의 외주기성 지급 프로세스에 기능을 추가하여 현장에서 직접 지급계좌와 지불일 등을 선택할 수 있게 하여 별도 품의 없이 외주기성이 지급될 수 있는 시스템을 구현하고자 함.</t>
  </si>
  <si>
    <t>(아이디어 인정, 검토중) 현재 외주 마감 이후 기성 지급을 위하여 추가 품의를 하는 상황으로 외주기성 지급 프로세스 일부 기능 추가를 통하여 중복업무를 개선 하자는 의견으로 DT팀과 추가 협의 필요</t>
  </si>
  <si>
    <t>IN/C-PI-CE-59</t>
  </si>
  <si>
    <t>공동도급 원가안분 시 누락원가 발생 방지</t>
  </si>
  <si>
    <t>• 당월에 발생한 원가이더라도 월 마지막 일 이후 발생한 원가는 익월로 반영할 수 있도록 시스템을 개선할 수 있으나, 이 경우 회계적인 이슈 발생 가능성 있음.
• 유니파이어 메일송부 혹은 카톡송부 시스템을 통해 익월에 추가되는 당월 원가를 현장 담당자에게 알려주는 시스템 도입하여 현장 배부 원가 누락 방지</t>
  </si>
  <si>
    <t>(아이디어 인정, 검토중) 전월 원가임에도 익월 원가로 반영되어 전월에 원가안분 누락 가능성이 많으므로, 휴먼에러 방지를 위해서 프로세스 개선 필요성 존재함, DT팀과 추가 협의 필요</t>
  </si>
  <si>
    <t>IN/C-PI-CE-60</t>
  </si>
  <si>
    <t>0802066</t>
  </si>
  <si>
    <t>윤성한</t>
  </si>
  <si>
    <t>인력관리 고도화</t>
  </si>
  <si>
    <t xml:space="preserve">• 본부 인사 특기사항 System을 사용하여 명기하고, 관리 강화
-	인사 담당자 변경 時 효율 증대
• 현장 인력계획 System화를 통한 실시간 인력 배치 계획 조정
준공 연기 등 실시간 Risk 반영을 통한 유연한 현장 인력계획 수립
</t>
  </si>
  <si>
    <t>(아이디어 인정, 과재 미채택) 시스템화의 필요성은 있으나, 시스템 개선을 위한 투자비용이 필요하며, 해당 시스템을 사용하는 인원이 적어 효율성이 낮을것으로 판단됨</t>
  </si>
  <si>
    <t>IN/C-PI-CE-61</t>
  </si>
  <si>
    <t>0802071</t>
  </si>
  <si>
    <t>전영준</t>
  </si>
  <si>
    <t>현장 준공 추정 관리 R&amp;R 변경</t>
  </si>
  <si>
    <t>• 현장은 설계변경에 집중할 수 있는 환경 조성
-	단, 현장에서만 관리가 가능한 하도급 추가 공사비 및 현장 추가 Risk는 현장에서 지원
• 미발주 내역 통합 관리 時 업무 효율 증가
현장에서 미발주 내역 개별 견적 요청 時 견적 정확성 저하 및 업무 부담 증가</t>
  </si>
  <si>
    <t>(아이디어 인정, 검토중) 변경 실행 작업 중 미발주 내역에 대한 검토 및 분석 업무를 본사(견적 or VE팀)에서 진행하자는 의견이나 현재 견적팀 및 VE팀 인원부족에 따라 해당업무 수행이 어려울 것으로 판담됨</t>
  </si>
  <si>
    <t>IN/C-PI-CE-62</t>
  </si>
  <si>
    <t>1205386</t>
  </si>
  <si>
    <t>정솔</t>
  </si>
  <si>
    <t>현장전문직 교육 결과보고 시스템 생성</t>
  </si>
  <si>
    <t>• 본부 간 협의를 통한 현장전문직 교육 결과보고 양식 정량화
• 현장전문직 교육 결과보고 시스템 생성</t>
  </si>
  <si>
    <t>(아이디어 인정, 검토중) 현재 현장전문직의 경우 교육 결과보고 양식이 없어 현장 전문직 교육 결과보고 시스템을 통하여 체계적으로 관리하자는 의견, 인사팀과 추가 협의 필요</t>
  </si>
  <si>
    <t>IN/C-PI-CE-63</t>
  </si>
  <si>
    <t>법정필수 직무교육 단체 수강 진행</t>
  </si>
  <si>
    <t xml:space="preserve">• 매년 교육 필요 인원(보수/승급/최초/기본)을 본부별(인프라/건축/개발)로 산출
• 업체와의 협의를 통해 단가 협상을 진행(인원이 많을수록 협의가 원활 것으로 예상)
• 업체와의 협의를 통해 당사 단독 사이트 오픈/집체교육 일정 조율 등 부가적인 사항도 협의가 가능할 것으로 예상
</t>
  </si>
  <si>
    <t>(아이디어 인정, 검토중) 법정 필수 직무교육 대상을 전사로 확대 후 인원 확정하여 인당 교육비를 절감하고 일정도 조율하여 교육 참여도 높이자는 의견, 인사팀과 추가 협의 필요</t>
  </si>
  <si>
    <t>D/PM-PI-CE-59</t>
  </si>
  <si>
    <t>1803690</t>
  </si>
  <si>
    <t>㈜에이치씨앤디</t>
  </si>
  <si>
    <t>강영록</t>
  </si>
  <si>
    <t>본사&amp;현장, 사업소 주요 업무담당자 안내 요청</t>
  </si>
  <si>
    <t xml:space="preserve"> 본사 및 현장의 주요 담당자를 게시판에 공지. 본사와 현장의 신속한 소통 및 해당업무 팀 이동시에도 컨택포인트 파악 용이</t>
  </si>
  <si>
    <t>(제안 인정, 과제화 미채택) 인사팀에 의견 전달 예정</t>
  </si>
  <si>
    <t>D/PM-PI-CE-60</t>
  </si>
  <si>
    <t>2302350</t>
  </si>
  <si>
    <t>사무직4급</t>
  </si>
  <si>
    <t>김민경</t>
  </si>
  <si>
    <t>전력소비 절감을 통한 비용 효율화 및 지속 가능한 경영 실현</t>
  </si>
  <si>
    <t>퇴근 시 전원장치를 off 함으로써 전기요금 절감 및 화재 예방</t>
  </si>
  <si>
    <t>(제안 인정, 과제화 미채택) SPC 자체적으로 시행 권유</t>
  </si>
  <si>
    <t>D/PM-PI-CE-61</t>
  </si>
  <si>
    <t>2203993</t>
  </si>
  <si>
    <t>김윤중</t>
  </si>
  <si>
    <t>사무실 청소용역범위 축소관리</t>
  </si>
  <si>
    <t>청소 범위 및 빈도 축소로 청소용역비 절감</t>
  </si>
  <si>
    <t>(제안 미인정) 청소 용역비 절감액 미비 예상, 필요 시 SPC 내에서 시행</t>
  </si>
  <si>
    <t>D/PM-PI-CE-62</t>
  </si>
  <si>
    <t>유선전화 회선 축소 관리</t>
  </si>
  <si>
    <t>유선전화 회선 수량 감소에 따른 통신비용 절감</t>
  </si>
  <si>
    <t>(제안 미인정) 기제안 아이디어 (과제화를 통해 현장 유선전화 절감)</t>
  </si>
  <si>
    <t>D/PM-PI-CE-63</t>
  </si>
  <si>
    <t>2203992</t>
  </si>
  <si>
    <t>서정석</t>
  </si>
  <si>
    <t>용역사 DB 관리 통한 용역비 원가절감 및 PJ 품질향상</t>
  </si>
  <si>
    <t>APT, 오피스텔, 상업시설 등 시설별/규모별 분양대행수수료 기준 설정하고, 용역사 선정 시 지명 입찰을 통해 비용 절감</t>
  </si>
  <si>
    <t xml:space="preserve">(제안 인정, 과제화 미채택) 지명경쟁입찰과 용역비 절감효과 관계 모호   </t>
  </si>
  <si>
    <t>D/PM-PI-CE-64</t>
  </si>
  <si>
    <t>2203990</t>
  </si>
  <si>
    <t>송영도</t>
  </si>
  <si>
    <t>건축설계사무소 기간별 계약 추진</t>
  </si>
  <si>
    <t>설계용역을 PJ별 계약이 아닌 기간별 계약으로 진행</t>
  </si>
  <si>
    <t xml:space="preserve">(제안 미인정) 기간별 계약으로 진행할 경우 불필요한 용역비 증가 우려있고, PJ 특성에 따라 설계사 선정 필요  </t>
  </si>
  <si>
    <t>D/PM-PI-CE-65</t>
  </si>
  <si>
    <t>0802110</t>
  </si>
  <si>
    <t>유한진</t>
  </si>
  <si>
    <t>상가 장기 미분양 방지 제안</t>
  </si>
  <si>
    <t>사업기획 단계부터 상가MD를 계획하여 분양성 제고</t>
  </si>
  <si>
    <t>(제안 인정, 과제화 미채택)  964번 상업시설 리테일 탐방단에 통합하여 진행</t>
  </si>
  <si>
    <t>D/PM-PI-CE-66</t>
  </si>
  <si>
    <t>2203988</t>
  </si>
  <si>
    <t>윤성민</t>
  </si>
  <si>
    <t>종이 없는 회사 만들기를 통한 판관비 절감</t>
  </si>
  <si>
    <t>중요 업무 사항 이외 불필요한 보고서 작성 지양, 회의 자료 출력 금지하고 태블렛 사용</t>
  </si>
  <si>
    <t>(제안 미인정) 기제안 아이디어
※ 111번 미인정 (소모성인쇄비 예산 6,700만원. 팀 단위 자율적 참여)</t>
  </si>
  <si>
    <t>D/PM-PI-CE-67</t>
  </si>
  <si>
    <t>1202926</t>
  </si>
  <si>
    <t>이동건</t>
  </si>
  <si>
    <t>현장 정리용 기계청소장비 임대 운영</t>
  </si>
  <si>
    <t>현장 직영인부 중 1명을 청소장비 대여로 전환</t>
  </si>
  <si>
    <t>(제안 미인정) 기 검토 사항</t>
  </si>
  <si>
    <t>D/PM-PI-CE-68</t>
  </si>
  <si>
    <t>사내 복지근로기금 신설로 보험료 및 세금 절감</t>
  </si>
  <si>
    <t>리프레쉬 포인트 비과세 적용토록 사내 복지근로기금 신설</t>
  </si>
  <si>
    <t>(제안 미인정) 직원 복지 관련. 복지근로기금 법인 설립비용 필요</t>
  </si>
  <si>
    <t>D/PM-A/F-CE-13</t>
  </si>
  <si>
    <t>2203989</t>
  </si>
  <si>
    <t>전유림</t>
  </si>
  <si>
    <t>식기세척기 공간장 무상 옵션</t>
  </si>
  <si>
    <t>식기세척기 공간장 미설치 희망세대 파악하여 원가 절감</t>
  </si>
  <si>
    <t>(제안 인정, 과제화 미채택) 
디자인팀 협의, 하부장 미설치 제공 자체는 상품성 저하로 불가함</t>
  </si>
  <si>
    <t>D/PM-PI-CE-69</t>
  </si>
  <si>
    <t>2203986</t>
  </si>
  <si>
    <t>정예헌</t>
  </si>
  <si>
    <t>기업문화 캠페인을 통한 조직문화 개선</t>
  </si>
  <si>
    <t>기업문화 캠페인을 통해 세대갈등 해소를 통한 소통 개선, 업무 효율성 향상, 조직에 대한 신뢰도 향상</t>
  </si>
  <si>
    <t>(제안 미인정) Great Challenger 캠페인 시행중이며, 제안한 캠페인의 기대 효과 모호함</t>
  </si>
  <si>
    <t>D/PM-ID/Z-CE-4</t>
  </si>
  <si>
    <t>2203987</t>
  </si>
  <si>
    <t>정화용</t>
  </si>
  <si>
    <t>회사 렌트 차량 하이브리드로 변경</t>
  </si>
  <si>
    <t>회사 렌트카 가솔린 차량을 하이브리드로 변경하여 유류비 절감으로 원가 절감</t>
  </si>
  <si>
    <t xml:space="preserve">(제안 인정, 과제화 미채택)  877번 과제화 진행 시 통합 검토
제안자 산출 기준, 절감 효과 한대 당 약 60만원/연 예상 </t>
  </si>
  <si>
    <t>D/PM-PI-CE-70</t>
  </si>
  <si>
    <t>사내 제안제도 포상(TOP 아이디어 포함) 소득 처분 변경</t>
  </si>
  <si>
    <t>사내 제안제도 포상금액을 근로소득이아닌 기타소득 처리 진행</t>
  </si>
  <si>
    <t>(제안 인정, 과제화 미채택) 기타소득을 국세청에서 추후 근로소득으로 판단 시 가산세 우려</t>
  </si>
  <si>
    <t>D/PM-PI-CE-71</t>
  </si>
  <si>
    <t>2203991</t>
  </si>
  <si>
    <t>최병규</t>
  </si>
  <si>
    <t>분양대행사 연간 계약 체결을 통한 원가절감</t>
  </si>
  <si>
    <t>1.	연간 계약 시 분양대행수수료 비용 절감 및 홍보물 등 원스톱 방식 계약 체결을 유도하여
전체적인 비용 절감 방향으로 개선
신규 사업을 검토할 때 시장조사는 필수적으로 수행해야 하므로, 건별로 발생하는 시장조사 비용을 연간 계약을 통해 절감하고자 함</t>
  </si>
  <si>
    <t>(제안 인정, 과제화 미채택) 분양대행사의 제안 PT 시, 같은 PJ 임에도 어프로치가 다름. 연간계약으로 절감액보다 미분양으로 손실 우려</t>
  </si>
  <si>
    <t xml:space="preserve">퇴사 (계열사전배) </t>
  </si>
  <si>
    <t>D/PM-PI-CE-72</t>
  </si>
  <si>
    <t>9606995</t>
  </si>
  <si>
    <t xml:space="preserve">(주)수서역환승센터복합개발 </t>
  </si>
  <si>
    <t>임홍구</t>
  </si>
  <si>
    <t>임시주차장 공동사업을 통한 토지사용료 절감 방안</t>
  </si>
  <si>
    <t xml:space="preserve">수서역PJ 대체주차장 SR과 당사(SPC)가 공동운영사업 구도로 추진하여 주차장 확보 예산 약250억을 약120억으로 절감예정 </t>
  </si>
  <si>
    <t xml:space="preserve">(제안 인정, 과제화 미채택)
수서PJ와 유사한 임시주차장 공동운영사업 모델을 재적용할 사업부지 있는지 검토 중, 해당부지 있으면 재검토 </t>
  </si>
  <si>
    <t>IN/C-PI-CE-64</t>
  </si>
  <si>
    <t>1005145</t>
  </si>
  <si>
    <t>배치전 검진진단결과서 플랫폼내 보관 및 열람</t>
  </si>
  <si>
    <t xml:space="preserve">배치전(특수) 검진은 산업안전보건법 시행령[별표30], 동법 시행규칙 제203조에 따라 현장 투입 시 반드시 받아야 함.
개선 전 : 관리감독자 및 근로자가 A현장 작업 종료 후 B현장 투입 시 재차 배치전 검진 실시
개선 후 : 각 현장에서 배치 전 검진결과서를 스캔하여 플랫폼내 저장. A현장 배치후 B현장 이동시 보건관리자가 검색 및 열람하여 검진서 재 활용
</t>
  </si>
  <si>
    <t>(아이디어 인정, 검토중) 특수검진 플랫폼 형성으로 근로자 이력 DB화로 중복되는 검진비용을 최소화 하자는 아이디어로 도입 효과는 있을것으로 보이나 투입비 등 추가 검토 필요</t>
  </si>
  <si>
    <t>EN/E-E-CE-56</t>
  </si>
  <si>
    <t>로드뱅크용 전원 케이블 변경에 의한 절감의 건</t>
  </si>
  <si>
    <t>당 현장 예시) 
F-CV 1C 300SQ * 4Line-&gt; AL-XLPE 절연케이블 1C 185SQ *8Line
교체하여 로드뱅크 가동
로드뱅크 제조사(로드파워)에 교체 가능유무 확인완료</t>
  </si>
  <si>
    <t>제안인정. 현장 VE 적용</t>
  </si>
  <si>
    <t>EN/E-E-CE-57</t>
  </si>
  <si>
    <t>전력간선 케이블 변경에 의한 절감의 건</t>
  </si>
  <si>
    <t xml:space="preserve">알루미늄케이블 단점을 보완한 알루미늄합금 HiRaSC 케이블 사용
- 단가저렴, 가벼움, 유연성 높음, 접속부 발열방지 접속장치 有
F-CV 1C 300SQ 단가 41,281원
HiRaSC HFCO/AAA 1C 500SQ 단가 25,416원
</t>
  </si>
  <si>
    <t>중복제안</t>
  </si>
  <si>
    <t>CO/D-TF-CE-13</t>
  </si>
  <si>
    <t>데이터센터현장 고소작업대 단일업체계약으로 인한 양중비 절감의 건</t>
  </si>
  <si>
    <t>1. 당 사에서 고소작업대 단일계약 후 번호 마킹하여 관리
2. 일일공정회의시 몇번 고소작업대를 사용할 것인지 협의 후
   명일 고소작업대 사용(협력업체 책임자 서명 후 책임소재 및 월
    누적금액 장비대 청구)
3. 대량 반입으로 인한 고소작업대 업체 네고 가능성 有</t>
  </si>
  <si>
    <t>아이디어는 좋으나,
고소작업대 관리 및 안전 관리(사고시)에 대한 논의가 대두됌</t>
  </si>
  <si>
    <t>CO/D-TF-CE-14</t>
  </si>
  <si>
    <t>방수누름을 활용한 호이스트 패드</t>
  </si>
  <si>
    <t>주차장 누름 두께(0.15m)를 포함하여 호이스트 패드(0.15m)
를 타설하면 우,오수 배관높이와 걸리지 않아 철거 비용 절감 및 타설비용 절감</t>
  </si>
  <si>
    <t>현장 내 VE사항 으로 타 현장 전체적으로 반영될 수 있는지
유관부서(기술혁신팀, 품질관리팀) 확인 필요</t>
  </si>
  <si>
    <t>CO/Z-PI-CE-41</t>
  </si>
  <si>
    <t>2101714</t>
  </si>
  <si>
    <t>정경훈</t>
  </si>
  <si>
    <t>무급휴가제도 신설</t>
  </si>
  <si>
    <t xml:space="preserve">연차(유급휴가) 소진시 무급휴가 제도 신설을 통해 필요시 휴무 가능하도록 제도를 신설, 무급휴가 사용일 만큼 월급에서 (연차수당 산정액 만큼) 제함으로써 자유로운 휴식 보장과 사측 판관비 절감 </t>
  </si>
  <si>
    <t>절감효과는 사실상 없음. 왜냐하면 퇴직시 연차 초과 사용자는 극소수이며 실제 무급으로 처리함
법적휴가가 근로자의 권한이지만 휴가의 승인은 회사의 권한임
악용 사례도 많을 수 있음</t>
  </si>
  <si>
    <t>CO/Z-PI-CE-42</t>
  </si>
  <si>
    <t>1900022</t>
  </si>
  <si>
    <t>김승민</t>
  </si>
  <si>
    <t>본사 수수료 영업외비용 구분 회계처리의 건</t>
  </si>
  <si>
    <t>본사 수수료 중 영업외비용으로 구분 가능한 내역 검토 및 수정기표를 통한 영업이익 개선.
제안1 : 본사 수수료 영업외비용 구분 회계처리 질의응답
영업외비용으로 처리 가능한 사례 및 구체적인 구분 기준 등 내용을 업무공지사항에 게시
(2024.12.31에 업무공지사항 게시 완료)
추가로, 본사수수료 중 해당 비용이 영업외수수료로 판단될 경우 전표 기표 전 기획팀에 사전 확인 및 문의하는 프로세스 수립
제안2 : 본사수수료 영업외비용 회계처리 수정기표
매년 말, 영업외비용으로 회계처리 가능한 내역인데 판관비로 기표된 내역은 없는지 검토 및 확인.
영업외비용으로 처리 가능한데 판관비로 기표된 내역은 수정기표를 통한 영업이익 개선.</t>
  </si>
  <si>
    <t>좋은 아이디어인데 이미 한거임. 그리고 프로세스를 특별히 할만한게 없음</t>
  </si>
  <si>
    <t>CO/Z-PI-CE-43</t>
  </si>
  <si>
    <t>1300265</t>
  </si>
  <si>
    <t>정해건</t>
  </si>
  <si>
    <t>사무실 이전</t>
  </si>
  <si>
    <t>CBD Prime급 한화빌딩 → 여의도 B등급, 판교 등으로 이전
개선 전 : 임차료 및 관리비 약 70억원/年 (약 6억원/月)
개선 후 : 임차료 및 관리비 약 40억원/年
 * 기존 전경련회관 임차 기준(물가상승률 반영) 적용</t>
  </si>
  <si>
    <t>아이디어 자체는 특별하지 않으나 내용이 구체적임
TOP로 해결하기에 어려운 문제</t>
  </si>
  <si>
    <t>CO/Z-PI-CE-44</t>
  </si>
  <si>
    <t>1700063</t>
  </si>
  <si>
    <t>장세영</t>
  </si>
  <si>
    <t>하자보수 별도 법인 설립</t>
  </si>
  <si>
    <t>(하자보수 충당금 부족시) 현행: 본부 자체 판관비 집행 / 개선: 피관리사에서 업무 수행 및 비용처리</t>
  </si>
  <si>
    <t>판관비를 영외손실로 처리하기 위해 자회사를 운영하는 것은 더 많은 검토가 필요할 것으로 판단됨. 업무효율성, 전문성, 관리적인 측면의 검토가 더 필요하며....또한, 자회사 운영시, 백오피스 인력 등 간접비 증가 예상됨</t>
  </si>
  <si>
    <t>CO/Z-PI-CE-45</t>
  </si>
  <si>
    <t>분전반 누전차단기(ELCB) 정격차단전류 적용기준 확정</t>
  </si>
  <si>
    <t>충주용산현장 적용사례(ELCB 1530개 정격차단전류 변경)
개선전 : ELCB 30AF 정격차단전류 5KA로 반영됨 
개선후 : ELCB 30AF 정격차단전류 2.5KA로 반영됨</t>
  </si>
  <si>
    <t>설계기준 수립 예정(w/건축전기팀)</t>
  </si>
  <si>
    <t>CO/Z-PI-CE-46</t>
  </si>
  <si>
    <t>최하층 입상관 드레인 유도배관 시공 개선</t>
  </si>
  <si>
    <t>입상과의 드레인 배관을 동일한 공간으로 지하2층으로 유도 
(기초 공사시 매립배관을 집수정으로 유도배관시공)</t>
  </si>
  <si>
    <t>시공방법 개선으로 현장여건에 따라 상이할수 있으므로 현장VE로 추진</t>
  </si>
  <si>
    <t>CO/Z-PI-CE-47</t>
  </si>
  <si>
    <t>2002530</t>
  </si>
  <si>
    <t>이해수</t>
  </si>
  <si>
    <t>시안 표준화</t>
  </si>
  <si>
    <t>전사 시안 표준화</t>
  </si>
  <si>
    <t>현안 파악 후 과제화 여부 검토, 과제화는 불필요</t>
  </si>
  <si>
    <t>D/PM-A/F-CE-14</t>
  </si>
  <si>
    <t>2409021</t>
  </si>
  <si>
    <t>석근우</t>
  </si>
  <si>
    <t>욕실 앞(천장) 보디드라이어기 설치</t>
  </si>
  <si>
    <t>욕실 앞 천장에 매립형 보디 드라이어기(온풍/냉풍) 유상옵션 제공</t>
  </si>
  <si>
    <t xml:space="preserve">(제안 인정, 과제화 미채택) 디자인팀 의견 : 기 검토 진행 중 </t>
  </si>
  <si>
    <t>D/PM-A/F-CE-15</t>
  </si>
  <si>
    <t>2202103</t>
  </si>
  <si>
    <t>촉탁사무4급</t>
  </si>
  <si>
    <t>송채린</t>
  </si>
  <si>
    <t>제로에너지 건축물(ZEB) 도입을 위한 고성능 단열재 사용</t>
  </si>
  <si>
    <t xml:space="preserve">친환경인증을 통해 ESG 실현 홍보, PF 금리 우대, 분양가 제고 
(제로에너지건축물인증 시 취득세 15~20% 감면 가능) </t>
  </si>
  <si>
    <t xml:space="preserve">(제안 인정, 과제화 미채택) PJ별로 설계 단계에서 검토하여 적정 수준의 spec 반영 </t>
  </si>
  <si>
    <t>D/PM-PI-CE-73</t>
  </si>
  <si>
    <t>1106425</t>
  </si>
  <si>
    <t>이명휘</t>
  </si>
  <si>
    <t>복합개발사업 취득세 절감 방안</t>
  </si>
  <si>
    <t>BOT사업에서 준공 후 운영시설은 취득세가 과세되는데, 협약서에 '운영기간 종료 후 귀속' 명기하면 취득세 면제 받을 여지가 있음</t>
  </si>
  <si>
    <t xml:space="preserve">(제안 인정, 과제화 미채택) 
50년후 기부채납 예정을 근거로 건물분 취득세 약60억 면제 받은 원마운트 사례가 있지만 특혜 논란이 있고, 공기관 협약에 반영 어려움 </t>
  </si>
  <si>
    <t>D/PM-PI-CE-74</t>
  </si>
  <si>
    <t>1902450</t>
  </si>
  <si>
    <t>마케팅팀(사업소)</t>
  </si>
  <si>
    <t>권기영</t>
  </si>
  <si>
    <t>전자결재 세부제목 작성 의무화</t>
  </si>
  <si>
    <t>전자결재 양식 중 사용인감신청서 등 완성폼의 경우  제목없이 작성되는 경우 많아서, 검색 용이하도록 세부제목 작성란 신설</t>
  </si>
  <si>
    <t xml:space="preserve">(제안 인정, 과제화 미채택) DT팀 검토 의견 : 사용인감신청서는 가능하고 세금계산서 전표 등은 불가 (전표 여러 건을 하나의 결재로 통합하여 상신하므로 제목 자동생성 필수) </t>
  </si>
  <si>
    <t>D/PM-PI-CE-75</t>
  </si>
  <si>
    <t>1903060</t>
  </si>
  <si>
    <t>차남우</t>
  </si>
  <si>
    <t>복합개발사업 호텔 통합운영 조직 신설</t>
  </si>
  <si>
    <t xml:space="preserve">SPC별로 호텔운영사와 협의 및 협상을 각각 진행하는 등 공유가 미비한 바, 준공실적 사례 공유 및 호텔 통합 운영조직 검토 </t>
  </si>
  <si>
    <t>(제안 인정, 과제화 미채택) 
호텔 운영사 ('25.4분기 선정 예정)와 TSA수수료, 조건 등 협상을 원활히 하기 위해 서울역/수서/대전PJ 시너지 낼 수 있는 방안 모색</t>
  </si>
  <si>
    <t>D/PM-PI-CE-76</t>
  </si>
  <si>
    <t>2003025</t>
  </si>
  <si>
    <t>최영</t>
  </si>
  <si>
    <t>도급계약시 기타업무보수를 도급공사비에 포함</t>
  </si>
  <si>
    <t>MH 운영비, 입주관리비 등이 도급공사비와 별도의 기타업무보수로 책정되어 받기 어려운 바, 도급내역에 포함 
※ AS지원센터구축 등 입주관리비 원가를 개산견적 단계에서 공식 항목으로 반영하는 개선방안 검토</t>
  </si>
  <si>
    <t xml:space="preserve">(제안 인정, 과제화 미채택) 건축견적팀 협의,  공사비 실행원가로 포함시 간접비 증가하여 사업비에 반영하는 것이 적정함. 사업비도 실행원가임  </t>
  </si>
  <si>
    <t>D/PM-PI-CE-77</t>
  </si>
  <si>
    <t>1000556</t>
  </si>
  <si>
    <t>한승연</t>
  </si>
  <si>
    <t>표준 공정율표 기준 수립</t>
  </si>
  <si>
    <t>준공PJ 분석을 통해 공정률 그래프 DB 구축하여 cash flow 수금 일정 변동 최소화</t>
  </si>
  <si>
    <t>(제안 인정, 과제화 미채택) 'FS 표준화 및 관리 프로세스 수립' CFT에 전달하여 반영</t>
  </si>
  <si>
    <t>D/PM-PI-CE-78</t>
  </si>
  <si>
    <t>1701456</t>
  </si>
  <si>
    <t>㈜서울역북부역세권개발</t>
  </si>
  <si>
    <t>김병재</t>
  </si>
  <si>
    <t>복합개발 사업 법률자문 비용 절감 방안</t>
  </si>
  <si>
    <t>PJ별 단일 법무법인에 발주하여 자문 수수료 절감 및 효율적 업무 처리 (서울역PJ 호텔 관련 법무법인 별도 사례 지양)</t>
  </si>
  <si>
    <t xml:space="preserve">(제안 인정, 과제화 미채택) PJ별 특성 감안하여 법무팀과 사업팀/SPC와 협의하여 결정 예정   </t>
  </si>
  <si>
    <t>D/PM-PI-CE-79</t>
  </si>
  <si>
    <t>1700069</t>
  </si>
  <si>
    <t>윤수빈</t>
  </si>
  <si>
    <t>준공지연현장 공기연장사유로 대체공휴일 제안</t>
  </si>
  <si>
    <t>발주처와의 지체상금 협상 시 대체공휴일 제외 주장 
('22년 9/12, 10/10, '23년 1/24, 5/29, '24년 2/12, 5/6)</t>
  </si>
  <si>
    <t xml:space="preserve">(제안 미인정) 주장에 대한 실효여부 관건
ex. 오시리아 43일 지체 (1/15~2/27) 43일 지체 → 37일로 주장 </t>
  </si>
  <si>
    <t>D/PM-PI-CE-80</t>
  </si>
  <si>
    <t>회계법인 기장 계약 연간단가 발주</t>
  </si>
  <si>
    <t xml:space="preserve">복합개발사업 회계법인 기장 계약을 연단가 형태로 일괄 발주하여 용역비 절감 </t>
  </si>
  <si>
    <t>(제안 인정, 과제화 미채택) SPC에서 필요 시 품의로 진행. 금액 절감 미비</t>
  </si>
  <si>
    <t>D/PM-PI-CE-81</t>
  </si>
  <si>
    <t>0812024</t>
  </si>
  <si>
    <t>최보윤</t>
  </si>
  <si>
    <t>당사 명의 사업비 운영계좌 개설 기준 마련</t>
  </si>
  <si>
    <t>사업비 운영계좌를 보통예금보다 이율이 높은 MMDA 활용하여 이자수익 추가 확보</t>
  </si>
  <si>
    <t>(제안자 퇴사로 미인정) SPC와 금융팀 협의해서 필요 시 진행 
※ Money Market Deposit Account 수시 입출금식 계좌</t>
  </si>
  <si>
    <t>D/PM-PI-CE-82</t>
  </si>
  <si>
    <t>2203371</t>
  </si>
  <si>
    <t>하현성</t>
  </si>
  <si>
    <t>CIRCLE에 질의답변 게시판 신설</t>
  </si>
  <si>
    <t>사내 네트워크 부족한 경력직, 주니어직급 등의 업무 효율을 위해 당사 서클 페이지에 질의답변 게시판 신설 및 운영</t>
  </si>
  <si>
    <t>(제안 인정, 과제화 미채택) 게시판 운영 취지는 좋으나, 답변 지연, 난해한 질문, 사실과 다른 답변 등 부작용 예상
※ 게시판에 '자유 게시란' 있으나 비활성화 ('18~'23년 게시글 6건)</t>
  </si>
  <si>
    <t>EN/M-M-CE-46</t>
  </si>
  <si>
    <t>CO/D-TF-CE-15</t>
  </si>
  <si>
    <t>지하주차장 가설공사용 제습기 사용</t>
  </si>
  <si>
    <t xml:space="preserve">습기로 인한 곰팡이 발생 우려구간은 제습기 사용하여 습기 제거 </t>
  </si>
  <si>
    <t>제습기 필요성은 동의하나
구체적인 활용 방안 미흡</t>
  </si>
  <si>
    <t>CO/D-TF-CE-16</t>
  </si>
  <si>
    <t>침사지개선</t>
  </si>
  <si>
    <t>- 침사지 구성:장섬유부직보+쇄석70mm+쇄석40mm+쇄석20mm 
 #별첨 1</t>
  </si>
  <si>
    <t>정확한 개선 사항 확인 필요</t>
  </si>
  <si>
    <t>CO/D-TF-CE-17</t>
  </si>
  <si>
    <t>직속</t>
  </si>
  <si>
    <t>0900287</t>
  </si>
  <si>
    <t>최성록</t>
  </si>
  <si>
    <t>실행편성시 현장요청사항 프로세스 변경</t>
  </si>
  <si>
    <t>• 개선 방향
-	현장별 검토 DATA 관리
-	직원의 (기술)검토 역량 향상 및 업무 효율화
-	현장별 형평성 및 균형 유지</t>
  </si>
  <si>
    <t>아이디어 인정, 과제 미채택
견적팀 본연의 업무이나,
과거 DATA 관리 및 현장 직원의 업무 효율 및 정확도 향상에 
필요하다고 생각됨</t>
  </si>
  <si>
    <t>EN/S-C-CE-14</t>
  </si>
  <si>
    <t>방진매트 Process 개선</t>
  </si>
  <si>
    <t>아래 항목 개선을 통하여 현장에 맞는 최적의 방진매트 적용 추진
1.	최종 공사용 도면 및 선로간 이격거리 재확인
2.	선로 열차운행 횟수 검토 및 시뮬레이션 조건 반영
3.	최종 지반조사보고서 근거로 토질 물성치, 토압 등 반영
4.	최하층 바닥 타설 후 실제 진동 측정하여 최종 확인
5.	범용으로 사용하는 Factor(Spec) 적용 및 입찰 추진</t>
  </si>
  <si>
    <t>아이디어 인정, 과제 채택
(승인위 상정예정, 박민석(아이디어845) 통합하여 과제화 및 발표자 김광민 차장으로 변경)</t>
  </si>
  <si>
    <t>CO/D-PI-CE-28</t>
  </si>
  <si>
    <t>건축시공직 품질 및 안전 교육을 통한 업무환경 개선</t>
  </si>
  <si>
    <t>건축 시공직(공사)를 대상으로 품질 및 안전관리 교육을 통해 시공직의 업무환경을 개선하고 현장에서 폭넓은 시야를 바탕으로 현장의 품질관리 및 안전환경 관리를 할 수 있음.</t>
  </si>
  <si>
    <t>-</t>
  </si>
  <si>
    <t>단순 교육 요청</t>
  </si>
  <si>
    <t>CO/D-PI-CE-29</t>
  </si>
  <si>
    <t>EV홀 바닥 유도배관설치건</t>
  </si>
  <si>
    <t>E/V홀 바닥 배수판 단절. 
* 개선 전 
- 지하주차장 ↔ E/V홀 바닥 배수판 연결
* 개선 후 
- 지하주차장과 E/V홀 실 구획구간에 바닥배수판 단절
- E/V홀 바닥에 배수판 설치하여 E/V PIT로 유도배관 설치</t>
  </si>
  <si>
    <t>CO/I-PI-CE-31</t>
  </si>
  <si>
    <t>플랫폼을 통한 특수검진</t>
  </si>
  <si>
    <t>1. 플랫폼 회사를 통해 전현장 동일한 조건으로 근로자 특수검진 시행 (할인된 연간단가 적용)
• 플랫폼 회사는 전국에 협약된 특수검진기관 네트워크가 구축이 되어 있음
☞ 현장 보건관리자는 플랫폼 회사 ㈜한화 담당자와 통화만으로 일을 진행할 수 있음
☞ 플랫폼 회사는 검진기관 선정부터 출장 검진 대행 및 위탁 운영까지 진행
2. 플랫폼 회사를 통해 근로자 통합관리 가능함
• 플랫폼 회사는 특수검진 대행만 하는 것이 아니라 사후관리 지원까지 하는 서비스로
 현장담당자가 쉽게 확인하고 관리할 수 있도록 관리해줌</t>
  </si>
  <si>
    <t>아이디어 인정, 과제 미채택
안경환경실에서 사업리스크(법적규제) 관련하여 부정적 의견 전달</t>
  </si>
  <si>
    <t>D/PM-PI-CE-83</t>
  </si>
  <si>
    <t>1903061</t>
  </si>
  <si>
    <t>최성락</t>
  </si>
  <si>
    <t>그룹웨어 서비스 통합 사용</t>
  </si>
  <si>
    <t>SPC도 그룹웨어 서비스 통합 사용하여 별도 비용 절감</t>
  </si>
  <si>
    <t>(제안 인정, 과제화 미채택) DT팀 검토 의견 : 법인이 다른 경우 건설에서 타법인의 비용을 지불하더라도 라이선스 사용이 불가함.
(그룹웨어 포함한 모든 SW는 사용자, IP 등 직원의 고유한 상세정보를 통해 금액을 산정하므로 타법인에서 사용 시 회계감사 이슈가 있음)</t>
  </si>
  <si>
    <t>D/PM-PI-CE-84</t>
  </si>
  <si>
    <t>0213770</t>
  </si>
  <si>
    <t>마케팅팀</t>
  </si>
  <si>
    <t>신승용</t>
  </si>
  <si>
    <t>선택 품목 계약 간소화</t>
  </si>
  <si>
    <t>옵션 계약서 3장 수기로 작성하며 발생하는 휴먼오류방지 및 시간절감을 위해 사전 선택 시스템 구축 (예산 약9백만원)</t>
  </si>
  <si>
    <t>(제안 인정, 과제화 미채택) DT팀 검토 의견 : 포레나 홈페이지 내 고객 옵션 선택 기능 추가 및 분양 시스템 연계 개발 필요하여, 포레나 홈페이지 주관 부서인 홍보팀과 협의 필요</t>
  </si>
  <si>
    <t>D/PM-PI-CE-85</t>
  </si>
  <si>
    <t>0300076</t>
  </si>
  <si>
    <t>장수연</t>
  </si>
  <si>
    <t>분양사무실 통합 운영</t>
  </si>
  <si>
    <t xml:space="preserve">권역별로 분양사무실을 통합운영하여 임대료, 인건비 등 운영비 절감 </t>
  </si>
  <si>
    <t xml:space="preserve">(제안 인정, 과제화 미채택) 부산 덕천3 &amp; 대연3 분양사무소 통합 운영 중. 당리MH와 40분 거리로 이격되어 있고, 대연3 MH 건립 검토 중이어서 통합 어려움. 추후 통합 대상 있으면 재 검토 예정 
※ 분양사무소 기능 : 주로 계약자 명의 변경 시 방문
※ GS 자이 강남권역 통합사무소 운영 사례 </t>
  </si>
  <si>
    <t>D/PM-PI-CE-86</t>
  </si>
  <si>
    <t>2003549</t>
  </si>
  <si>
    <t>이중석</t>
  </si>
  <si>
    <t>Mini Smart Farm 유상 옵션 상품 판매</t>
  </si>
  <si>
    <t xml:space="preserve">가정용 스마트팜 (주방형, 베란다형, 거실형 등) 유상옵션 도입
공기청정/조명 IOT 연계 및 친환경 주거단지 이미지 제고 </t>
  </si>
  <si>
    <t>(제안 인정, 과제화 미채택) 디자인팀 검토 의견 - 예상 선택률 대비 시공/하자관리 어려울 것으로 예상 
※ 스마트팜 - 투자비/운영비/수익성 사업모델 참조 필요 (지원금 혜택이 많고, 현재 농산물 판로와 인력운영이 관건이지만 수익성 상당히 양호한 것으로 업계 추정. 시행사/자산운용사 등 지속 관심 중)</t>
  </si>
  <si>
    <t>D/PM-PI-CE-87</t>
  </si>
  <si>
    <t>2202202</t>
  </si>
  <si>
    <t>임형진</t>
  </si>
  <si>
    <t>홈페이지 분양입주 정보 및 계약자 통합관리 기능 개선</t>
  </si>
  <si>
    <t>MH방문예약, 사전점검예약, 중도금 납부조회, 연락처 변경 등 포레나 공식 홈페이지의 기능 개선하여 상담인력 효율적 운영</t>
  </si>
  <si>
    <t>(제안 인정, 과제화 미채택) DT팀 검토 의견 : 계약자 정보는 권한을 받은 사람만 접근해야 하며 권한 부여기록 관리 必 (로그인한 계약자 본인 정보 조회는 가능)
AS접수, 입주안내문 조회, 사전점검 예약, 입주예약 등은 하자관리 시스템 고객 모바일 기능으로 기 구현되어 있어서 홈페이지 운영자와 협의 필요</t>
  </si>
  <si>
    <t>D/PM-PI-CE-88</t>
  </si>
  <si>
    <t>2100434</t>
  </si>
  <si>
    <t>임대운영 관리 시스템 개선 방안</t>
  </si>
  <si>
    <t xml:space="preserve">분양관리시스템 내 임대운영관리 탭에 임대보증금만 입력 가능. 월임대료, 계약기간, 렌트프리, 기타 특약 조건도 입력토록 개선 </t>
  </si>
  <si>
    <t>(제안 인정, 과제화 미채택) DT팀 검토 의견 : 현재 임대 계약 관련 기능 없음. 분양관리시스템 개선 검토 필요. 진행 시 비용 발생 예상</t>
  </si>
  <si>
    <t>D/PM-PI-CE-89</t>
  </si>
  <si>
    <t>0700431</t>
  </si>
  <si>
    <t>장은혜</t>
  </si>
  <si>
    <t>현장전문직 급여시스템 개선</t>
  </si>
  <si>
    <t>현장전문직의 출산휴가, 육아휴직기간에 급여가 자동 계산되도록 급여시스템 개선</t>
  </si>
  <si>
    <t>(제안 인정, 과제화 미채택) DT팀 검토 의견 : 일반직 급여도 동일한 개선 필요. 일반직 先 진행 후 검토 예정. 진행 시 비용 발생 예상</t>
  </si>
  <si>
    <t>D/PM-PI-CE-90</t>
  </si>
  <si>
    <t>2102713</t>
  </si>
  <si>
    <t>홍문기</t>
  </si>
  <si>
    <t>AI를 통한 SNS 광고 활용</t>
  </si>
  <si>
    <t>AI로 광고를 만들고, SNS를 통해 효율적 홍보</t>
  </si>
  <si>
    <t>D/PM-PI-CE-91</t>
  </si>
  <si>
    <t>0600089</t>
  </si>
  <si>
    <t>류진환</t>
  </si>
  <si>
    <t>구독 경제 서비스 적용</t>
  </si>
  <si>
    <t>렌탈사업부 (가전/가구/인테리어/AS서비스 등) 신설 또는 렌탈전문회사와 제휴를 통한 운영사업</t>
  </si>
  <si>
    <t>(제안 인정, 과제화 미채택) 820번 아이디어 중복
'25년 1분기 제안내용內 중복 시 제안포상지급 예정</t>
  </si>
  <si>
    <t>EN/S-PI-CE-4</t>
  </si>
  <si>
    <t xml:space="preserve">박준용, 박재보, </t>
  </si>
  <si>
    <t>레미콘 배합시험 시 BP시험 추가의 건</t>
  </si>
  <si>
    <t>레미콘 배합 시험 시 B/P 시험을 추가 하거나 배합시험을 B/P 시험으로 대체 할 것(경시 포함).</t>
  </si>
  <si>
    <t>아이디어 인정, 과제 미채택
품질확보 차원에서는 필요한 아이디어이나, 유형적 효과 책정이 모호하다 판단하여 과제 미채택</t>
  </si>
  <si>
    <t>IN/C-PI-CE-65</t>
  </si>
  <si>
    <t>1900010</t>
  </si>
  <si>
    <t>목포시 자원회수시설</t>
  </si>
  <si>
    <t>서창희</t>
  </si>
  <si>
    <t>안전자재창고 시스템화</t>
  </si>
  <si>
    <t>컨테이너를 활욜하여 안전자재창고 및 공구류 관리를 체계화 하자는 아이디어</t>
  </si>
  <si>
    <t>(아이디어 인정, 검토중) 현장 안전자재창고를 일원화, 규격화하고 내부 자재 관리도 하여 재활용율도 높이자는 의견으로 건축현장의 경우 창고로 사용 가능한 공간이 많아 적용이 어려우며 인프라 현장에만 국한되는 아이디어로 컨테이너 구입 등 추가 투입비 대비 절감 가능 금액이 미미할 것으로 예상됨</t>
  </si>
  <si>
    <t>IN/C-PI-CE-66</t>
  </si>
  <si>
    <t>2102856</t>
  </si>
  <si>
    <t>조보섭</t>
  </si>
  <si>
    <t>폐기물저장조 열화상카메라 적용</t>
  </si>
  <si>
    <t>폐기물 저장조 내 화재 발생 시 기존의 CCTV로는 대처가 어려워 열화상카메라로 교체 설치, 시공하자는 아이디어, 최근 타사도 열화상카메라 시공</t>
  </si>
  <si>
    <t>(아이디어 인정, 과제 미채택) 폐기물 저장조 내 화재 발생시 초기 대응 및 피해최소화를 위한 열화상 카메라 적용(당초 : CCTV 적용), 현장 VE 적용</t>
  </si>
  <si>
    <t>CO/D-A/F-CE-66</t>
  </si>
  <si>
    <t>욕실장 후면 파타일 붙이기 삭제 및 초벌 미장 시공 건</t>
  </si>
  <si>
    <t>유관부서(품질관리팀, 고객서비스팀) 협의하여 시공상세 up-date 로 반영</t>
  </si>
  <si>
    <t>CO/D-A/S-CE-79</t>
  </si>
  <si>
    <t>단위세대 거실,분합(침실1) PL창호 진동제어사춤 시행</t>
  </si>
  <si>
    <t>EN/S-PI-CE-5</t>
  </si>
  <si>
    <t>레미콘 배합설계시 BP 시험으로 대체</t>
  </si>
  <si>
    <t>개선 전
배합설계 시 시험실 믹서와 레미콘 B/P 생산 시 차이 발생
현장 이동 및 현장대기 시간으로 인한 제품 저하 발생
개선 후
레미콘 배합설계와 별도로 B/P 3루베를 생산하여 믹서 트럭에 30분을 교반시켜 받아들이기 시험을 통한 제품확인 가능</t>
  </si>
  <si>
    <t>1068번과 중복(동일현장) - 접수일 동일</t>
  </si>
  <si>
    <t>D/PM-PI-CE-92</t>
  </si>
  <si>
    <t>개인 컴퓨터 클라우드 시스템 도입</t>
  </si>
  <si>
    <t>개인별 하드웨어 대신 Y-eDC 오픈랩 서버 및 국가 지원금 활용하여 클라우드 시스템 구축하여 보안 관리 및 비용 절감</t>
  </si>
  <si>
    <t>(제안자 퇴사로 미인정) DT팀에 전달하여 검토 예정</t>
  </si>
  <si>
    <t>CO/D-A/S-CE-80</t>
  </si>
  <si>
    <t>혼합골재 사양변경</t>
  </si>
  <si>
    <t xml:space="preserve">-. 개선 전 : 혼합골재
-. 개선 후 : 슬러그골재 (친환경 인증제품/ 제철소 생산)
</t>
  </si>
  <si>
    <t>아이디어 인정, 과제 미채택 
(사유 : TOP Day Check List  추가예정)</t>
  </si>
  <si>
    <t>CO/Z-PI-CE-48</t>
  </si>
  <si>
    <t>1300273</t>
  </si>
  <si>
    <t>민병수</t>
  </si>
  <si>
    <t>사외 교육 활성화</t>
  </si>
  <si>
    <t>개선 전 : 직무 역량과 별개인 언어 역량 강화에 원가 집행/소비
개선 후 : 오픽 시험비 지원을 폐지하고, 임직원 공통 사외 교육 또는 개인 사외 교육 신청을 활성화하여 직원 역량 향상 도모.
자격증 관련 동영상 강의 수강 또는 사외 교육 신청 후 수강
사외교육은 교육내용 및 본인 느낀점을 현장/팀에 브리핑을 하는 과정을 포함하여 본인교육 효과를 높이고 조직원에게 전파
예시) 기술사 동영상 강의 등록 지원(90일 수강권 400,000원/2인)
건설현장 공무1,2과정(16시간, 320,000원/인)
건설 원가관리 실무(16시간, 320,000원/인)</t>
  </si>
  <si>
    <t>단순건의 사항으로 판단. 비용 상승 요인으로 보여짐
사외위탁교육은 지속적으로 이루어져왔으나 현재가 예외적 상황임</t>
  </si>
  <si>
    <t>CO/Z-PI-CE-49</t>
  </si>
  <si>
    <t>1205375</t>
  </si>
  <si>
    <t>임수연</t>
  </si>
  <si>
    <t>법인 휴대폰 렌탈 전환</t>
  </si>
  <si>
    <t>개선 전: 개인별 휴대폰 구입 후, 판관비 비용처리
개선 후: 법인휴대폰을 렌탈 방식으로 전환하여
정산시 비용 부담을 줄이고, 일정한 고정비용으로 예산 관리 용이.
업무용 태블릿, PC, 차량과 동일하게 회사 자산으로 인식하여
체계적인 관리 도입 및 퇴사자 기기 회수를 통한 자산 손실 최소화.
이를 통한 당기비용 절감 및 영업이익 개선효과 기대
Ex) 휴대폰 단말기 할부금 일시납의 경우 2,000,000원
2년할부 기준 렌탈 시, 연간 1,000,000원으로 비용 절감 효과</t>
  </si>
  <si>
    <t>인사지원팀 검토 요청 예정</t>
  </si>
  <si>
    <t>IN/C-PI-CE-67</t>
  </si>
  <si>
    <t>2202973</t>
  </si>
  <si>
    <t>춘천속초 철도노반 7공구</t>
  </si>
  <si>
    <t>이재환</t>
  </si>
  <si>
    <t>전문인력 양성을 위한 일학습 병행제도 시행</t>
  </si>
  <si>
    <t>고졸 및 전문대 졸 직원들에 대해 사이버 대학 혹은 서울 경기 현장의 경우 야간대학 등과 협업하여 일학습 병행을 실시하여 직원들의 전문성 강화 및 애사심 증대</t>
  </si>
  <si>
    <t>(아이디어 인정, 과제 미채택) 복리후생에 가까운 의견으로 TOP과제화 아이디어로는 부적합</t>
  </si>
  <si>
    <t>EN/I-A/F-CE-80</t>
  </si>
  <si>
    <t>세대 내 건식벽 차음재(GW) 삭제에 의한 절감안</t>
  </si>
  <si>
    <t>개선 전: 건식벽 내 차음재(GW) 시공
개선 후: 건식벽 내 차음재 삭제 (자재비, 외주비 절감), 당사 기준 마련</t>
  </si>
  <si>
    <t>단위세대 중점과제 포함사항
- 안방, 침실 등 외 부속실(팬트리, 현관, 드레스룸 등) 차음재 설치기준 마련</t>
  </si>
  <si>
    <t>EN/EX-A/F-CE-21</t>
  </si>
  <si>
    <t>외장 마감재 변경</t>
  </si>
  <si>
    <t>AL.SHEET 3T 설계시 POSMAC 1.6T로 변경제안, 재료비 원가 절감(49%)효과.
절단면(현장 가공 발생시) 초기 0.5~2년 기간 피막형성으로 유지보수 용이.
Al.SHEET 대비 고강도 이므로 시공 및 보관시 파손 및 손실 최소화.</t>
  </si>
  <si>
    <t>EN/M-M-CE-47</t>
  </si>
  <si>
    <t>2100353</t>
  </si>
  <si>
    <t>하상민</t>
  </si>
  <si>
    <t>유출지하수 재활용</t>
  </si>
  <si>
    <t>[개선전] 유출지하수를 배수펌프를 이용해 우수관로 또는 우,오수혼합관로로 배출
[개선후] 유출지하수를 수질검사 후 기준에 맞는 용도로 활용. 지하수탱크에 모아 조경수, 청소용수, 화장실수등으로 활용방안을 만들어 하자의 분쟁소지를 사전에 차단하고, 버려지는 지하수를 재활용하므로 친환경 기업이미지 조성에도 도움</t>
  </si>
  <si>
    <t>유출지하수의 경우 우수처리설비와 같이 적용가능하나, 유출지하수의 영속성에 따라 저장 및 펌핑설비 비용 추가로 들며, 공간확보도 별도로 필요함. 또한, 지하수 재사용시 특성상 일정주기로 수질검사 필요함</t>
  </si>
  <si>
    <t>CO/Z-PI-CE-50</t>
  </si>
  <si>
    <t>2203414</t>
  </si>
  <si>
    <t>휴면계좌 처리 기간 연장</t>
  </si>
  <si>
    <t>• 휴면계좌 처리 기간 연장 
-개선전 : 30日 미 로그인시 휴면처리, 개선후 : 60日 미 로그인시 휴면처리</t>
  </si>
  <si>
    <t>홍보팀도 불편함. DT팀에 건의 함</t>
  </si>
  <si>
    <t>CO/D-ID/H-CE-23</t>
  </si>
  <si>
    <t>1600035</t>
  </si>
  <si>
    <t>현장별 고정형 CCTV 단가계약 및 이동형 CCTV 연동</t>
  </si>
  <si>
    <t>고정형 CCTV 업체를 이동형 CCTV와 동일하게 추진</t>
  </si>
  <si>
    <t>498번과 유사하나, 세부운영 방안이 조금 다름
기존 중복 의견 확인 요 / 아이디어 제안자 협의 필요
(25.06.05)12차 과제승인위원회 통합하여 발표</t>
  </si>
  <si>
    <t>CO/D-PI-CE-30</t>
  </si>
  <si>
    <t>0500834</t>
  </si>
  <si>
    <t>김원석</t>
  </si>
  <si>
    <t>외부의뢰시험비 연간단가 적용</t>
  </si>
  <si>
    <t>주요자재(철근, 가설재 등) 외부의뢰시험 비용을 연간단가로 계약</t>
  </si>
  <si>
    <t>CO/D-A/F-CE-67</t>
  </si>
  <si>
    <t>2202493</t>
  </si>
  <si>
    <t>박기동</t>
  </si>
  <si>
    <t>방수와 보수가 동시에 가능한 아크릴 복합방수</t>
  </si>
  <si>
    <t>시공성 개선 및 품질 개선으로 안전성 및 환경 측면 개선</t>
  </si>
  <si>
    <t>유형효과에 대한 구체적 검토 필요</t>
  </si>
  <si>
    <t>CO/D-ID/H-CE-24</t>
  </si>
  <si>
    <t>재해예방을 위한 스마트 안전모(IoT) 도입</t>
  </si>
  <si>
    <t>스마트 안전모를 관리자, 감시단에 착용시켜 극적 역할 부여</t>
  </si>
  <si>
    <t>안전환경실 협의 필요 및 초기 투자비용 발생</t>
  </si>
  <si>
    <t>CO/D-ID/H-CE-25</t>
  </si>
  <si>
    <t>작업환경 측정단가 적정성 확인절차 마련</t>
  </si>
  <si>
    <t>작업환경 측정단가 적정성 검토 본사 담당자 지정하여 확인 철저</t>
  </si>
  <si>
    <t>업체 선정 기준 및 연간단가 검토 가능</t>
  </si>
  <si>
    <t>CO/D-ID/H-CE-26</t>
  </si>
  <si>
    <t>협력사 안전용품 연간단가 적용(요청서 전산 작성)</t>
  </si>
  <si>
    <t>당사 투입 협력사에 당사 안전용품 연간단가 적용</t>
  </si>
  <si>
    <t>협력사의 당사 연간단가 적용 여부 검토 필요(상생혁신팀)</t>
  </si>
  <si>
    <t>CO/D-ID/H-CE-27</t>
  </si>
  <si>
    <t>2201606</t>
  </si>
  <si>
    <t>안전보건기획팀</t>
  </si>
  <si>
    <t>방민석</t>
  </si>
  <si>
    <t>근로자 개인보호구 지급대장 전산관리 체계 구축</t>
  </si>
  <si>
    <t>現 운영 중인 플랫폼 내 보호구 지급대장(종류, 일시) 등 기능 탑재</t>
  </si>
  <si>
    <t>필요성 인지하나 전사 관리 검토 필요</t>
  </si>
  <si>
    <t>CO/D-ID/H-CE-28</t>
  </si>
  <si>
    <t>2103027</t>
  </si>
  <si>
    <t>변관영</t>
  </si>
  <si>
    <t>안전감시단 내역화</t>
  </si>
  <si>
    <t>신규 개설 현장부터 현장 여건 및 특성에 따른 입찰 방식으로 변경</t>
  </si>
  <si>
    <t>안전감시단, 당사와의 계약사항 및 근로 계약사항 검토에 따른
이슈 사항 확인 필요함</t>
  </si>
  <si>
    <t>CO/D-ID/H-CE-29</t>
  </si>
  <si>
    <t>2103030</t>
  </si>
  <si>
    <t>유시헌</t>
  </si>
  <si>
    <t>산업안전보건관리비 절약</t>
  </si>
  <si>
    <t>현장전문직 퇴직금을 안전관리비로 사용</t>
  </si>
  <si>
    <t>현장에서 하고 있음안전관리비 임금의 정의에서 근로기준법에 따른 임금과 퇴직급여 포함이므로 가능.(단, 해당 현장에서 한하여 적용)</t>
  </si>
  <si>
    <t>CO/Z-PI-CE-51</t>
  </si>
  <si>
    <t>1205376</t>
  </si>
  <si>
    <t>정다슬</t>
  </si>
  <si>
    <t>EA 시스템 內 모든 유형의 가상 계좌 등록 가능화</t>
  </si>
  <si>
    <t>가상 계좌 등록으로 입금 확인이 간소화 되어 과태료 납부 지연 방지</t>
  </si>
  <si>
    <t>DT팀에 검토 요청. 과제화는 불필요</t>
  </si>
  <si>
    <t>CO/I-PI-CE-32</t>
  </si>
  <si>
    <t>9710257</t>
  </si>
  <si>
    <t>정대웅</t>
  </si>
  <si>
    <t>전사 안전보건 홍보물 디지털 전환을 통한 비용 절감 및 교육효과 향상</t>
  </si>
  <si>
    <t>現 운영 중인 플랫폼 내 필수 안전수칙(최소 3가지) 등 기능 탑재</t>
  </si>
  <si>
    <t>안전보건기획팀에서 추진중인것으로 TOP과제화 불필요</t>
  </si>
  <si>
    <t>CO/I-PI-CE-33</t>
  </si>
  <si>
    <t>2103032</t>
  </si>
  <si>
    <t>추인철</t>
  </si>
  <si>
    <t>교육훈련 혁신 TFT 신설</t>
  </si>
  <si>
    <t>전사 교육훈련 표준화 및 사내강사 양성으로 통제성 경비 절감</t>
  </si>
  <si>
    <t>과제화 불필요. 사내강사 양성 인사운영팀 협의 필요</t>
  </si>
  <si>
    <t>CO/D-ID/H-CE-30</t>
  </si>
  <si>
    <t>1300269</t>
  </si>
  <si>
    <t>하광래</t>
  </si>
  <si>
    <t>레미콘(특고직) 산재보험료 산출 프로세스 구축</t>
  </si>
  <si>
    <t>산재보험료 정산/개산 프로세스 구축 통한 절감 가능액 누락 RISK 관리</t>
  </si>
  <si>
    <t>과제정의서 작성
재검토 필요함</t>
  </si>
  <si>
    <t>IN/C-ID/A-CE-1</t>
  </si>
  <si>
    <t>0500376</t>
  </si>
  <si>
    <t>고경석</t>
  </si>
  <si>
    <t>(공공 장기계속공사) 공사이행보증수수료 환급</t>
  </si>
  <si>
    <t>장기계속계약 현장 준공 후 이행완료된 기성금액 부분에 해당하는 수수료 환급</t>
  </si>
  <si>
    <t>현재 수주지원팀(담당 : 손은진 사원)에서 진행중인 업무이며,
환급 시기 도래시 담당자가 신청하여 환급받고 있음</t>
  </si>
  <si>
    <t>CO/D-ID/H-CE-31</t>
  </si>
  <si>
    <t>2100604</t>
  </si>
  <si>
    <t>권은성</t>
  </si>
  <si>
    <t>출입관리시스템 및 고정식 CCTV 통일화 방안</t>
  </si>
  <si>
    <t>출입관리시스템 및 고정식 CCTV 지침 제정하여 연간단가 반영</t>
  </si>
  <si>
    <t>출입관리 과제화</t>
  </si>
  <si>
    <t>과제 진행 - 방민석 과장</t>
  </si>
  <si>
    <t>CO/D-ID/H-CE-32</t>
  </si>
  <si>
    <t>1303852</t>
  </si>
  <si>
    <t>방희정</t>
  </si>
  <si>
    <t>현장 가스측정기기 통합관리 절차 개선</t>
  </si>
  <si>
    <t>복합가스측정기 구매와 유지보수를 연간단가로 통합 운영</t>
  </si>
  <si>
    <t>통합 연단가 추진 가능</t>
  </si>
  <si>
    <t>10차(250423)</t>
  </si>
  <si>
    <t>CO/D-ID/H-CE-33</t>
  </si>
  <si>
    <t>2103025</t>
  </si>
  <si>
    <t>오철현</t>
  </si>
  <si>
    <t>터널 간이 소형 풍력발전기를 활용한 전력 활용</t>
  </si>
  <si>
    <t>터널 내 환기팬의 풍력을 이용한 발전기를 부착하여 비상대피로 전원 활용</t>
  </si>
  <si>
    <t>현 터널 구조물은 공공공사 성격으로 당 사에서 설계변경으로 발전기 설치 등 진행이 어려운 실정이며, 현재 발전기도 적용 사례가 없어 과제화 진행은 어려운 상황입니다</t>
  </si>
  <si>
    <t>CO/D-ID/H-CE-34</t>
  </si>
  <si>
    <t>와이어로프 점검장치</t>
  </si>
  <si>
    <t>와이어로프 휴대용 점검장치를 활용하여 사고 예방</t>
  </si>
  <si>
    <t>아이디어 인정, 과제 미채택
안전을 위한 투자 아이템으로 추후 논의</t>
  </si>
  <si>
    <t>CO/D-ID/H-CE-35</t>
  </si>
  <si>
    <t>1704475</t>
  </si>
  <si>
    <t>임요훈</t>
  </si>
  <si>
    <t>전기안전관리대행 업체 활용 방안</t>
  </si>
  <si>
    <t>전기안전관리대행 업체 컨설팅을 활용하여 현장 전기설비 점검/유지 보수</t>
  </si>
  <si>
    <t>가설전기 안전관리업체를 통해 전기 안전 관리 강화(인프라현장)</t>
  </si>
  <si>
    <t>CO/Z-ID/Z-SNA-1</t>
  </si>
  <si>
    <t>0500350</t>
  </si>
  <si>
    <t>차용현</t>
  </si>
  <si>
    <t>친환경 개인컵 사용</t>
  </si>
  <si>
    <t>종이컵 사용을 지양하고 개인컵을 사용하여 절약</t>
  </si>
  <si>
    <t>중복
(743번)</t>
  </si>
  <si>
    <t>유사 제안 다수</t>
  </si>
  <si>
    <t>CO/I-PI-CE-34</t>
  </si>
  <si>
    <t>1603719</t>
  </si>
  <si>
    <t>최동인</t>
  </si>
  <si>
    <t>안전보건 서류 간소화</t>
  </si>
  <si>
    <t>안전보건 서류 일부 전산화 추진</t>
  </si>
  <si>
    <t>TOP과제로는 부적합. 안전환경팀 전달</t>
  </si>
  <si>
    <t>CO/I-PI-CE-35</t>
  </si>
  <si>
    <t>1906513</t>
  </si>
  <si>
    <t>한현우</t>
  </si>
  <si>
    <t>공사일보 절차 표준화</t>
  </si>
  <si>
    <t>DT팀 출입관리 시스템 개발(절차 표준화)하여 출역일보 전산 기록관리</t>
  </si>
  <si>
    <t>801번, 1097번 모두 유사한 아이디어. 출입관리시스템
필요성에 대한 분석이 달라 아이디어로 인정함.</t>
  </si>
  <si>
    <t>CO/D-ID/H-CE-36</t>
  </si>
  <si>
    <t>2100932</t>
  </si>
  <si>
    <t>황태영</t>
  </si>
  <si>
    <t>안전시설물 갱폼수직망 세대수직망 전용 방안</t>
  </si>
  <si>
    <t>각 동 창호 크기 사전 확인하여 선행동 사용 물량을 후행동에 사용</t>
  </si>
  <si>
    <t>안전에 확인 중(박재보)
TOP의견도 필요</t>
  </si>
  <si>
    <t>CO/I-PI-CE-36</t>
  </si>
  <si>
    <t>0500659</t>
  </si>
  <si>
    <t>환경지원팀</t>
  </si>
  <si>
    <t>노현욱</t>
  </si>
  <si>
    <t>현장 환경 업무분장 개선을 통한 법규위반 RISK 감소</t>
  </si>
  <si>
    <t>현장 팀별 업무 성격을 반영하여 환경 R&amp;R 개선 시 법규 위반 Risk 감소</t>
  </si>
  <si>
    <t>과제화는 안하겠지만 제가 싼 똥 제가 치우겠습니다.
(환경지원팀도 협의해서 한건데.....)</t>
  </si>
  <si>
    <t>CO/I-PI-CE-37</t>
  </si>
  <si>
    <t>2200871</t>
  </si>
  <si>
    <t>안정규</t>
  </si>
  <si>
    <t>온실가스 배출 및 에너지사용량 저감 사례집 발간</t>
  </si>
  <si>
    <t>사례집을 통한 가이드로 현장원가(연료, 전력) 사용 저감을 통한 비용 절감</t>
  </si>
  <si>
    <t>과제화는 불필요. 해당팀에서 하면 되는데 어떤 도움이 필요한지 대화해보겠습니다.</t>
  </si>
  <si>
    <t>CO/I-PI-CE-38</t>
  </si>
  <si>
    <t>1303292</t>
  </si>
  <si>
    <t>오철승</t>
  </si>
  <si>
    <t>환경 시설물 관련 연간 단가 계약 시행</t>
  </si>
  <si>
    <t>환경시설물 구매절차 간소화 및 연간단가 일괄 계약을 통한 비용 절감</t>
  </si>
  <si>
    <t>과제화가 필요할지는 잘 모르겠음
구매팀 안전용품, 잡자재 단가계약시 내역 추가 하면 될듯함</t>
  </si>
  <si>
    <t>CO/I-PI-CE-39</t>
  </si>
  <si>
    <t>2400587</t>
  </si>
  <si>
    <t>장현재</t>
  </si>
  <si>
    <t>폐기물 관리시스템 개선을 통한 ESG경영에 기여</t>
  </si>
  <si>
    <t>Unifier 내 폐기물 관리 시스템 입력사항 단순화를 통해 활용도 제고</t>
  </si>
  <si>
    <t>구체화 하여 DT팀 건의. 과제화 여부는 향후 판단 but 과제화는 필요없을듯</t>
  </si>
  <si>
    <t>CO/I-PI-CE-40</t>
  </si>
  <si>
    <t>환경관리비 사용 개선을 통한 현장 부담 완화 및 ESG경영에 기여</t>
  </si>
  <si>
    <t>건진법에서 명시한 환경관리비 세부항목을 내역화하여 실행에 반영</t>
  </si>
  <si>
    <t>추정원가 원가코드 개선에서 정리 작업 중. 환경팀 의견 청취 예정. 과제화 불필요</t>
  </si>
  <si>
    <t>CO/D-A/S-CE-81</t>
  </si>
  <si>
    <t>물차 운영방법 변경에 따른 절감의 건(전사)</t>
  </si>
  <si>
    <t xml:space="preserve">• 개선전
 - 레미콘 업체에서 물차 제공 후 최저규격 환산하여 대금지급 中
• 개선 후 (전사 시점)
  - 건축현장의 경우 대부분 부스터펌프 보유 中 _설비
- 부스터펌프를 사용하여 현장에서 레미콘차에 직접 청수
당 현장 부스터펌프 규격
규격	청수용량	청수시간
100 LPM	5T	100L / 1min
• 전사 적용 기준 약 13.2억원/年 이상 절감 가능
 ※ 산정근거
   - 83,900원 * 2㎥ * 펌프카 22대(1개월 사용기준) = 3,691,600원
   - 3,691,600원 * 30개현장 * 12개월 = 1,328,976,000원
</t>
  </si>
  <si>
    <t>물차 사용에 대한 아이디어(226번, 521번) 중복이지만,
개선방안이 다름</t>
  </si>
  <si>
    <t>CO/Z-PI-CE-52</t>
  </si>
  <si>
    <t>0902619</t>
  </si>
  <si>
    <t>이보배</t>
  </si>
  <si>
    <t>전사 CAD 프로그램 계약 수량 최적화</t>
  </si>
  <si>
    <t>각 사업부 별로 필요 수량을 조사하여 계약 수량 최적화 시행</t>
  </si>
  <si>
    <t>9차</t>
  </si>
  <si>
    <t>EN/M-M-CE-48</t>
  </si>
  <si>
    <t>아파트 최하층 집수정 연결</t>
  </si>
  <si>
    <t xml:space="preserve">1)	최하층의 넓이에 따라 조닝 후 건축집수정을 기초 매립배관을 통해 연결하면 각 조닝별 1곳에만 가설펌프 및 배관 설치로 손쉬운 배수 가능
주차장 넓은 부위의 바닥에 배관연결을 통해 구배불량에 따른 과도한 고인물 자동 제거 가능
</t>
  </si>
  <si>
    <t>EN/EX-A/S-CE-8</t>
  </si>
  <si>
    <t>아파트 계단실 창호 삭제의 건</t>
  </si>
  <si>
    <t xml:space="preserve">1. 아파트 계단실 매층 창호 삭제
2. 화재시 배연창 용도 적용시(2층, 중간층, 최상층만 적용)
3. 공사中 안전사고 예방에 유리함
</t>
  </si>
  <si>
    <t>과제화 불가 / 현장 TOP 추진
- 해당 사항 적용 후 건축심의 / 건축허가 등 원활한 인허가 통과 불가
- 사실상 자동차에서 앞, 뒤 유리가 있으니 옆 유리를 제거하자는 수준</t>
  </si>
  <si>
    <t>EN/S-A/S-CE-57</t>
  </si>
  <si>
    <t>단차구간 기초설계시 비용절감의 건</t>
  </si>
  <si>
    <t>1.	단차구간 아파트 외벽과 단차구간 높은쪽 기초가 아파트 외벽에서 겹치도록 설계 → 겹치는 폭만큼 상부기초 폭을 줄일 수 있음</t>
  </si>
  <si>
    <t>아이디어 인정, 과제 미채택
(사유 : 현장특수성에 따른 VE 사례)</t>
  </si>
  <si>
    <t>EN/EX-A/S-CE-9</t>
  </si>
  <si>
    <t>초고층 건축물 외벽 장식 디자인 설계 및 시공 검토</t>
  </si>
  <si>
    <t xml:space="preserve">※ 피난층 외벽 디자인 적용 사항 개선
- 당초 : AL 루버 디자인 (초고층 양중 및 외부 작업발판 필요)
- 변경 : 콘크리트 장식 디자인 (요철 거푸집을 활용한 일체타설)
1.	시공성 개선: 초고층 건축물의 외벽 장식으로 곤돌라 및 크레인을 사용하는 고난도 작업이므로 시공 용이성 고려
2.	안전성 향상: 풍하중 및 진동에 따른 구조적 안정성 검토 필요
3.	유지보수 효율성: 외벽 장식이 오랜 기간 유지 될 수 있도록 내구성과 손쉬운 유지보수가 가능하도록 설계(자재의 오염 방지 특성 반영)
경제성 향상 : 콘크리트와 이질 마감재 결함에 따른 비용 상승 요소 제거
</t>
  </si>
  <si>
    <t>현장 TOP 추진
- 별도 외벽 AL 장식물 대신에 골조 요철로 대신
- 당사 광교 현장 적용하였으나 당시 시공성 저하로 일부 리스크 혼재</t>
  </si>
  <si>
    <t>CO/Z-PI-CE-53</t>
  </si>
  <si>
    <t>현장소장 기술공모제</t>
  </si>
  <si>
    <t xml:space="preserve">• 개선 방향
-	매년 정례적 ‘현장소장 기술 공모제’ 기준 수립
√ 시행 횟수, 공모 방법, 평가 방법 등
-	현장소장 후보자의 기술역량 평가
√ 기술제안 PT 등
-	직원의 기술 역량(공정관리, 원가관리, 안전관리, 품질관리) 향상 및 도전 의식 고취
</t>
  </si>
  <si>
    <t>아이디어 인정, 과제 미채택
기술공모제를 통한 현장소장 배치는 분명 필요하나, 이를 객관적으로
평가하고 시행하는데 어려움이 있을것으로 판단함</t>
  </si>
  <si>
    <t>CO/D-A/S-CE-82</t>
  </si>
  <si>
    <t>2102451</t>
  </si>
  <si>
    <t>김영택</t>
  </si>
  <si>
    <t>바체어 적용 제안안</t>
  </si>
  <si>
    <t xml:space="preserve">현장 별 기초 두께를 감안하여 바체어 적용 시 안전성과 
품질이 확보될 것으로 판단됨. 고임(우마)철근(1.2m 전후)에 
비해 넓은간격(2.5~3.0m) 간격으로 설치 가능 – 기초철근
내부 작업시 공간확보에 따른 시공성(작업성) 개선
</t>
  </si>
  <si>
    <t>아이디어 인정, 과제 미채택 
(사유 : TOP Day Check List 포함된 내용)</t>
  </si>
  <si>
    <t>EN/S-C-CE-15</t>
  </si>
  <si>
    <t>B동 연약지반 치환</t>
  </si>
  <si>
    <t xml:space="preserve">-터파기 전 추가 지반조사 (6공) 실시하여 실제 연암의 분포 범위, 예상심도를 파악함
-가장얕은 심도의 연암부위는 터파기하여 평판 재하시험 실시
-동일한 조건(N치,암질)까지 터파기 하여 치환진행
</t>
  </si>
  <si>
    <t>EN/S-C-CE-16</t>
  </si>
  <si>
    <t>B동 흙막이 지보공 변경</t>
  </si>
  <si>
    <t>지하 안전영향평가 재협의로 지보공 공법 변경(Sturt-&gt;E/A)에 따른 공사비 절감으로 및 안전성 확보</t>
  </si>
  <si>
    <t>EN/S-C-CE-17</t>
  </si>
  <si>
    <t>B동 동측산지 CIP작업을 위한 성토(유용토)</t>
  </si>
  <si>
    <t xml:space="preserve">전) 천공 구간 전체 성토 후 시공하며 절토하는 시공순서
     “성토완료-&gt;CIP천공-&gt;E/A천공-&gt;절토”단별 진행
후) 단별 성토와 CIP 천공을 진행 후 후속공사 진행
    “성토-&gt;CIP천공” 후 “E/A천공-&gt;절토” 단별 진행
</t>
  </si>
  <si>
    <t>CO/D-A/F-CE-68</t>
  </si>
  <si>
    <t>2303370</t>
  </si>
  <si>
    <t>김현우</t>
  </si>
  <si>
    <t>균열저감형 라텍스 누름 콘크리트 적용의 안</t>
  </si>
  <si>
    <t xml:space="preserve">개선 전: 섬유 혼화재를 적용한 누름 콘크리트
개선 후: 라텍스 혼화재를 적용한 누름 콘크리트 
</t>
  </si>
  <si>
    <t>특정업체 특허제품 활용</t>
  </si>
  <si>
    <t>CO/Z-PI-SNA-8</t>
  </si>
  <si>
    <t>2204256</t>
  </si>
  <si>
    <t>서현수</t>
  </si>
  <si>
    <t>고용산재보험 개별실적요율 관리</t>
  </si>
  <si>
    <t xml:space="preserve">• 전사적으로 현장, 안전에서 각각 해당 요율을 관리할 수 있는 방안 강구의 기회가 필요할 것으로 사료됨
-	예시1 (비주간현장의 경우) 공도사 원가안분 당시 주간사에 하도급승인 서류 요청 및 관리 필요
-	예시2 (외주)래미콘 특고직 등 직접 고용 인원 활용 방안
-	예시3 (인사/안전) 하수급인 승인신청 활성화 및 산재 발생 시 당사 개별실적 요율에 영향을 받지 않도록 risk 관리 
-	예시4 (안전) 개별실적요율 노동부에 조정 신청
</t>
  </si>
  <si>
    <t>제안자 협의 필요</t>
  </si>
  <si>
    <t>CO/Z-PI-SNA-9</t>
  </si>
  <si>
    <t>1900030</t>
  </si>
  <si>
    <t>안식월 제도의 현황과 개선 방향</t>
  </si>
  <si>
    <t xml:space="preserve">※ 하기 운영안은 직원들의 다양한 의견에서 비롯된 제안사항으로, 유관부서 협의/직원 
공청회 등 여러 검토 과정 후 실행 가능성을 판단할 예정입니다.
1. 안식월 운영 개선(案)
• 2회 분할 사용
- (1회) 유급휴가 지원 1일 + 특별휴가 4일 + 개인연차 5일 (총 10일)
- (2회) 유급휴가 지원 5일 + 개인연차 5일 (총 10일)
※ 현장 소속 직원 한정 or 전 직원 대상 여부 추가 논의 필요
• 리더 직급 필수 사용 문화 조성
- 1갑/보직자 필수 사용 규정 도입 통한 “리더십 솔선수범” 문화 정착
→ 미사용 시 사유서 제출
• 안식월 사용 시점 유연화
구분	본사	국내현장	해외현장
現 기준	승진 후 6개월 이내	준공 후 2개월 이내	귀임/정기휴가 연계
변경(안)	승진 직급 내	귀임휴가 연계 必
• 근속 기준으로 안식월 운영 기준 변경
- (1안) 장기근속 포상자(10년/20년/30년) 기준 안식월 운영 (全 직원 대상)
- (2안) 일반직(과장이상): 현행 유지 / 사무·전문직(기타): 장기근속 포상 기준
• 직급별 회사지원 휴가 합산 사용 허용
- 과장 승진 시 발생한 회사지원 휴가(6일)을 차장 승진 후 합산(총 12일) 사용
- 퇴직 전 까지 적립된 회사지원 휴가(최대 18일)를 ‘퇴직 전 휴가’ 형태로 사용
※ 단, 임원 승진 시 직원 신분으로 적립된 휴가 소멸
</t>
  </si>
  <si>
    <t>인사팀 자체 진행하는걸로 결정됨</t>
  </si>
  <si>
    <t>CO/Z-PI-SNA-10</t>
  </si>
  <si>
    <t>현장전문직 급여지급명세서 전송기능 도입</t>
  </si>
  <si>
    <t xml:space="preserve">1. 현장전문직 급여명세서 자동 메시지 전송 기능 구현
 • (당초) 현장전문직(PC 미사용자) 급여지급명세서 출력하여 제공
         or 출력물 사진촬영 후 메시지 전송
 • (변경) 현장전문직(PC 미사용자) 급여지급명세서 자동 메시지 전송을 통해
         업무 간소화 및 누락 방지
</t>
  </si>
  <si>
    <t>DT팀 문의 예정</t>
  </si>
  <si>
    <t>CO/Z-PI-SNA-11</t>
  </si>
  <si>
    <t>일용직 및 장비 단가 승인 절차 개선</t>
  </si>
  <si>
    <t xml:space="preserve">. 일용직 및 장비 단가 승인 절차 개선
 • (당초) 사업본부 지원팀 일용직 및 장비 단가 승인 요청
         → 단가 승인 후, 승인 단가 내에서 현장별 거래처 자율 선정
 • (변경) 각 사업부 지원팀 지역별 일용직 및 장비 단가 고시
         (반기 or 매년 or 필요시 고시 단가 업데이트)
         → 고시 단가 내, 현장별 자율적 거래처 선정 및 사용
            (고시 단가를 넘을 경우 예외적으로 단가 승인 요청)
</t>
  </si>
  <si>
    <t>실효성 없음</t>
  </si>
  <si>
    <t>CO/Z-PI-SNA-12</t>
  </si>
  <si>
    <t>(현장) 업무 수행에 따른 겸직 원가 안분 비율 조정(안)</t>
  </si>
  <si>
    <t xml:space="preserve">• (Case1) A건축현장, B인프라현장 발령 시 현장 업무 수행 기여도에 따른 원가 안분 비율 조정(0.7 / 0.3)
• (Case2) 준공 임박 현장A, 신규 착공 현장B 발령 시 현장 업무 수행에 따른 원가 안분 비율 조정(0.4 / 0.6)
• (Case3) 현장 별 상황에 따른 주말 근무 시 원가 비율 조정(A현장 1회, B현장 1회)
</t>
  </si>
  <si>
    <t>본사 지원인력 인건비/소용비용 배부시, 같이 검토. 시스템 수정 필요</t>
  </si>
  <si>
    <t>CO/Z-PI-SNA-13</t>
  </si>
  <si>
    <t>(현장) 업무용 차량 지급/운영 방식 변경(안)</t>
  </si>
  <si>
    <t xml:space="preserve">• 본사 입찰을 통한 발주 형식의 장단점을 분석하여 최종 개선안의 방향성을 결정해야 하겠으나, 업무용 차량의 본 취지를 생각한다면 원가 절감 보다는 현장에서 필요한 시기에 적절한 발주 및 최적의 형태로 제공되는 것이 현장 업무 수행 관점에서는 더 효율적일 것으로 보여짐
☞ 권역별 지역 렌터카 업체 활용 혹은 필요에 따라서는 중고차 매입도 검토하여 현장 별 업무용 차량 공백 최소 및 현장 니즈에 맞는 업무용 차량 운영 방안 검토
Ex. 부지조성 현장 등 오프로드 필드인 경우 사륜구동 및 대형 SUV 제공
    도심지 철도 현장은 경차, 전기차 등 다양한 옵션의 차량 제공
</t>
  </si>
  <si>
    <t>지역렌터카 업체에 따른 리스크 존재(부도, 대응 미흡 등 먹튀 가능성). 업체 검증 절차, 운영시 차량 관리(본사에서 추적 힘듦) 등 업무 증가 가능성 高. 업무용차량 종류 확대(경차, 전기차 등)은 추진 예정</t>
  </si>
  <si>
    <t>CO/Z-PI-SNA-14</t>
  </si>
  <si>
    <t>0700472</t>
  </si>
  <si>
    <t>김지성</t>
  </si>
  <si>
    <t>TOP-playground 플랫폼 구축
(임직원의 TOP 참여율 높이기 – 집단지성 활용 극대화 방법)</t>
  </si>
  <si>
    <t xml:space="preserve">1. 방향성
• 프로젝트(현장)별 주요 마일스톤으로 선정하여, 공유 플랫폼에 데이터 업로드
• 전 임직원이 관심 있는 프로젝트별로 접근하여, 개인별 원시 아이디어(Raw Ideas) 입력 (개인별 전문지식+개인별 현장 고유 경험치) : 기명 or 무기명으로 선택 입력 가능
• 현장에 바로 적용할 수 있는 아이디어는 즉시 활용하고, TOP 추진실에서 실시간으로 모니터링하여 중점 추진 과제로 확장할 수 있는 아이템 선별적 발굴
• (플랫폼 운영 프로세스)
</t>
  </si>
  <si>
    <t>제안한 내용은 장단점이 있을 것으로 생각됨.(자발적으로 플랫폼에서 누가 그렇게 하련지....또한 기초데이터 입력을 현장이나 누가 해야되는데 제대로 될 가능성 매우 낮음. 1PJ 타겟으로 현장 TOP활동도 병행하여 진행중임. 시스템 구축에 돈 들어감)</t>
  </si>
  <si>
    <t>CO/Z-PI-SNA-15</t>
  </si>
  <si>
    <t>1400280</t>
  </si>
  <si>
    <t>오소영</t>
  </si>
  <si>
    <t>건강/연금보험 관리 시스템 개선</t>
  </si>
  <si>
    <t xml:space="preserve">1. 건강/연금보험 관리 시스템 개선
 • (당초) 보험취득관리 내, 건강/연금보험료 보수월액 및 공제금액 입력 후
         보험공단 고지 자료를 별도로 업로드하여 공제-고지금액 차액 확인
         (차액이 확인 될 경우, 공제금액 수정 필요)
 • (변경) 보험공단자료를 업로드하여 고지금액이 자동으로 공제되도록 시스템
          일원화
          - 입력자료 확인 및 차액 분에 대한 별도 수정 절차 불필요
          - 보수월액 변경에 따른 착오 공제 방지
</t>
  </si>
  <si>
    <t>DT팀 문의 예정. 과제화는 불필요(이승재 대리)</t>
  </si>
  <si>
    <t>CO/Z-PI-SNA-16</t>
  </si>
  <si>
    <t>2401532</t>
  </si>
  <si>
    <t>이동선</t>
  </si>
  <si>
    <t>현장전문직 (전자)근로계약 체결</t>
  </si>
  <si>
    <t xml:space="preserve">1. 전자서명을 활용한 현장전문직 근로계약 체결 
 • (당초) 현장전문직 근로계약 체결시 오프라인 양식 활용
 • (변경) 현장전문직 근로계약 체결시 전자서명 활용
         → 현장 문서 최소화 및 망실 방지(노무관리 근로고용계약 정보와 연계)
            (PC미사용 인원 限 오프라인 양식 활용)
</t>
  </si>
  <si>
    <t>DT팀 문의 예정. 과제화는 불필요</t>
  </si>
  <si>
    <t>CO/Z-PI-SNA-17</t>
  </si>
  <si>
    <t>2302223</t>
  </si>
  <si>
    <t>이소원</t>
  </si>
  <si>
    <t>주 4(4.5)일제 근로 제도 도입</t>
  </si>
  <si>
    <t xml:space="preserve">회사 비용 절감(초과근무수당, 전기료, PC/복합기, 냉난방기 등) 
및 직원 업무의 생산성 증가
</t>
  </si>
  <si>
    <t>TOP과제로는 부적합. 개선방향 및 개선효과 모호함.</t>
  </si>
  <si>
    <t>CO/Z-PI-SNA-18</t>
  </si>
  <si>
    <t>1004649</t>
  </si>
  <si>
    <t>전재경</t>
  </si>
  <si>
    <t>국내 TOP 5 건설사 특허 및 굿 디자인 Sharing</t>
  </si>
  <si>
    <t xml:space="preserve">각 사 특허 및 굿 디자인 공유/적용 협정을 통한
한화 기술력 향상 및 브랜드 가치(파워) 제고
</t>
  </si>
  <si>
    <t>아이디어 자체는 고려해볼만 하나 제안의 구체성 또는 사례 부족
(무엇을 Sharing 할지 구체적인게 없음)</t>
  </si>
  <si>
    <t>CO/Z-PI-SNA-19</t>
  </si>
  <si>
    <t>1205379</t>
  </si>
  <si>
    <t>한예은</t>
  </si>
  <si>
    <t>하이브리드 근무 도입으로 사무실 임차료 절감</t>
  </si>
  <si>
    <t>• 하이브리드 근무(주 3일 사무실 출근)를 실시하여 지정좌석제에서 자율 좌석제 변경으로 사무실 임차 면적 감소로 사무실 임차료 절감 효과 기대</t>
  </si>
  <si>
    <t>제안은 인정하나 구체성 부족. 실현 타이밍이 현재는 부적절(대규모 이동이 있을때 검토 할만함)</t>
  </si>
  <si>
    <t>CO/Z-PI-SNA-20</t>
  </si>
  <si>
    <t>1304217</t>
  </si>
  <si>
    <t>CR지원팀</t>
  </si>
  <si>
    <t>육아 휴직 활성화를 통한 인력 운영 효율화</t>
  </si>
  <si>
    <t xml:space="preserve">• 육아로 인해 업무에 집중할 수 없는 근로 인원들을 대상으로 육아 휴직 사용을 적극적으로 권장하여 업무 수행의 비효율성을 감소시키고 인건비를 절감
• 육아 휴직자 대신 업무를 수행하게 되는 동료들에 대해서는 약 50만원의 경제적 인센티브를 제공(ex. 두산그룹 서포터즈 지원금)
 : 업무 대행자가 1인일 경우 1인에게 50만원을 제공하되, 2명 이상이 업무를 분담하게 될 경우 1/n로 나누어 제공.
</t>
  </si>
  <si>
    <t>현재 인력상황과 상반됨(현재 사업본부 인력운영은 여유롭지 않음). 육아휴직 활성화 방안(지원금)은 향후, 검토해볼만함. TOP과제로 추진하기에 어려움이 있는 과제임(회사 내 의사결정으로 끝나지 않음). 육아휴직은 회사에서 강제로 쓰라마라 할 수는 없음</t>
  </si>
  <si>
    <t>CO/Z-PI-SNA-21</t>
  </si>
  <si>
    <t>0600122</t>
  </si>
  <si>
    <t>홍보팀</t>
  </si>
  <si>
    <t>권영호</t>
  </si>
  <si>
    <t>정기 승진자 개별통보 및 비공개화</t>
  </si>
  <si>
    <t xml:space="preserve">• 매년 진행하는 정기 승진자 발표를 개별 통보로 변경하여 외부 진급 여부를 
비공개화. 미진급자 불만 등의 불안요소 제거
• 개별 이메일로 통보 또는 개인 오피스 전산에 노출하는 방식
</t>
  </si>
  <si>
    <t>TOP로 해결하기 어려운 과제(회사 내 의사결정으로 끝나지 않음)
이미, 현업부서에서 검토한 아이디어로 TOP과제화는 불필요함</t>
  </si>
  <si>
    <t>CO/Z-PI-SNA-22</t>
  </si>
  <si>
    <t>0601403</t>
  </si>
  <si>
    <t>김준용</t>
  </si>
  <si>
    <t>중고장터 및 나눔/기부 게시판</t>
  </si>
  <si>
    <t xml:space="preserve">• 한화빌딩에서 근무하는 사람들이 많은 것을 이용, 간단한 개인물품들에 대해 한화 직원끼리 중고거래 또는 나눔과 기부가 가능한 게시판을 만드는 안(그룹사 참여가 없을 경우 건설 게시판으로 생성)
• 나눔을 받은 임직원의 경우 자율적으로 기부금을 정해 적립한 후 연말에 기부하는 행사 마련 (실물 사랑의 모금함 설치로 전시 효과)
</t>
  </si>
  <si>
    <t>유사한 게시판 있음(채널H-plus Connect, 그룹게시판/팝니다/삽니다). 과거 잘 운영되다가 현재는 외부광고로 도배됨.</t>
  </si>
  <si>
    <t>CO/Z-PI-SNA-23</t>
  </si>
  <si>
    <t>2201515</t>
  </si>
  <si>
    <t>신민경</t>
  </si>
  <si>
    <t>AI 활용을 통한 광고제작비 절감</t>
  </si>
  <si>
    <t xml:space="preserve">• 최소한의 브랜드 인지도 유지를 위한 저비용 광고 소재 발굴
→ AI 기술을 활용하여 불필요한 제작비 항목 최소화 
</t>
  </si>
  <si>
    <t>좋은 아이디어같은데 올해 광고비 쓸일이 있을런지 구체적으로 판단 필요</t>
  </si>
  <si>
    <t>CO/Z-PI-SNA-24</t>
  </si>
  <si>
    <t>2000171</t>
  </si>
  <si>
    <t>신재아</t>
  </si>
  <si>
    <t>입주자 기념품을 포레나 굿즈로 전달</t>
  </si>
  <si>
    <t xml:space="preserve">•	당사 2025년 자체 시공물량 1,788세대 (부산덕천3, 부산당리, 울산무거)
	기존 단가 3만원 적용 시, 5,364만원 비용 투입
(광고대행사가 지원하는 옥외 광고물 등의 효과를 예상)
</t>
  </si>
  <si>
    <t>좋은 아이디어인데 비용이 증가함. 기존 입주기념품을 대체하는 방안이 필요함</t>
  </si>
  <si>
    <t>CO/Z-PI-SNA-25</t>
  </si>
  <si>
    <t>0600613</t>
  </si>
  <si>
    <t>장민수</t>
  </si>
  <si>
    <t>종합광고대행사 입찰방식 변경을 통한 서비스광고 집행</t>
  </si>
  <si>
    <t xml:space="preserve">당팀은 언론협찬 대행을 위한 광고대행사를 운영하고 있음
광고대행사 선정시 당사에 제공가능한 서비스 광고 항목을 제안서에 포함하는 제안방식의 변경을 통해 연간 협찬금액의 10% 수준에 해당하는 서비스 광고를 지원받을 수 있도록 함
</t>
  </si>
  <si>
    <t>제안은 인정. 과제화는 불필요. 비용증가 가능성 높음</t>
  </si>
  <si>
    <t>CO/Z-PI-SNA-26</t>
  </si>
  <si>
    <t>1300264</t>
  </si>
  <si>
    <t>장형준</t>
  </si>
  <si>
    <t>조간신문스크랩 재택 수행 후 출근으로 교통비 절감</t>
  </si>
  <si>
    <t xml:space="preserve">• 현재 택시를 타고 사무실로 출근해서 실시(오전 5시 30분 출근 후 오후 3시 30분에 퇴근)하는 조간신문스크랩 작업을 각 직원이 집에서 실시한 후에 출근하는 방식으로 변경.
조간신문스크랩 후 집에서 휴식, 점심시간 이후에 대중교통을 이용해서 출근하고 정시에 퇴근하는 것으로 변경
</t>
  </si>
  <si>
    <t>과제화는 불필요. 팀 내 건의하면 될 일 같은데...</t>
  </si>
  <si>
    <t>CO/Z-PI-SNA-27</t>
  </si>
  <si>
    <t>2204274</t>
  </si>
  <si>
    <t>정유나</t>
  </si>
  <si>
    <t>포레나 굿즈 SET화∙단순화</t>
  </si>
  <si>
    <t xml:space="preserve">• 포레나 시그니처 와인은 정체성이 확고하고 가격 경쟁력 확보가 가능한 바, 그대로 유지. 디퓨저/캔들을 SET 형식으로 통합하고자 함
• 이때 디퓨저와 캔들 크기를 축소하여 운반과 소지 편의성을 높이고 선물로의 의미를 강화
</t>
  </si>
  <si>
    <t>계약, 제품과 관련하여 현재 즉시 수행하기 어려운 과제. 적정시점 홍보팀 자체 수행 예정</t>
  </si>
  <si>
    <t>CO/Z-PI-SNA-28</t>
  </si>
  <si>
    <t>0700732</t>
  </si>
  <si>
    <t>최우람</t>
  </si>
  <si>
    <t>현장 주관 지역매체 광고협찬 금액 검토 절차 신설</t>
  </si>
  <si>
    <t xml:space="preserve">현장상황, 사안의 중대함, 매체 특성 등을 고려한 적절한 광고협찬금액을
  홍보팀과 사전에 협의하는 프로세스 신설
(현장) 매체의 광고협찬 요청 수령 → (현장) 광고협찬 여부 및 금액에 대한
내부심의를 거쳐야함을 매체에 고지 / 홍보팀에 알림 → (홍보팀) 사안의 특수성
등을 고려해 현장과 적절한 광고협찬금액 협의 → (현장) 매체에 광고협찬 여부 
및 금액 고지 → 내부품의 등 진행 후 집행
매체에 내부심의에 대한 프로세스를 고지 시 “홍보팀 등 특정부서의 검토를
거쳐야 한다”는 등의 언급을 금지하는 등 세부적인 가이드라인 필요
(홍보팀이나 특정부서 언급 시 해당매체의 협상 상대가 현장이 아닌 본사로  변경, 리스크 확대 가능)
</t>
  </si>
  <si>
    <t>홍보팀에서 과제화 하고 싶은 주제로 선정하였음. 과제의 유형효과가 미비함
사업본부에서 현실적으로 어렵다고 함</t>
  </si>
  <si>
    <t>CO/Z-PI-SNA-29</t>
  </si>
  <si>
    <t>법무실</t>
  </si>
  <si>
    <t>2101177</t>
  </si>
  <si>
    <t>법무팀</t>
  </si>
  <si>
    <t>강수재</t>
  </si>
  <si>
    <t>일상 생활에서의 비용 절감</t>
  </si>
  <si>
    <t xml:space="preserve">	불필요한 종이 사용을 줄이고 가급적 인쇄 대신 PDF 문서를 활용하도록 함
	문구류(펜, 노트 등)를 개인별로 지급하는 대신 공용으로 운영하여 불필요한 낭비 줄이기
	기존 재고를 파악한 후 반드시 필요한 물품만 구매
	여러 부서가 필요한 물품을 한번에 대량 구매하여 단가 절감
	저렴하면서도 품질이 좋은 대체 브랜드 제품을 활용
	종이컵 대신 개인 머그컵 사용 권장
</t>
  </si>
  <si>
    <t>바람직한 이야기이나 다소 중복되는 내용과 실행의 구체성이 부족함. 단순 캠페인 차원으로는 개선을 기대하기 힘듦</t>
  </si>
  <si>
    <t>CO/Z-PI-SNA-30</t>
  </si>
  <si>
    <t>업무생산성 향상</t>
  </si>
  <si>
    <t xml:space="preserve">	시관 관리 소프트웨어 도입을 통한 시간 낭비 최소화
	업무 생산성 높은 시간에 업무를 집중적으로 할 수 있도록 독려
	원격 근무 모델을 도입하여 임직원 출퇴근 시간 절약 및 체력 확보를 통한 생산성 향상
</t>
  </si>
  <si>
    <r>
      <rPr>
        <sz val="11"/>
        <color rgb="FF000000"/>
        <rFont val="맑은 고딕"/>
        <family val="3"/>
        <charset val="129"/>
      </rPr>
      <t>대다수 인력은 현장근무자로 현장근무자에 대한 대응, 고려가 없음. 실</t>
    </r>
    <r>
      <rPr>
        <u/>
        <sz val="11"/>
        <color rgb="FF000000"/>
        <rFont val="맑은 고딕"/>
        <family val="3"/>
        <charset val="129"/>
      </rPr>
      <t>행방안도 모호함</t>
    </r>
  </si>
  <si>
    <t>CO/Z-PI-SNA-31</t>
  </si>
  <si>
    <t>1901520</t>
  </si>
  <si>
    <t>구속력 없는 약정 검토절차 간이화</t>
  </si>
  <si>
    <t>	영/한 ver. 구속력 없는 약정서 표준(안) 또는 구속력 미발생을 위하여 필수적으로 포함되어야 하는 문구 게시(공지) 후 이를 적용한 약정의 경우 법무검토 배제</t>
  </si>
  <si>
    <t>과제화는 불필요. 법무팀과 논의하여 실행</t>
  </si>
  <si>
    <t>CO/Z-PI-SNA-32</t>
  </si>
  <si>
    <t>하자사건 소송관리 단일화 및 자문 아웃소싱</t>
  </si>
  <si>
    <t xml:space="preserve">	하자소송에 한하여 법무팀은 위임전결규정 개정을 통해 1,2차 로펌선임품의 관련 기안 및 일반결재선에서 제외(단순 공유만 필요)
	또한 하자소송이나 사건 관련한 법률자문은 고객서비스팀에서 외부 법무법인과 월고문계약을 체결하여 아웃소싱
</t>
  </si>
  <si>
    <t>법무팀, 고객서비스팀, 기획팀 논의 필요. TOP과제로는 부적합</t>
  </si>
  <si>
    <t>CO/Z-PI-SNA-33</t>
  </si>
  <si>
    <t>2302185</t>
  </si>
  <si>
    <t>김미수</t>
  </si>
  <si>
    <t>층별 공용사무용품 활용</t>
  </si>
  <si>
    <t xml:space="preserve">• 층별로 공용 사무용품공간을 마련하여 대량으로 필요하지 않은 사무용품들은 공용 사무용품공간에 보관하여 모두가 공유하여 사용
• 퇴사자가 발생하거나 필요없는 사무용품이 있는 경우 공용 사무용품공간에 보관하여 필요한 사람이 쓸 수 있도록 하고, 입사자의 경우에도 공용 사무용품에서 활용하여 새로운 사무용품비용 절감
• 필요할 경우 대량으로 구매하여 저렴한 가격으로 구매할 수 있도록 함
</t>
  </si>
  <si>
    <t>현장지원팀 건의. 과제화는 불필요</t>
  </si>
  <si>
    <t>CO/Z-PI-SNA-34</t>
  </si>
  <si>
    <t>집중근무 분위기 조성 방안</t>
  </si>
  <si>
    <t xml:space="preserve">• 폰부스의 크기를 줄여서 곳곳에 배치하여 활용도를 높이고, 전화로 인한 소음을 줄여 집중하여 근무할 수 있는 분위기 형성
• 활용도가 떨어졌던 폰부스가 모여있던 장소는 휴게실 또는 회의실로 활용하여 효율화 도모
</t>
  </si>
  <si>
    <t>비용이 드는 부분으로 향후, 사무공간 재배치시 현장지원팀 건의</t>
  </si>
  <si>
    <t>CO/Z-PI-SNA-35</t>
  </si>
  <si>
    <t>2204004</t>
  </si>
  <si>
    <t>원소연</t>
  </si>
  <si>
    <t>도서활용 공용화</t>
  </si>
  <si>
    <t xml:space="preserve">	구체적인 개선방향은 추가적인 검토가 필요함
	업무 도서의 경우 통독보다는 발췌독을 요하는 경우가 많으므로 스캔본으로 활용하더라도 충분한 도움을 받을 수 있을 것으로 보임
	저작권법 등 위반하지 않는 방법으로 공유할 수 있는 방법 검토 필요 
	공유가치 있는 업무도서의 리스트의 경우 설문조사가 수반되면 더 효율적일 것으로는 보임 
</t>
  </si>
  <si>
    <t>구체적인 실행방안이 없음. 건의사항</t>
  </si>
  <si>
    <t>CO/Z-PI-SNA-36</t>
  </si>
  <si>
    <t>2301955</t>
  </si>
  <si>
    <t>최소진</t>
  </si>
  <si>
    <t>집중 업무 공간 마련</t>
  </si>
  <si>
    <t xml:space="preserve">	법무팀 전용 또는 공용으로 사용할 수 있는 집중 업무 공간을 마련하여, 방해받지 않고 업무에 몰입할 수 있도록 함
	일정 시간 동안 집중 업무를 수행할 수 있도록 예약제 또는 지정 시간 운영 방식을 도입
	소음 차단 시설(흡음 패널, 방음 부스 등)을 적용해 조용한 환경을 조성
	인체공학적 가구(편안한 책상, 의자) 및 조명 개선을 통해 업무 환경 최적화
	전자기기 최소화: 집중업무공간 내에서는 전화통화나 소음 유발 행위를 제한하여 몰입도를 높임
</t>
  </si>
  <si>
    <t>비용 상승 건이며 팀 건의사항으로 TOP과제로 부적합함</t>
  </si>
  <si>
    <t>IN/C-PI-SNA-1</t>
  </si>
  <si>
    <t>2101466</t>
  </si>
  <si>
    <t>이무영</t>
  </si>
  <si>
    <t>법인카드내역 분개화</t>
  </si>
  <si>
    <t>인터넷과 대형마트 결재 시 집행 내역별로 결재해야 하는 번거로움 발생이 됨. 개선 후 현장 경비 내역을 보다 상세히 집행 처리 될 거라 예상됨</t>
  </si>
  <si>
    <t>(아이디어 미인정) 결재시 분할 결재를 통하여 해결 가능할 것으로 판단됨</t>
  </si>
  <si>
    <t>IN/C-PI-SNA-2</t>
  </si>
  <si>
    <t>일용출역등록 엑셀 파일 업로드화</t>
  </si>
  <si>
    <t>일괄등록과 전일복사를 한 후 양식 그대로 엑셀파일로 다운로드하여 자체 등록과 편집 과정을 거쳐 한꺼번에 업로드 시키면 어떨까 생각함.  EA의 보험공단자료 업로드 기능과 유사.</t>
  </si>
  <si>
    <t>(아이디어 인정, 과제 미채택) 엑셀파일 기본으로 업로드를 통한 입력을 제안한 아이디어나 소수의 인원의 경우에는 전일 내용 복사로 입력하는 편이 더 효율적일 수 있다는 의견도 있어서 추가 확인 필요</t>
  </si>
  <si>
    <t>IN/C-PI-SNA-3</t>
  </si>
  <si>
    <t>전표의 복사 기능</t>
  </si>
  <si>
    <t>매월 주기적으로 집행되는 개인경비외 지로, 매입간이영수증등 전표 생성시 내용 복사 말고 체크박스를 만들어 전표 자체를 복사하면 편리할 것이라 생각되어 제안함. 후에 전월에 기입한 내용을 수동으로 복사할 필요가 없어짐.</t>
  </si>
  <si>
    <t xml:space="preserve">(아이디어 인정, 과제 미채택) 989번과 동일한 내용이며, DT팀 검토 의견 : 매출/매입세금계산서 전표 발행은 국세청 전자세금계산 시스템과의 연동으로 인해, 스마트빌 등 검토 후 가능할 것으로 보임 </t>
  </si>
  <si>
    <t>IN/C-PI-SNA-4</t>
  </si>
  <si>
    <t>현장이자수익서류 간소화</t>
  </si>
  <si>
    <t xml:space="preserve">원천징수영수증 발급을 해당 연 12월인 1년에 한 번 또는  파일 증빙을  통장 잔액 스캔본으로 대체 가능하도록 처리.
은행을 재 방문하는 번거로움 없어짐.
</t>
  </si>
  <si>
    <t>(아이디어 인정, 과제 미채택) 업무 효율화를 위하여 개선은 필요하다고 판단됨, DT팀과 협의 예정</t>
  </si>
  <si>
    <t>CO/D-PI-CE-31</t>
  </si>
  <si>
    <t>품질관리계획서 변경 제안의 건</t>
  </si>
  <si>
    <t xml:space="preserve">품질관리계획서 관리 항목 채번 변경에 따른 개정 후 각 현장에 
배포 필요
</t>
  </si>
  <si>
    <t>안환실 확인 필요</t>
  </si>
  <si>
    <t>CO/I-PI-CE-41</t>
  </si>
  <si>
    <t>2102522</t>
  </si>
  <si>
    <t>숙소비용 정액제 지급</t>
  </si>
  <si>
    <t xml:space="preserve">숙소비용을 정액제로 지급하여 본인 집처럼 절약하거나 
관리를 좀더 효율적으로 진행
Ex)정액제 55만원지급
</t>
  </si>
  <si>
    <t>유사제안 다수이나 구체적인 방안으로 제안 인정</t>
  </si>
  <si>
    <t>CO/Z-PI-SNA-37</t>
  </si>
  <si>
    <t>성공(PJ) 포상제도</t>
  </si>
  <si>
    <t xml:space="preserve">• 개선 방향
-	P/J 성공적 완수에 따른 인센티브 제도 개선
√ 수주(사업 담당(PM))와 수행(현장 수행)의 공동 목표를 부여함
√ 수행의 뒷단(준공 목표 달성, 설계 변경(도급), 하도급 정산 등) 마무리를 통해
실질적인 유형효과를 확인 후, 포상 지급
√ 사업담당 및 수행 직원의 P/J 성공 수행을 위한 긴밀한 협의 및 전략적 판단을 인정하여
  형평성 있는 포상 지급
</t>
  </si>
  <si>
    <t>아이디어 인정, 과제 미채택
영업 및 수행의 공동의 목표 수행 후, 포상 지급</t>
  </si>
  <si>
    <t>CO/I-PI-CE-42</t>
  </si>
  <si>
    <t>VR 안전교육</t>
  </si>
  <si>
    <t xml:space="preserve">VR 사고체험을 통하여 월 1~2회 실시하여 위험인식을 오감을 통해 느끼게 하여 부주의에 의한 사고를 줄인다.
-	(개선전) 기본적으로 작업이 많은 사다리작업이나 렌탈작업들은 익숙한 작업으로 인지하여 위험한 장소에서도 작업을 하다보니 부주의로 인한 사고가 많음
(개선후) VR 체험으로 사다리 떨어짐, 렌탈작업으로 인한 끼임 또는 글라인더 작업시 손잘림 등을 직접 느낄 수 있게 하여 위험인식을 심어 사고를 줄일 수 있도록 한다.
</t>
  </si>
  <si>
    <t>안전에서 대전하수처리장 현장 VR활용 파일럿 중. 과제화 불필요</t>
  </si>
  <si>
    <t>EN/EX-L-CE-2</t>
  </si>
  <si>
    <t xml:space="preserve">김태용, 김태용, </t>
  </si>
  <si>
    <t>조경설계 변경 제안서</t>
  </si>
  <si>
    <t>별첨 PDF 첨부 상세자료 有</t>
  </si>
  <si>
    <t>현장 TOP 추진
- 조경 공사 업그레이드 제안 사항</t>
  </si>
  <si>
    <t>CO/Z-PI-CE-54</t>
  </si>
  <si>
    <t>1402789</t>
  </si>
  <si>
    <t>김정준</t>
  </si>
  <si>
    <t>조정전표 처리 프로세스 개선(가칭)</t>
  </si>
  <si>
    <t xml:space="preserve">• 조정전표 작성 기능을 Unifier가 아닌 E-Accounting으로 이관
-	UX/UI 개선으로 Unifier 대비 전표 작성에 직관적인 화면 제공
-	Validation 검증 강화로 사용자 실수로 인한 오류 사전 차단
-	기 발생된 UF 조정전표 유형 분석을 통해, 자주 발생하는 케이스를 유형화하고 사용자가 선택하여 진행할 수 있도록 제공
-	오작성 시, 취소 절차 간소화 기대.
</t>
  </si>
  <si>
    <t>과제화 검토 하였으나 과제화까지는 불필요.
과제화 검토. 시스템관련 재무실과의 업무 R&amp;R이슈가 있음</t>
  </si>
  <si>
    <t>CO/Z-PI-CE-55</t>
  </si>
  <si>
    <t>2204323</t>
  </si>
  <si>
    <t>통합 HR 구축</t>
  </si>
  <si>
    <t>• 인사관리, 임직원공통, YETA, 인사평가 등 산재되어있는 시스템 및 수작업 업무를 하나의 통합시스템으로 재구축하여 업무 효율성 확보 및 향후 관리비용 절감을 기대 함.</t>
  </si>
  <si>
    <t>비용 상승 문제로 현재 당장 추진은 불가능해보이며 향후, IT운영 계획에 맞춰 DT팀에서 추진</t>
  </si>
  <si>
    <t>CO/Z-PI-CE-56</t>
  </si>
  <si>
    <t>디지털 디톡스(Digital Detox)</t>
  </si>
  <si>
    <t>1.	디지털 디톡스 시간 설정 : 팀 상황에 맞춰 주 1시간 이상 설정하여 업무협의 혹은 집중근무 진행
디지털 디톡스 존 설정 : 공용부 회의실(일부), 각 층별 남,여 화장실 등</t>
  </si>
  <si>
    <t>업무생산성 저하. TOP과제에 부적합. TOP과제화는 불필요</t>
  </si>
  <si>
    <t>CO/Z-PI-CE-57</t>
  </si>
  <si>
    <t>2202654</t>
  </si>
  <si>
    <t>오승훈</t>
  </si>
  <si>
    <t>경영정보시스템(Unifier) 대체 개발을 통한 IT운영비용 절감</t>
  </si>
  <si>
    <t xml:space="preserve">• 시스템 다운사이징, 사업재편에 따른 현 건설부문 업무 프로세스 반영을 전제로 투입 리소스 최소화 및 내부 역량을 활용하여 개발 비용을 최소화함
  (ex. 프로세스 설계: 사업본부, 관리/통제: 기획/RM/외주구매, 구축/운영/개선: DT)
• DT팀 내부 과제 및 대금지급 분리 프로젝트와 같이 기존 시스템을 점진적으로  대체 → 통합 → 확장 방향으로의 Phase별 구축이 적절함
-	(Phase I) 사용자가 많고 대외 연계 필요 시스템 분리 개발 (ex. 협력사 포탈)
Unifier는 Cost Sheet 기반 원가관리에 익숙해진 공무/관리를 위해 
일정기간 병행 운영검토 (유지보수 전문업체 계약 검토)
-	(Phase II) 원가관리(외주/구매) 업무영역 분리 개발 
* 안전환경시스템은 안전환경경영실 검토 중이며 Phase I에 착수 필요
* 원가관리체계(내역관리)는 사업본부 및 기획/RM팀 등 프로세스 오너와 통제
부서의 설계 참여 필수
</t>
  </si>
  <si>
    <t>모든 임원분들에게 상황을 인식시키고 TOP과제화 하고 싶네요....근데 초기 투자비가 들어가서 당장은 TOP로 하기에는 무리일 것 같습니다.</t>
  </si>
  <si>
    <t>CO/Z-PI-CE-58</t>
  </si>
  <si>
    <t>0903751</t>
  </si>
  <si>
    <t>이병하</t>
  </si>
  <si>
    <t>시스템 사용현황 모니터링</t>
  </si>
  <si>
    <t xml:space="preserve">	시스템 별 접속현황 통한 사용빈도 파악 
	업무활용 범위 파악
(특정사업본부내, 본부간, 경영지원간 등 부서 유기적 활용) 
	시스템 운영비용 파악
(APP운영인건비, S/W라이선스, H/W 점유 코어 및 인건비) 
	시스템 Closing 또는 타목적 활용 전환
</t>
  </si>
  <si>
    <t>시스템 폐기를 위해 타팀과 협의 필요. 구체화하여 과제화 하면 좋을 듯함</t>
  </si>
  <si>
    <t>CO/Z-PI-CE-59</t>
  </si>
  <si>
    <t>2204287</t>
  </si>
  <si>
    <t>이승재</t>
  </si>
  <si>
    <t>IT 전자계약 시스템 도입</t>
  </si>
  <si>
    <t>1. 전자계약 도입을 통한 업무 프로세스 간소화 
2. IT관련 유지보수 및 용역 계약 등 표준 계약서 양식 도입을 통합 법무 검토 간소화</t>
  </si>
  <si>
    <t>DT팀에서 추진 가능. 과제화는 불필요</t>
  </si>
  <si>
    <t>CO/Z-PI-CE-60</t>
  </si>
  <si>
    <t>1003792</t>
  </si>
  <si>
    <t>이희웅</t>
  </si>
  <si>
    <t>업무 시스템 내 문서보안 암/복호화 모듈 탑재</t>
  </si>
  <si>
    <t xml:space="preserve">• 문서 암∙복호화 모듈※을 문서첨부 절차가 있는 모든 업무시스템에 적용
※ 문서 암∙복호화 모듈 : 
⇒ PC에서 시스템으로 문서첨부시 문서를 자동으로 복호화 시켜 첨부함. 
     반대로 시스템에서 PC로 문서 다운로드 시 자동으로 암호화 시켜 저장함
</t>
  </si>
  <si>
    <t>비용상승. TOP과제에 부적합. DT팀에서 추진 가능. 과제화는 불필요</t>
  </si>
  <si>
    <t>CO/Z-PI-CE-61</t>
  </si>
  <si>
    <t>정보서비스 취약점 진단, 모의해킹, 시큐어코딩 진단 수행업체 변경</t>
  </si>
  <si>
    <t>• 한화시스템/ICT 와의 정보서비스 위탁계약내 보안진단 서비스를 보안 전문업체와의 직계약 전환.</t>
  </si>
  <si>
    <t>CO/Z-PI-CE-62</t>
  </si>
  <si>
    <t>한화건설 정보보호 포탈 대쉬보드 구축</t>
  </si>
  <si>
    <t xml:space="preserve">• 현재 보유중인 각종 정보보화 관련 데이터 및 불시/정기 정보보호 점검 결과를 토대로한 당사 정보보호 현황판(대쉬보드) 구축 및 전사 오픈
• 정보보호 우수자, 우수부서 시상 및 부상지급 정례화를 통한 정보보호 참여기회 창출 
</t>
  </si>
  <si>
    <t>DT팀에서 추진 가능. 대쉬보드 활용이 DT팀에 한정, 비용 대비 효과 분석 없음. 과제화는 불필요</t>
  </si>
  <si>
    <t>CO/D-TF-CE-18</t>
  </si>
  <si>
    <t>가설휀스 그래픽 비용 절감 안</t>
  </si>
  <si>
    <t xml:space="preserve">&lt;1안, 인허가기관 요구안&gt;
=&gt; 135M(길이)*6M(높이)=810M2 전면 그래픽 시공 요구
&lt;2안, 현장 제안안&gt;
=&gt; 전면 그래픽이 아닌 6m간격으로 벌려서 그래픽을 시공하는 것으로 제안. =&gt; M2당 단가 절감 목적
=&gt; 1안(135M, 810M2) 대비 동일길이(135M)에서 그래픽 적용면적 획기적으로 절감 가능(135M, 194M2)
※ 1안 대비 약 24% 수준
</t>
  </si>
  <si>
    <t>CO/Z-PI-CE-63</t>
  </si>
  <si>
    <t>준공현장 바인더 재사용</t>
  </si>
  <si>
    <t>1.	준공현장 문서 파기 시 바인더 분리 파기
-	문서 파기업체 바인더 분리 적용 시 비용절감
-	상태 좋은 바인더 재활용을 통한 현장 원가절감 기대
-	일용직 활용으로 바인더 문서 분리 작업 진행
현장 사용 바인더는 대부분 문서고 보관으로 상태가 아주 좋아 재활용이 충분히 가능한 상태임.</t>
  </si>
  <si>
    <t>현장지원팀 건의, PA 업무시 참고사항으로 활용. TOP과제화하기에는 현장 반발이 우려됨(이런것도 TOP하냐...)</t>
  </si>
  <si>
    <t>CO/Z-PI-CE-64</t>
  </si>
  <si>
    <t>직원숙소 매트리스 개선</t>
  </si>
  <si>
    <t>-	직원숙소용 매트리스를 에어매트리스로 변경하여 지급하고 현장 종료 후 재활용 하거나 직원들이 타 현장 발령 시 가지고 가도록 유도하여 신규구매 및 폐기 시 발생하는 비용 절감</t>
  </si>
  <si>
    <t>복리후생 저하 우려. TOP과제화하기에는 현장 반발이 우려됨(이런것도 TOP하냐...)</t>
  </si>
  <si>
    <t>CO/Z-PI-CE-65</t>
  </si>
  <si>
    <t>개인임차숙소제도 변경</t>
  </si>
  <si>
    <t xml:space="preserve">. 현황 및 비교
• (現 법인 임차 숙소 vs 개인 임차 숙소 제도 비교)
구 분	현 재	변 경
숙소 종류	개인 숙소 (1인1실)	좌 동
계약 주체	회사 (㈜한화)	개인
임차 보증금	회사 부담	개인 부담
임차료 납부		실비 정산  (60만원/월)
부대 비용(관리비/소모품비)		실비 정산  (15만원/월)
부동산 수수료		실비 정산
계약 종료 전 인사발령 시	공실 임차료 회사 부담	공실 임차료 Max 2개월 지원
지역	서울 제외	좌 동
   ☞ 현장 여건에 따라 공동 숙소의 운영이 필요할 경우, 기존 제도대로 운영
☞ 기존 법인임차제도 + 개인 임차제도의 공동 시행 방법 검토 가능 (본인 선택)
☞ 타사 사례 조사 (포스코, 롯데, 대우)
</t>
  </si>
  <si>
    <t>현장지원팀 추진여부 검토중
호불호가 있을만한 해결방안</t>
  </si>
  <si>
    <t>IN/C-PI-CE-68</t>
  </si>
  <si>
    <t>0010684</t>
  </si>
  <si>
    <t>김현규</t>
  </si>
  <si>
    <t>사회적기업설립</t>
  </si>
  <si>
    <t>전체 직원을 3천명으로 가정할 경우 90명의 장애인으로 구성된 사회적기업을 설립하여 본사나 현장에서 필요한 용품을 판매하는 쇼핑몰을 운영하면 장애인에게 일자리를 지원하고 회사는 장애인고용부담금을 줄일 수 있을 것으로 판단됨</t>
  </si>
  <si>
    <t>아이디어 인정, 채택X)
사회적기업이 별도 법인이라 당사의 장애인고용율을 올릴수가 없음</t>
  </si>
  <si>
    <t>CO/Z-PI-CE-66</t>
  </si>
  <si>
    <t>신원보증보험 가입 업무 개선</t>
  </si>
  <si>
    <t xml:space="preserve">- 신원보증보험 가입 대상자에 한하여 (해당 보직자) 임직원 공통
하위 목록 직원공통 內 인사발령 또는 변경 시 대상자에 한하여
신원보증보험 가입 신청을 수시로 할 수 있도록 업무가 간소화
할 수 있게 시스템 개선의 필요성이 있음.
- 인사지원팀 취합하여 일괄 가입 또는 정기적으로 가입 진행
예시) 직원 공통  학자금 신청 또는 이벤트 신청
</t>
  </si>
  <si>
    <t>현장지원팀, DT팀 검토. TOP과제화는 필요없음</t>
  </si>
  <si>
    <t>CO/Z-PI-CE-67</t>
  </si>
  <si>
    <t>2403184</t>
  </si>
  <si>
    <t>함양창녕고속도로6공구</t>
  </si>
  <si>
    <t>이준호</t>
  </si>
  <si>
    <t>임직원 미사용 연차비용 절감의 건</t>
  </si>
  <si>
    <t xml:space="preserve">-개인연차 사용하여 한화리조트 이용 시 현재 회원가로 이용할 수 있는 금액에서 50% 할인 된 금액으로 제공하여 연차사용 독려
(단, 대체휴가 사용 시에는 할인적용 불가 / 성수기 및 주말 제외 /리프레쉬 의무사용 연차 별개)
</t>
  </si>
  <si>
    <t>인사지원팀 건의. 효과 미비할 것. 현재도, 법인가로 예약 가능함. 회사 입장에선 절감이 아닌 비용 상승일수도 있음</t>
  </si>
  <si>
    <t>CO/Z-PI-CE-68</t>
  </si>
  <si>
    <t>제로웨이스트 실천운동</t>
  </si>
  <si>
    <t xml:space="preserve">쓰레기 및 폐기물 줄이기
-	일회용품대신 다회용품사용하기
-	종이문서줄이기 / 이면지재활용
-	확실한 분리수거(분리 수거함 현장 비치)
재활용과 업사이클링
-	폐안전모-&gt;경량안전모, 사원증 등 업사이클링
-	폐현수막 재활용등, 활용가능한물품 최대한 활용해보기
  인사하기 배너처럼 홍보활동추진
</t>
  </si>
  <si>
    <t>당연히 해야될 일로서 캠페인성으로 구체적인 방안이 모호함</t>
  </si>
  <si>
    <t>CO/D-A/F-CE-69</t>
  </si>
  <si>
    <t>아파트 외벽 견출마감 기준 변경 건</t>
  </si>
  <si>
    <t xml:space="preserve">개선 前
아파트 외벽 견출용 시멘트/레미탈(지급자재) 시공 (두께상이, 품질 저하) 
개선 後 (LH현장 시행)
아파트 외벽 그라인더작업 후 콘구멍 및 콜드조인트, 면불량, 층조인트 부위만 견출 진행 이후 도장공사에서 퍼티마감 후 수성페인트 등 마감시공
자재는 지입자재로 변경 (현설 공지 및 내역 CON’C면처리(자재포함))
</t>
  </si>
  <si>
    <t>과제 153번과 중복되는 내용이기는 하나,
개선 방법이 상이함</t>
  </si>
  <si>
    <t>D/PM-PI-CE-93</t>
  </si>
  <si>
    <t>사업비 관리시스템 개발</t>
  </si>
  <si>
    <t xml:space="preserve">사업비 예산/집행금액의 내역별 용이한 파악을 위해 EA에 관리시스템을 구축하고 절감방안 도출하여 이익 제고 </t>
  </si>
  <si>
    <t xml:space="preserve">(제안 인정, 과제화 미채택) 관리 시스템 개선은 추후 DT팀에서 유니파이어 변경으로 진행하고, 별도의 '사업비 관리방안 개선' 과제로 진행 </t>
  </si>
  <si>
    <t>CO/Z-PI-EXP-24</t>
  </si>
  <si>
    <t>현장식대지원제도 변경</t>
  </si>
  <si>
    <t xml:space="preserve">1. 현황 및 비교
• (現 현장 개인 식대 지원제도 vs 모바일 e식권 제도 비교)
</t>
  </si>
  <si>
    <t>법인카드에 통합 검토 중
직원 호불호가 있을만함</t>
  </si>
  <si>
    <t>IN/C-PI-CE-69</t>
  </si>
  <si>
    <t>상생안전을 위한 협력업체 안전보건관리 가이드 배포</t>
  </si>
  <si>
    <t xml:space="preserve">협력업체 안전보건관리 가이드를 배포하여 당사만의 안전보건관리 기준을 차별화하며 사법리스크를 사전에 제거하기 위함.
(개선 전) 각 현장 안전관리자의 개인역량에 따라 
(개선 후) 
</t>
  </si>
  <si>
    <t>아이디어 인정, 채택X
(안전보건운영팀에서 시행가능)</t>
  </si>
  <si>
    <t>CO/D-PI-CE-32</t>
  </si>
  <si>
    <t>하도급 정산 프로세스 개선(안)</t>
  </si>
  <si>
    <t>아이디어 인정, 과제 검토중
세부방안 도출하여 과제 발표 예정</t>
  </si>
  <si>
    <t>D/PM-PI-BE-1</t>
  </si>
  <si>
    <t>1500603</t>
  </si>
  <si>
    <t>우량 테넌트 발굴 및 사전 협업 방안</t>
  </si>
  <si>
    <t>주상복합 상업시설의 우량 테넌트(ex. 셀프스토리지 daLock 등)을 사업초기 계획설계 단계부터 협업하여 효율적인 MD계획</t>
  </si>
  <si>
    <t>아이디어 인정, 과제 미채택
앞으로 회사의 필요한 방향임은 분명하나, TOP 과제화로 추진하기에는 적절하지 않다고 판단됨</t>
  </si>
  <si>
    <t>EN/EX-A/S-CE-10</t>
  </si>
  <si>
    <t>1903369</t>
  </si>
  <si>
    <t>공동주택 주거동 옥탑 간소화</t>
  </si>
  <si>
    <t xml:space="preserve">1. 옥탑 계획 및 법규 특성
• 옥탑은 단순 기능(옥상 및 승강기 기계실 동선 확보)과 법적 규제사항이 크지 않은 구조체
  ☞ 면적 / 높이 / 구조 형식 등 규제 저촉 사항 없어, 건축 및 구조 변경 심의 불필요
2. 변경 내용
  • 옥상층 단순 연결통로 역할의 옥상 계단실 앞 ‘전실’을 삭제하여 골조 물량 축소
</t>
  </si>
  <si>
    <t>주거동 관련 중점과제</t>
  </si>
  <si>
    <t>IN/C-PI-EXP-1</t>
  </si>
  <si>
    <t>1400377</t>
  </si>
  <si>
    <t>이상헌</t>
  </si>
  <si>
    <t>퇴직공제부금 납부 주체 변경</t>
  </si>
  <si>
    <t xml:space="preserve">퇴직공제부금 납부 주체 변경(당사 → 하도급사)
(하도급사 계약금액 10억이상(VAT 포함) 퇴직공제부금 하수급인
사업주 인정 승인 제도를 활용하여 하도급사 계약내역에 반영)
※’20.05.27부터 원도급사 하수급인 사업주 인정승인 신청 만으로
    하도급사가 퇴직공제 가입 및 납부 가능
</t>
  </si>
  <si>
    <t>현장지원팀 김지성 차장한테로 통합</t>
  </si>
  <si>
    <t>CO/D-A/S-CE-83</t>
  </si>
  <si>
    <t>계단실 알폼 작업 발판 적용</t>
  </si>
  <si>
    <t xml:space="preserve">1.	AL작업 슬라브 발판 적용
-작업 폭 500or550mm(말비계 사용 규격 반영 적용)
-AL폼 슬라브 측면에 난간대 설치 반영으로 손쉽게 
난간대 설치 가능 有
계단실 폭 1,200mm 중 발판이 사용하는 면적 제외 통행구간 확보 有
</t>
  </si>
  <si>
    <t>안전성 확보 유용함
재무 효과에 대한 부분은 검토가 필요함</t>
  </si>
  <si>
    <t>IN/C-PI-CE-70</t>
  </si>
  <si>
    <t>2302758</t>
  </si>
  <si>
    <t>세종안성고속도로 2공구</t>
  </si>
  <si>
    <t>박민재</t>
  </si>
  <si>
    <t>직영공사 근로계약 및 임금지급 System 개선 시스템 생성</t>
  </si>
  <si>
    <t xml:space="preserve">※ 현재 프로세스(개선 전)
- 현재 일용직급여 마감 진행시 근무일자에 대한 시간급ⅹ일수
- 주차수당 발생시 자동생성 및 추가 생성 불가
- 매월 출력일수가 변동되지만 1년이상의 일용직 근로자 발생시 주차,연차수당 및 퇴직금 지급 절차 시스템 미적용 및 프로세스 가 현재 잡혀있지 않음(출력일수로 급액을 맞추게되면 명세서상 수당부분 확인 안됨)
- 별도 품의로 통해 지급하는 일부 현장 확인하였지만 대부분 현장은 해당부분이 발생하지 않게 현장에서 관리중
- 발생할 수 밖에 없는 현장이 일부 발생중이며 지급절차 혹은 지급절차를 위한 프로세스가 없음
※ 개선 제안 프로세스
- 노무관리 시스템 일용직 출력입력시 월~금 출력시 자동 주차발생 시스템 적용 및 월별 출력일수가 달라 일용직 급여는 변동하지만 월별 연속 출력근로자 발생시 적용하여 연차수당 적용 및 퇴직금 발생되는 1년이상 일용직 근로자 발생시 퇴직금정산 프로세스 필요
1. 월~금 평일 5일 만근시 주차발생 시스템 자동 적용 요청
2. 월별 지속적 출력이 발생하는 일용직(근무일수는 매월 변동) 인원에 대해서 연차 수당 지급 기준 및 시스템 적용가능 여부 요청
3. 일용직 근로자 1년이상 근로시 퇴직금 정산 프로세스 필요
4. 일용직 근로자 근로기한이 미정확하지만 6개월~1년이상 근로가 필요한 경우 근로일수에 따른 급여지급이 필요하여 상용직 채용이 어려운 경우 기존 일용직 시스템(주차,연차 적용X)으로 근로일수에 대한 급여마감을 진행하며, 일용직 근로계약서상 주차,연차수당을 일당(시간당)금액에 포함하여 산정되는 양식 변경사용 가능 여부 및 가능 하다고 하면 해당근로자에 맞는 일용직 계약서 양식 필요
  5. 월별 출력일 수 변동되는 일용직채용시 월별 건강보험 월별 보수월액 신고금액 신고 및 확인하여 마감진행시 일용직 마감기한이 부족하여 일용직 마감 일자를 추가 더 주어질 수 있게 개선안필요
(언제 퇴직될지는 확실하지 않다 보니 예상금액으로 적용하여 급여 마감진행시 다음달 적용하여 정산이 어려울 수 있음)
</t>
  </si>
  <si>
    <t>아이디어 인정, 채택X
(공공공사의 직영공사 의무화에 따른 직영공사 수행 시 주휴수당, 퇴직금, 연차수당 등에 대한 노무관리 시스템의 변화필요-W/ DT팀, 인사팀)</t>
  </si>
  <si>
    <t>CO/D-PI-CE-33</t>
  </si>
  <si>
    <t>갱폼 발주시 내역 세분화</t>
  </si>
  <si>
    <t xml:space="preserve">갱폼 실행 편성 및 발주 내역 [개선 전 / 후]
☞ 개선 전 : 내역 미 세분화. 
   Ex) 고양 삼송 DC : 갱폼 제작 및 납품 (6,874m2)
☞ 개선 후 : 내역 주요 아이템 세분화
   Ex) 갱폼패널(m2), 작업발판(m), 층변화(EA), 안전인양고리(EA),
 사다리(EA), 핸드레일(m) 등
</t>
  </si>
  <si>
    <t>갱폼 주요 아이템 세분화하여 부재별 발주 및 정산 명확화를 통해
원가 개선 가능(기존의 갱폼 관련 아이디어를 모아서 과제화 가능)</t>
  </si>
  <si>
    <t>CO/D-PI-CE-34</t>
  </si>
  <si>
    <t>현장 가설전기 관리 기준 확립 건</t>
  </si>
  <si>
    <t xml:space="preserve">. 현장 관리비 편성 기준 변경 및 가설 점검 기준 확립
• (당초) 현장 규모별 인원 반영 → (변경) 건축물 용도별 인원 반영  
구 분	복합개발	데이터센터	주상복합	공동주택	그 외 
채 용 여 부	O	O	O	X	X
• 가설 전기 점검 Check list 을 통한 전기 직영 반장 업무 기준 명확화
2. 변경 Process
구분	내용	R&amp;R
기준 변경 공지	∙ 현장관리비 편성 기준 변경, 가설 점검 기준 수립	건축견적,건축전기
표준 지침 변경	∙ 견적지침 수립 실행반영	건축견적
</t>
  </si>
  <si>
    <t>세부기준 관련 협의중</t>
  </si>
  <si>
    <t>CO/Z-PI-CE-69</t>
  </si>
  <si>
    <t>2309954</t>
  </si>
  <si>
    <t>인사운영팀</t>
  </si>
  <si>
    <t>황유진</t>
  </si>
  <si>
    <t>줌(Zoom) 송출 프로세스 개선</t>
  </si>
  <si>
    <t>유료 프로그램 사용없이 기존 무료 프로그램의 연결방식 변경을 통해 비용발생 없이 화질 개선 추진</t>
  </si>
  <si>
    <t>TOP과제화는 불필요. 인사운영팀에서 추진가능함</t>
  </si>
  <si>
    <t>CO/Z-PI-CE-70</t>
  </si>
  <si>
    <t>0300535</t>
  </si>
  <si>
    <t>박지은</t>
  </si>
  <si>
    <t>현장 소장실 축소</t>
  </si>
  <si>
    <t>현장 상황을 고려한 오픈형 소장실 적용
    (외부손님 등을 고려하여 품위유지가 가능한 수준 유지)</t>
  </si>
  <si>
    <t>사장님이 굳이 그럴것까지 있냐는 피드백을 박지은 팀장님께 하시긴했다고 함(이 건은 만약 한다면 사업본부(특히, 현장) 직원이 해야 좋을 것 같음)</t>
  </si>
  <si>
    <t>CO/Z-PI-CE-71</t>
  </si>
  <si>
    <t>기술안전 역량 강화</t>
  </si>
  <si>
    <t>- 현장 기술직(공무/공사)의 안전관리 능력 증대
   (안전 자격증 획득 등)
- 일별 공정에 맞는 현장 안전관리 회의 진행
 (기술직&amp;안전직 상호의견 공유)</t>
  </si>
  <si>
    <t>이미 대부분 하고 있는 건이고 구체성이 부족함</t>
  </si>
  <si>
    <t>CO/Z-PI-SNA-38</t>
  </si>
  <si>
    <t>1202933</t>
  </si>
  <si>
    <t>박진태</t>
  </si>
  <si>
    <t>판관비 지출 절감 (장애인 고용부담금)</t>
  </si>
  <si>
    <t>월별 상시근로자수 분석을 통한 고용률 관리
- 중증장애인 채용(장애예술인 등)을 통한 고용률 개선(경증 2배 인정)
- 현장종료 시 신규현장으로 연계고용 추진</t>
  </si>
  <si>
    <t>아이디어의 방향성만 있고 어떻게 중증장애인을 채용하여야할지 구체성이 부족.</t>
  </si>
  <si>
    <t>CO/Z-PI-SNA-39</t>
  </si>
  <si>
    <t>신규입사자 웰컴키트 개선</t>
  </si>
  <si>
    <t>타사 제품을 참고하여 실사용자의 실용성에 초점을 두고 구성품 변경 추진</t>
  </si>
  <si>
    <t>CO/Z-PI-CE-72</t>
  </si>
  <si>
    <t>입사구비서류 전산화</t>
  </si>
  <si>
    <t>신규입사자用 구비서류 전산화</t>
  </si>
  <si>
    <t>아이디어의 방향성만 있고 효과 및 방안에 대한 구체성이 부족. 인사운영팀에서 추진가능함</t>
  </si>
  <si>
    <t>CO/Z-PI-SNA-40</t>
  </si>
  <si>
    <t>2000169</t>
  </si>
  <si>
    <t>류태현</t>
  </si>
  <si>
    <t>현장비품(근무복 등) Upcycling</t>
  </si>
  <si>
    <t xml:space="preserve">폐기예정의 지급자재 등을 활용한 Upcycling 추진
 (https://www.ajunews.com/view/20241120104328297)
</t>
  </si>
  <si>
    <t>유사한 제안 有. 비용 및 사례에 대한 이야기가 없음</t>
  </si>
  <si>
    <t>CO/Z-PI-SNA-41</t>
  </si>
  <si>
    <t>줌(Zoom) 계정 통합</t>
  </si>
  <si>
    <t>통합 계약을 통한 계정 관리
 (동시접속 및 사용가능 계정갯수 확인 필요)</t>
  </si>
  <si>
    <t>구체성 부족. 황유진 사원 아이디어와 통합하여 인사운영팀에서 추진가능함</t>
  </si>
  <si>
    <t>CO/Z-PI-SNA-42</t>
  </si>
  <si>
    <t>투자심의제도 개편</t>
  </si>
  <si>
    <t xml:space="preserve">사업관련 정보 사전 배포자료를 통해 안내 및 숙지
- 심의부서는 사전에 작성한 의견서로 발표
- 의견 조율은 심의 중 실시
- 의결은 ‘당일 심의 당일 의결’ 원칙으로 진행
- 사업조건 변동 시 재심의 진행
</t>
  </si>
  <si>
    <t>현재도 원칙은 그러나 실제 운영이 그렇게 되고 있지 않음
누구나 알지만 현실 운영을 그렇게 할 방안이 제시되어야 함</t>
  </si>
  <si>
    <t>CO/Z-PI-SNA-43</t>
  </si>
  <si>
    <t xml:space="preserve">부동산 임대차 관리 계약 </t>
  </si>
  <si>
    <t xml:space="preserve">부동산 중개법인 계약을 통한 일괄 관리
 (지역별 대표 부동산 중개법인 계약 등)
</t>
  </si>
  <si>
    <t>TOP과제화는 불필요. 현장지원팀 건의</t>
  </si>
  <si>
    <t>CO/Z-PI-SNA-44</t>
  </si>
  <si>
    <t>사서직 직원 채용</t>
  </si>
  <si>
    <t xml:space="preserve">DB 효율적 관리를 위한 별도 직원 채용
- 문서고 관리체계 정립 및 DB 업로드 관리
</t>
  </si>
  <si>
    <t>TOP과제로 부적합</t>
  </si>
  <si>
    <t>CO/Z-PI-SNA-45</t>
  </si>
  <si>
    <t>2203026</t>
  </si>
  <si>
    <t>김은혜</t>
  </si>
  <si>
    <t xml:space="preserve">교육 출장비 가이드마련 </t>
  </si>
  <si>
    <t>교육 출장비 지침 및 가이드라인 마련 및 공유</t>
  </si>
  <si>
    <t>CO/Z-PI-SNA-46</t>
  </si>
  <si>
    <t>문서관리 시스템 활용</t>
  </si>
  <si>
    <t>서클 문서관리 시스템을 통해 기 업로드된 자료양식에 내용 작성 및 수정이
  가능하도록 문서관리 Tool 마련</t>
  </si>
  <si>
    <t>투입비 문제로 당장은 어려움. (과거, 워크플레이스에 유사기능 있었으나 사용률 저조)</t>
  </si>
  <si>
    <t>CO/Z-PI-SNA-47</t>
  </si>
  <si>
    <t>1205380</t>
  </si>
  <si>
    <t>김민지</t>
  </si>
  <si>
    <t>직무기술서/인수인계서 표준화</t>
  </si>
  <si>
    <t>전사차원의 직무기술서 및 인수인계서 표준화</t>
  </si>
  <si>
    <t>제안은 인정. 다만, 적정 시점인지는 모르겠음. TOP과제화는 불필요. 인사운영팀에서 추진가능함</t>
  </si>
  <si>
    <t>IN/C-PI-CE-71</t>
  </si>
  <si>
    <t>0700104</t>
  </si>
  <si>
    <t>김용덕</t>
  </si>
  <si>
    <t>연간단가계약업체 단가검토 및 현장관리 소홀 대책</t>
  </si>
  <si>
    <t xml:space="preserve">1.	연간단가계약시 작업시에는 현장에 관리자 상주요청 
속칭”잡아놓은 물고기”라 현장관리를 안하며, 작업자만 현장에 보내고, 관리자는 상주하지 않음.
2.	분기별 일반업체 견적을 받아 단가검토가 필요하다고 생각됨.
낮은곳의 단가를 현장에 반영으로 일을 시켜 원가절감을 할수 있음
Ex) 추락방지망 설치의 경우 단가계약시 장비비가 누락되어 현장에 장비투입을 요청함.(계약시 인원,장비,자재의 비용이 포함될 것으로 생각되나, 그렇지 않음)
</t>
  </si>
  <si>
    <t>(아이디어 인정, 과제화 검토) 연간단가 업체의 경우 현장 공사 수행 시, 관리 감독자 미상주에 따른 관리소홀, 추락방지망 설치의 경우 단가 계약시 장비비 누락으로 현장에 장비 투입을 요청 하는 등 추가 비용 발생, 과제화는 제외이나 외주팀과 추가검토 예정</t>
  </si>
  <si>
    <t>CO/D-PI-CE-35</t>
  </si>
  <si>
    <t>세륜기 AS포함 연간단가 또는 수리비 연단가 시행</t>
  </si>
  <si>
    <t xml:space="preserve">세륜기 비용을 절감하기 위한 방안으로 연간단가를 유지하되 수리비용에 관한 사항들을 세부 내역화 하여 연단가 계약을 시행하게 되면 “세륜기납품비용+수리비항목비용” 총 금액으로 연단가 계약을 하게되면 총 세륜기 실제사용 비용을 절감할 수 있다. </t>
  </si>
  <si>
    <t>세륜기 유지보수에 대한 아이디어 제안(연간단가)</t>
  </si>
  <si>
    <t>CO/D-PI-CE-36</t>
  </si>
  <si>
    <t>수치해석을 통한 Sheet pile 최적화</t>
  </si>
  <si>
    <t>대전간이공공 하수처리시설 제3자제안 적용 검토</t>
  </si>
  <si>
    <t>(아이디어 인정, 과제 검토중)
시뮬레이션을 통한 시트파일 시공 위치 및 관입길이 변경으로 인한 설계변경으로 향 후 추진중인 환경 사업에 적용 가능한 Item으로 과제화
준비 중</t>
  </si>
  <si>
    <t>CO/D-PI-CE-37</t>
  </si>
  <si>
    <t>공동도급 PJ의 하자처리비 관리 프로세스 개선</t>
  </si>
  <si>
    <t xml:space="preserve">• 개선 방향
-	분담이행방식은 각자의 지분 및 공구분할 협의에 따라 각사 기준대로 운영.
-	공동이행방식은 당사가 주간사 또는 비주간사에 따라 운영 및 대응방식 정립이 필요함
특히, 하자처리비 운영방식에 대한 가이드를 제시 
</t>
  </si>
  <si>
    <t>아이디어 인정, 과제 미채택
공동도급 현장의 하자처리비 관리 프로세스 개선안</t>
  </si>
  <si>
    <t>EN/E-E-CE-58</t>
  </si>
  <si>
    <t>대피공간 하향식 피난구 경보라인 이중설계 개선</t>
  </si>
  <si>
    <t xml:space="preserve">세대 경보라인 당해층 귀로만으로 H/N 서버내 프로그래밍을 통한 해당층 및 직하층 경보 기능 실현 가능
개선전 : 하향식 피난구 세대 경보라인 2개층 귀로(해당층,직하층)
개선후 : 하향식 피난구 세대 경보라인 당해층 귀로
</t>
  </si>
  <si>
    <t>CO/D-TF-CE-19</t>
  </si>
  <si>
    <t>비계 및 동바리 연결부의 회전강성 반영</t>
  </si>
  <si>
    <t xml:space="preserve">•	가설 구조물 구조 검토에 대한 절차 강화
▷ 현재 운용 중인 가설구조물 3rd party 의 관리 강화 및 검토 누락 부분에 대한 추가 검토 수행
•	지하층에 설치되는 시스템 동바리의 본사의 재검토 시행 및 관련 보고서 작성
•	보고서 검토 결과 및 설계도서에 따른 현장 운영 여부 점검
•	회전강성 20% 반영에 대한 관련 근거 마련(계획 &gt; 실험에 따른 관련 근거 마련)
</t>
  </si>
  <si>
    <t>아이디어 제안자 검토결과 원가절감은 어려울것으로 회신</t>
  </si>
  <si>
    <t>IN/C-PI-CE-72</t>
  </si>
  <si>
    <t>위험성평가 '상' 등급 작업 내용 타 협력업체 공유 전파 활성화 건</t>
  </si>
  <si>
    <t xml:space="preserve">개선 전 : 오전,오후 TBM QR 체크 시 해당 업체 위험성평가 내용만 확인 가능
개선 후 : 타 업체 고위험작업 ‘상’ 등급의 경우,  QR체크 시 타 근로자가 볼 수 있도록 플랫폼 및 유니파이어 개선
</t>
  </si>
  <si>
    <t>(아이디어 인정, 채택 X)
안전환경실에 공유 후 조치하면 좋을 것으로 판단됨</t>
  </si>
  <si>
    <t>CO/Z-YY-CE-12</t>
  </si>
  <si>
    <t>국내 대형 음료사 협약을 통한 혹서기 근로자 음료지급 비용 절감</t>
  </si>
  <si>
    <t xml:space="preserve">• 국내 대형 음료社와 협약을 통해 식수(500ml) 공급 단가 인하, 개인별 휴대 및
  위생적 섭취가 가능한 스틱형 전해질 분말 생산 진행
- 생수 (500ml) 인터넷 최저가 대비 70원/EA 인하된 금액으로 당사에 공급
- 당사 공급을 위한 전해질 스틱형(1회분) 자체 개발 생산 협의 (시제품 完)
• 당사 국내 현장 공급을 위한 직속 공급망 설치
- 본사 생수 단가 계약, 음료社 전국 지사를 통해 현장에 공급
• 대표이사 등 온열 질환 예방 행사 부스 무상 지원 (대외 홍보 효과)
</t>
  </si>
  <si>
    <t>당사 개발 공법 관련 과제와 통합 진행예정</t>
  </si>
  <si>
    <t>EN/S-C-CE-18</t>
  </si>
  <si>
    <t>매입말뚝 주변 채움재 시멘트의 토사오염 개선 및 비용 절감</t>
  </si>
  <si>
    <t>매입말뚝용 채움재의 시멘트를 대체할 수 있는 친환경 말뚝고정재로 친환경지반고화재 사용하여 토사오염을 해결 및 자재비용 절감</t>
  </si>
  <si>
    <t>아이디어 인정, 과제 검토중
기술혁신팀 관련 유사기술 보유 확인(울산 무거 현장에서 시험후 과제화 예정)</t>
  </si>
  <si>
    <t>CO/I-PI-CE-43</t>
  </si>
  <si>
    <t>0300975</t>
  </si>
  <si>
    <t>대전하수처리장 현대화</t>
  </si>
  <si>
    <t>이문훈</t>
  </si>
  <si>
    <t>식사지원비 프로세스 변경</t>
  </si>
  <si>
    <t xml:space="preserve">-개선안 : 식비 전용 포인트(또는 포인트카드) 지급 관리
(개선전) 현물영수증 부착, 연말정산시 개인적으로 공제 등 번거로움
(개선후) 식비 전용 카드 사용에 따른 개인별 권한과 책임 부여
        즉각적인 사용모니터링 및 지침 하달 (w/관리)
</t>
  </si>
  <si>
    <t>(아이디어 인정, 채택 X)
1181번 아이디어와 유사함</t>
  </si>
  <si>
    <t>CO/D-PI-CE-38</t>
  </si>
  <si>
    <t>2500526</t>
  </si>
  <si>
    <t>김정석</t>
  </si>
  <si>
    <t>환경오염 저감을 위한 세륜기 바닥 작업</t>
  </si>
  <si>
    <t>세륜장 설치시 세륜기앞뒤 바닥 콘크리트 타설 시 과하지 않은 물매로 단면으로 봤을 때 V형 구배를 주거나 역 V형구배를 주어서 그 끝부분에 각재(30*30 등)을 심었다 철거함으로 물길을 만들어 원하는곳으로 회수를 유도한다.&lt;첨부자료 참조&gt;</t>
  </si>
  <si>
    <t>세륜기 설치시 앞에 세척수 회수공간을 만들어 환경 Risk 방지 가능</t>
  </si>
  <si>
    <t>CO/D-PI-CE-39</t>
  </si>
  <si>
    <t>EV 피트 안전시설 표준화</t>
  </si>
  <si>
    <t xml:space="preserve">1.각 피트에 방호선반, 안전난간(개폐, 시건가능), 
거치식 계단 사다리 설치 표준화
2.방호선반, 안전난간은 안전시설물 단가품목,
EV 방호선반, EV 안전난간(개폐형) 추가등록하고
가설 계단 사다리는 비단가/기성품으로 단가 등록하여
구매 용이하도록 하고, 구매비용 절감
</t>
  </si>
  <si>
    <t>EV 피트 안전시설물 표준화 및 소액자산관리 연계를 통한 개선안</t>
  </si>
  <si>
    <t>CO/D-A/S-CE-84</t>
  </si>
  <si>
    <t>0701631</t>
  </si>
  <si>
    <t>이형우</t>
  </si>
  <si>
    <t>SRC 탑다운 현장의 타워 기초위치 조정</t>
  </si>
  <si>
    <t>타워 기초를 1FSL의 영구 부제를 사용하고, 기초 마스터 위치에 보강 빔 설치로 금액 절감 및 설치공간 최소화</t>
  </si>
  <si>
    <t>EN/E-E-CE-59</t>
  </si>
  <si>
    <t>2302221</t>
  </si>
  <si>
    <t>김민성</t>
  </si>
  <si>
    <t>현장 사무실 잉여 전력 소비 절감</t>
  </si>
  <si>
    <t xml:space="preserve">1.	현장내 사용중인 냉온수기 개별 타이머 콘센트 설치
현장내 분전반 실내등 차단기 타이머 설치
</t>
  </si>
  <si>
    <t xml:space="preserve">제안 인정하나, 별도 과제화는 진행하지 않을예정 </t>
  </si>
  <si>
    <t>CO/D-A/S-CE-85</t>
  </si>
  <si>
    <t>공동주택 EV작업용 시스템발판 연간단가적용</t>
  </si>
  <si>
    <t xml:space="preserve">(개선전)
① 공동주택현장의 EV PIT 골조작업시 대부분현장이 안전관리상
 전용 시스템발판(3개층) 적용하고 있음
② 현재 EV PIT골조 작업용 시스템발판의 발주형태는 G/F에
포함하여 입찰  
(개선후)
① G/F과 분리하여 별도로 연간단가계약 체결
② 공동주택의 EV PIT는 규격이 큰 차이가 없어 연간단가 적용
   용이
</t>
  </si>
  <si>
    <t>EV 피트 시스템발판을 갱폼 발주에서 분리하여 연간단가 계약
(시스템 발판 전문업체?)</t>
  </si>
  <si>
    <t>CO/D-TF-CE-20</t>
  </si>
  <si>
    <t>살수차 제작 및 이용 및 전용 시행의 건</t>
  </si>
  <si>
    <t xml:space="preserve">전 : 살수 전용 차량 임대 시 인건비 포함된 살수차 임대료 과다.
(일대 : 40만원~50만원 / 월대 : 600~700만원 상회)
→ 1개년 1분기 월대 이용 시 약 1,800만원 ~ 2,100만원
후 : 1톤 트럭 현장 구매 및 살수 설비 설치(구매/유지비용 2년 기준 : 약 1,700만원)
골조공사 종료 및 조경공사 투입 시점까지 사용 후 신규 현장 전용 가능.
또한 인근 당사 현장이 있을 경우, 별도 제약없이 업무 지원 가능.
</t>
  </si>
  <si>
    <t>중고 트럭을 구매하여 살수차 제작하여 운영
현장 연계 및 관리 방안 難</t>
  </si>
  <si>
    <t>CO/I-ID/H-CE-17</t>
  </si>
  <si>
    <t>2303150</t>
  </si>
  <si>
    <t>박주미</t>
  </si>
  <si>
    <t>안전보건기자재 목록화</t>
  </si>
  <si>
    <t xml:space="preserve">1.	고가의 스마트 안전용품(AI 중장비 협착 방지기, 스마트 에어백 등), AED, 각종 측정기(혈압계, 복합가스 측정기 등) 등을 새로 구매 시 비용 소모가 큼
2.	현장별 물품 보유 목록, 출시/구매일, 제품상태(상, 중, 하), 사용 기간 등을 본사에서 취합/공유하고 공정에 따라 물품 사용 제안하거나 현장에서 요청 물품을 적시에 이관할 수 있도록 함
</t>
  </si>
  <si>
    <t>소액자산관리 상세 내용 업그레이드인데 굳이 불필요함</t>
  </si>
  <si>
    <t>CO/D-PI-CE-40</t>
  </si>
  <si>
    <t>공정 연계 자동 알림 시스템</t>
  </si>
  <si>
    <t xml:space="preserve">-	현재 당 사에서 사용하는 어플 Hi-note 기능 中 문자로 알려주는 기능을 이용하여 개발. Or 카카오워크 등 어플 사용.
-	골조, 마감공정 등 주요 공정이 완료시 다음 공정 관리자에게 자동으로 알림이 전달되도록 구성.
예시)
1.	골조 中 철근작업 완료시 작업관리자가 사진이랑 작업완료를 올리게 되면 전기, 설비팀에 자동으로 철근작업완료 문자가 발송.
2.	전기, 설비팀 문자 수신 후 작업 이행 및 완료 어플에 올림
3.	완료 되면 한화 관리자에게 문자가 자동 발송되어 검측 및 수정이 이루어질 수 있도록 함.
</t>
  </si>
  <si>
    <t>Hi-note 추가 기능(공정 진행사항 알림) 추가</t>
  </si>
  <si>
    <t>CO/D-A/F-CE-70</t>
  </si>
  <si>
    <t>층간소음 저감을 위한 바닥 구조 기술개발</t>
  </si>
  <si>
    <t>1. (목적) 경량 및 중량 충격음 기준 경제적 및 안정적 3등급 기술 확보(보급형 기술)</t>
  </si>
  <si>
    <t>10차 과제승인위 상정완료</t>
  </si>
  <si>
    <t>PR/P-PI-CE-8</t>
  </si>
  <si>
    <t>0300222</t>
  </si>
  <si>
    <t>임호택</t>
  </si>
  <si>
    <t>컨테이너 임대 계약 프로세스 변경</t>
  </si>
  <si>
    <t xml:space="preserve">1.	본사에서 연간단가만 지정하고 현장에서 직접 개월수로 계약하게끔 변경 검토
2.	기간별(최소분기 3, 6, 9, 12개월) 단가계약 또는 12개월이하는 현장 견적을 통한 원가절감
또한 현장구매 및 계약시 운임비 현장간 지불후 현장별 이관 가능하게 계약확대(잔여기간 정산없이 이관)
</t>
  </si>
  <si>
    <t>구매팀 내용 전달. 실효성 있을 것으로 보임(근데 과거에는 기간 분할 더 되어있었던걸로 기억하는데...이유가 있을것 같음)</t>
  </si>
  <si>
    <t>EN/S-C-CE-19</t>
  </si>
  <si>
    <t>EV구간 굴착설계 오류 정정 및 시공 최적화 제안</t>
  </si>
  <si>
    <t>.EV 강제 피트 사용으로 터파기 사면 최소화 그로인한 기존 설계 띠장,어스앙카 삭제</t>
  </si>
  <si>
    <t>아이디어 인정, 과제 미채택
현장 특수성에 따른 VE사항이지만 현장별로 유사한 조건이 있을 것으로 판단되어 기술혁신팀 토목설계 담당자에게 의견 전달함</t>
  </si>
  <si>
    <t>PR/C-PI-CE-14</t>
  </si>
  <si>
    <t>잡철물업체 선정고려</t>
  </si>
  <si>
    <t>1. 잡철물업체 선정시 생산공장 보유한 업체도 참여시킬경우, 미보유업체보다 입찰단가가 감소할 수 있음
공장이 없는 업체 선정시 자재, 생산 관리가 소홀하며, 속칭 페이퍼컴퍼니 식으로 낙찰금액의 몇%먹고, 생산, 시공업체에 이첩하여, 현장관리도 전혀 되지 않음</t>
  </si>
  <si>
    <t>아이디어 인정, 과제 불채택
잡철물 업체 Pool 中 해당 품목 별 전문업체 선정이 필요하나, 단가경쟁력이 품목별 제작업체를 선정할 때 대비 우수한지 여부 검토 시 단가경쟁력은 떨어지게 되는 단점이 있습니다. 현장에서 해당 부분의 어려움에 대한건 외주팀과 협의하여 보완책을 마련할 수 있도록 할 예정이며, 금액적 유형효과가 떨어지는 상황임에 따라 과제화 없이 진행예정입니다.</t>
  </si>
  <si>
    <t>CO/D-A/S-CE-86</t>
  </si>
  <si>
    <t>철골구조물 단열공법 변경에 따른 원가 절감</t>
  </si>
  <si>
    <t xml:space="preserve">단열뿜칠 공법 변경으로 당초 문제점 개선 가능
- 스프레이 뿜칠 공법으로 시공성 향상 및 공기단축 가능
- 이음새가 없는 단일구조로 시간경과에 따른 벌어짐 없음
- 어떠한 형상에도 시공이 가능함 (당현장 원형 기둥 접합 有)
- H빔 열교현상 방지를 고려한 VE 가능
(기존 단열두께 -&gt; 단열뿜칠 30T, 내화뿜칠만으로도 열교현상을
예방할 수 있으나 단열뿜칠도 단부 발생 시 벌어짐이 발생하는
하자가 있어 최소한의 두께 시공 불가피) 
</t>
  </si>
  <si>
    <t>CO/I-PI-CE-44</t>
  </si>
  <si>
    <t>CPR 시뮬레이터 도입제안</t>
  </si>
  <si>
    <t xml:space="preserve">CPR 시뮬레이터 시스템을 도입하여 교육받는자가 효과적인 CPR 을 할 수 있다
또한, 현장 준공 임박 시 신설현장 등에 양도하여 시스템 구축비용 절감가능
</t>
  </si>
  <si>
    <t>현실적으로 공간, 비용 등 쉽지 않음 &gt;안전보건실 전달예정</t>
  </si>
  <si>
    <t>CO/D-A/S-CE-87</t>
  </si>
  <si>
    <t>2403282</t>
  </si>
  <si>
    <t>이장태</t>
  </si>
  <si>
    <t>갱폼 단부 안전난간대 재활용 방안</t>
  </si>
  <si>
    <t>갱폼 단부 안전난간대 소액자산관리 연계를 통한 개선안</t>
  </si>
  <si>
    <t>EN/S-A/S-CE-58</t>
  </si>
  <si>
    <t>S-Column(PRD+H빔) 지상1층 기둥이음 위치 조정</t>
  </si>
  <si>
    <t>이에 지상1층 기둥 이음 위치를 1SL에서 진행하여 접합부 주변 철골 부재의 중량 및 금액을 절감할 수 있다.</t>
  </si>
  <si>
    <t>아이디어 인정, 과제 미채택
현장 특수성에 따른 VE사항이지만 현장별로 유사한 조건이 있을 것으로 판단되어 Top Day Check List에 추가 예정</t>
  </si>
  <si>
    <t>CO/Z-PI-EXP-25</t>
  </si>
  <si>
    <t>부가세 공제여부 선택</t>
  </si>
  <si>
    <t>P/G사 매출액 입력시에도 (복리후생비, 광고선전비 등일 경우) 공제여부 체크 해제 가능하게 하여, 매입세 공제 가능하게 함</t>
  </si>
  <si>
    <t>해당 건만 오류였음. 시스템 수정함</t>
  </si>
  <si>
    <t>CO/Z-PI-SNA-48</t>
  </si>
  <si>
    <t>현장출역통제 제도</t>
  </si>
  <si>
    <t xml:space="preserve">개선 전)아침에 협력업체에서 제출하는 출역일보만으로 출역 확인
개선 후)아침에 안전조회 후 지급받은 Tag로 단말기에 체크하여
 출역일보 집계 및 출력 결재 및 보관
</t>
  </si>
  <si>
    <t>유사제안 有</t>
  </si>
  <si>
    <t>CO/Z-PI-SNA-49</t>
  </si>
  <si>
    <t>숙소관리비 제한 제도</t>
  </si>
  <si>
    <t xml:space="preserve">개선 전)발생되는 관리비 전액 회사 납부
개선 후)당 현장 숙소관리비 평균 대비 1.3배 이상 발생시 초과
되는 숙소관리비는 개인이 지급토록 함
</t>
  </si>
  <si>
    <t>유사제안 있으나 해결방안 다소 상이함. 아이디어 인정</t>
  </si>
  <si>
    <t>CO/Z-PI-SNA-50</t>
  </si>
  <si>
    <t>지역단가 활용 제도</t>
  </si>
  <si>
    <t xml:space="preserve">개선 전)현장별 별도 견적 및 품의
개선 후)각 지역별 견적,품의,업체 등록→선정 업체 시스템 게시→
타 현장 게시물 조회→조건 확인 후 게시업체 선정/주문
(별도 품의 없이 선정 사용)
</t>
  </si>
  <si>
    <t>(중복) 공세로 활용시, 해당 부분 해소 가능</t>
  </si>
  <si>
    <t>CO/Z-PI-SNA-51</t>
  </si>
  <si>
    <t>PC비용 지급 제도</t>
  </si>
  <si>
    <t xml:space="preserve">개선 전)현장전문직 채용 확정 후 PC렌탈 신청/비용 지급
개선 후)채용 설명 또는 확정 후 PC렌탈지급과 개인구비 선택지
제시 후 개인구비일 경우 현재 렌탈기간별 지급비용의 90%를
개인비용으로 지급하여 10% 원가절감 시행
</t>
  </si>
  <si>
    <t>보안 및 PC이상 발생시 업무효율 저감</t>
  </si>
  <si>
    <t>EN/E-E-CE-60</t>
  </si>
  <si>
    <t>한화솔루션 태양광 연계형 건설현장 에너지 최적화시스템 도입</t>
  </si>
  <si>
    <t xml:space="preserve">항목	개선 전	개선 후
에너지 사용 관리	수동 관리,피크시간 예측 어려움	실시간 모니터링 시스템 도입
전력 공급 방식	외부 전력 또는 발전기 전원 사용	한화 솔류션 태양광 모듈+ESS병행
ESG 실적 확보	비정형/정성 중심	정량적 에너지 절감량,탄소 감축량 확보
비용 구조	전기료,연료비 부담지속	태양광 발전 전력 활용으로 비용절감
그룹 시너지	제한적	한화건설X한화솔류션 시너지실현
</t>
  </si>
  <si>
    <t>좋은제안이나 현시점에 적합하지 않은 제안으로 판단됨</t>
  </si>
  <si>
    <t>CO/Z-YY-CE-13</t>
  </si>
  <si>
    <t>고철매각프로세스 변경을 통한 원가절감 및 업무효율성 제고</t>
  </si>
  <si>
    <t xml:space="preserve">-개선 前: 철스크랩 지역별 고시 단가로 매각  
-개선 後: 고철 매각 시 경쟁 입찰을 통해 진행
(지역업체사용에 따른에 지역업체에 입찰권 부여)
</t>
  </si>
  <si>
    <t>현재, 제도도 현장입찰을 통해 기준단가 이상 매각 가능함.</t>
  </si>
  <si>
    <t>EN/M-M-CE-49</t>
  </si>
  <si>
    <t>저수조상부 안전난간대 적용</t>
  </si>
  <si>
    <t xml:space="preserve">① 저수조 상단에 난간대 설치하여, 공사중 작업자의 추락방지
② 준공 후 유지 보수 작업 시에도 작업자 안전확보
</t>
  </si>
  <si>
    <t>당사 저수조 연간단가 항목중 사다리 주위 난간대 설치되나, 저수조 상부 전체부위 난간대 추가는 원가 및 효율성 측면 검토시 부적합함</t>
  </si>
  <si>
    <t>CO/D-Z-CE-18</t>
  </si>
  <si>
    <t>시트파일임대비 리미트반영</t>
  </si>
  <si>
    <t xml:space="preserve">개선 전 : 별도의 구매계약 시 리미트항목 없음
개선 후 : 임대 기간 증가 시 리미트(강재구매-고재단가)조건을 반영한 계약 체결하여 원가 손실 최소화
</t>
  </si>
  <si>
    <t>아이디어 인정, 채택 검토 중
장기 사용자재 발주 시 발주방식 변경에 대한 프로세스 수립 검토 후 과제화 여부 결정예정입니다.</t>
  </si>
  <si>
    <t>CO/D-PI-CE-41</t>
  </si>
  <si>
    <t>변경 계약 시(하도급) 단가 검증 매뉴얼 작성에 의한 절감안</t>
  </si>
  <si>
    <t xml:space="preserve">개선 전: 변경 계약 추가 내역 단가에 대한 검증 기준안 부재
개선 후: 표준품셈 및 물가정보지를 활용하여 기계약 내역에 대한 원가계산서의 낙찰률 확인 및 추가 내역에 대한 원가 검토 기준 마련
</t>
  </si>
  <si>
    <t>회사 차원의 표준단가 기준을 정립하고자 하나,
공사 여건  등 다양한 조건에 따라 단가 변동성이 높음
또한 신규 아이템에 대한 단가 적정성을 외주팀 R&amp;R 예정</t>
  </si>
  <si>
    <t>CO/D-PI-CE-42</t>
  </si>
  <si>
    <t>시작 공사 현장 배치전 건강검진 관리 제안</t>
  </si>
  <si>
    <t>시작하는 현장 배치 시 현장의 건강검진을 담당하는 보건관리자는 대부분 현장채용직이기 때문에 공사 시작에 투입됨. 그로인해 병원에 사업장 등록 및 건강검진 예약 불가능하여 초기 투입된 직원들은 배치전 건강검진이 채용일 이후가 되어 과태료가 발생함. 시작하는 현장 인원들은 본사에서 확인 후 건강검진 예약 및 관리하여 과태료 발생하지 않도록 하는 것이 중요하다고 생각함</t>
  </si>
  <si>
    <t>배치전 건강검진 관련하여 중복 아이디어</t>
  </si>
  <si>
    <t>CO/I-PI-CE-45</t>
  </si>
  <si>
    <t>생수업체선정 프로세스 변경</t>
  </si>
  <si>
    <t>-개선 전: 현장에서 물통 먼저 집어넣은 업체로 선정
-개선 후:단가 조사 및 업체 현황을 파악하여 적정 업체 확보 후 현장 개설 시 적정 업체에 단가 경쟁을 시켜 업체 선정.</t>
  </si>
  <si>
    <t>18.9L 생수의 경우, 기 설치된 냉온수기 교체 문제로 진행중인 현장은 변경 어려움, 신규 현장만 적용하기에는 납품 수량 부족으로 단가 상승 → 단가 경쟁력 상실
- 18.9L 생수 연간단가 체결 시 2백만원/월 절감(全 현장 적용시) 예상되나, 현장여건 고려하여 현장에서 자율적으로 운영하는 것이 바람직하다고 판단됨</t>
  </si>
  <si>
    <t>CO/I-PI-CE-46</t>
  </si>
  <si>
    <t>CCTV 선정 프로세스 변경을 통한 업무효율성 증대</t>
  </si>
  <si>
    <t>-업체에 경쟁을 시켜 년간 단가 업체를 선정하여 시행.</t>
  </si>
  <si>
    <t>유사 제안 有. 과제 진행중</t>
  </si>
  <si>
    <t>CO/I-PI-CE-47</t>
  </si>
  <si>
    <t>유류 구매프로세스 변경을 통한 원가절감</t>
  </si>
  <si>
    <t xml:space="preserve">-개선 전 : 현장 인근 주유소에서 짬짜미 구입
-개선 후 : 전국구 업체를 선정하여 공장도 가격보다 저렴하게 구매
           (EX : 공장도 가격 -90원)/오피넷 가격보다 저럼.
</t>
  </si>
  <si>
    <t>현장지원팀 검토 요청.</t>
  </si>
  <si>
    <t>IN/C-PI-CE-73</t>
  </si>
  <si>
    <t>0200184</t>
  </si>
  <si>
    <t>수도권광역급행철도 C노선(GTX-C</t>
  </si>
  <si>
    <t>김진수</t>
  </si>
  <si>
    <t>현장개설시 통신시설비절감(무선네트워크구축)</t>
  </si>
  <si>
    <t xml:space="preserve">VPN장비는 최초1회 구매이나, 현장 이전시 VPN장비와 무선네트워크 라우팅을 통해, 0.5~2일 가량 소요되는 네트워크의 유선 설치, 해체비용을 무선 네트워크 도달 반경당 1기씩 설치하고, 최소 회선만 유선으로 설치(복합기 등)하여, 설치비용 최소화. 이전시에도 메인 장비만 이전 후 적정반경의 AP를 그대로 활용하여 재설치하면 비용이 절감됨. </t>
  </si>
  <si>
    <t>아이디어 인정, 과제 검토중
건설공사의 특성 상 현장사무실 이전 등 작업이 빈번한데, 최초시공 비용 및 이전 시 이전비용 추가발생하나, 무선LAN구축을 통하여 통신시설비 1회 집행 가능 아이디어로 인프라지원 및 건축 지원팀 공유하여 추진 가능할 것으로 판단됨, GTX-C 현장 기준 연간 800만원의 운영비 필요, 비용 증가로  추진 불가</t>
  </si>
  <si>
    <t>IN/C-PI-CE-74</t>
  </si>
  <si>
    <t>슬러지 보관함 개선을 통한 슬러지 관리효율 증대</t>
  </si>
  <si>
    <t xml:space="preserve">1. 세륜기 관리업체 대부분 굴착기 사용으로 슬러지 포대 운반/보관시 슬러지 보관함이 소형일 경우 상당히 불편을 초래.
2. 원하는 규격의 슬러지 보관함 제작 시 구매비용 과다 책정
3. 현장 별 대부분 세륜기 1대일 경우 소형 길이 4m * 높이 2m 슬러지 보관함이면 충분함 
업체 보유 굴착기 사용을 통한 슬러지 포대를 관리할  수 있는 방법이 없을까 하는 생각으로 지붕 개폐형 슬러지 보관함 제작 진행
</t>
  </si>
  <si>
    <t>아이디어 인정, 과제 미채택
현장 내 건설오니 재활용 및 반출을 위해 필요한 부분이나, 유형효과가 크지않는 상황입니다. 당 사 보관함 기준 변경으로 가능한 부분임에 따라 환경지원팀 담당자에게 해당 안건 전달하여 당사 기준 변경토록 진행하겠습니다</t>
  </si>
  <si>
    <t>CO/Z-PI-CE-73</t>
  </si>
  <si>
    <t>2100896</t>
  </si>
  <si>
    <t>박주희</t>
  </si>
  <si>
    <t>다이어트 성공시 보너스 지급</t>
  </si>
  <si>
    <t xml:space="preserve">일정(3~6개월) 기간내 목표체중 (10~20%) 감량 또는 증량시(저체중 해당자) 보너스 (현금 또는 상품권) 지급
-보너스 금액은 (최소)30만원
-객관적인 지표(인바디 등) 상 체중변화 확인
-건강하지 않은 다이어트는 지양(근육량 등 변화 체크)
-목표체중 도달시 6개월 이상 유지
-체중유지 못할시 보너스 반환
</t>
  </si>
  <si>
    <t>TOP취지와 맞지않음. 단순 건의사항. 과거 지원팀에서 유사한 이벤트 한 적 있음.(걷기 이벤트)</t>
  </si>
  <si>
    <t>CO/Z-PI-SNA-52</t>
  </si>
  <si>
    <t>판관비 부가세 관련 안</t>
  </si>
  <si>
    <t xml:space="preserve">▪개선전 : 법인세 부가세 제외 / 개인증빙 부가세 포함
▪개선후 : 전체 일괄 법인카드 사용하여 부가세 제외
</t>
  </si>
  <si>
    <t>과제화 진행중. 출장비 법인카드 사용 강제화는 불만이 있을수도 있음. 검토가 필요함</t>
  </si>
  <si>
    <t>PR/P-YY-SNA-1</t>
  </si>
  <si>
    <t>동절기난로 구매변경 제안</t>
  </si>
  <si>
    <t xml:space="preserve">지하층 골조공사시 동절기 보양용 난로 구매계약, 현장보관 후
기준층 동절기 보양공사에 전용
</t>
  </si>
  <si>
    <t>2년 이상 사용이 필요한 현장은 현장별로 구매하여 사용하여도 무관함. 관리의 문제가 있음</t>
  </si>
  <si>
    <t>CO/Z-PI-SNA-53</t>
  </si>
  <si>
    <t>멘토링 제도 시행</t>
  </si>
  <si>
    <t xml:space="preserve">신규직원에게 멘토 지정권을 부여하여, 자신이 원하는 멘토를 선정
하고 멘토를 통해 원활한 업무진행, 경험과 지식의 획득, 관계형성 
등 실용적인 조언과 피드백 공유로 업무능력 및 조직 적응력 향상
효과 기대
또한, 멘토로 지정된 직원에게는 Benefit(교육시간, 인사평가 가산점
등) 제안를 통해 자기 성장과 자발적 멘토링 활동 참여의지 부여
</t>
  </si>
  <si>
    <t>TOP과제 부적합. 멘토링, 버디 제도는 지속적으로 운영되어 왔음. 각 사업본부 지원팀 교육담당에게 건의하겠음</t>
  </si>
  <si>
    <t>EN/S-C-CE-20</t>
  </si>
  <si>
    <t>흙막이 폐합 가이드라인 수립</t>
  </si>
  <si>
    <t xml:space="preserve">개선전:흙막이 띠장 폐합 사항이 도면 및 내역서 누락-&gt;점검시 지적발생-&gt;긴급 추가공사-&gt;공사비 증가 및 공정 차질 발생.
개선후:시공설명회 또는 설계단계 띠장 폐합 가이드라인 수립
해당 내용을 내역서 및 도면에 반영함으로써
-점검 대응력 향상
-공사비 예측 가능
-추가공사 사전 예방
</t>
  </si>
  <si>
    <t>CO/Z-PI-EXP-26</t>
  </si>
  <si>
    <t>유니파이어 하도급 간접비 산출방식 변경</t>
  </si>
  <si>
    <t xml:space="preserve">유니파이어 “새 입찰 프로세스 생성”에서 건강보험료 外 2건의 간접
비율을 고용보험 및 건설기계대여대금과 같이 수기입력이 가능토록
조정하여, 법적 간접비 기준율 적용 및 준수토록 변경
</t>
  </si>
  <si>
    <t>과제화는 불필요. 외주팀과 협의 필요함</t>
  </si>
  <si>
    <t>CO/Z-PI-CE-74</t>
  </si>
  <si>
    <t>휴게실공간조성</t>
  </si>
  <si>
    <t>1.	개선전: 탕비실 개념으로 음료수 제공
2.	개선후: 현장 직원전용 휴게공간 구성
-	간단한 조식을 제공(라면, 주먹밥, 바나나, 만두 등)
계절에 따라 메뉴 변경</t>
  </si>
  <si>
    <t>TOP취지와 맞지 않으나 현장지원팀 건의</t>
  </si>
  <si>
    <t>CO/Z-PI-EXP-27</t>
  </si>
  <si>
    <t>업무용 PC 초기 설정 간소화</t>
  </si>
  <si>
    <t xml:space="preserve">현재 *7개의 필수 프로그램 설치 절차를 원-클릭 시스템으로 개선
사용자는 개인정보(사번 등)기입만 으로 절차 종료
</t>
  </si>
  <si>
    <t>단순 건의사항. 과거 대비 지속적으로 간소화 되었음</t>
  </si>
  <si>
    <t>CO/D-ID/H-CE-37</t>
  </si>
  <si>
    <t>0701635</t>
  </si>
  <si>
    <t>조수원</t>
  </si>
  <si>
    <t>안전난간대 설치 구간 추가 생명줄 설치</t>
  </si>
  <si>
    <t>안전난간대 설치 구간 및 작업발판이 설치된 전 구간에 추가로 생명줄을 설치하여 안전대 고리 부착 행동의 불편함을 개선하고, 고소 작업 시 안전대 고리 부착에 대한 경각심을 강화</t>
  </si>
  <si>
    <t>TOP 아님(전체 확인 필요)</t>
  </si>
  <si>
    <t>CO/D-ID/H-CE-38</t>
  </si>
  <si>
    <t>양중작업 시 통제인원 추가 배치</t>
  </si>
  <si>
    <t>양중 작업 시 신호수 이외 별도의 통제인원(유도원)을 배치하여 주변 근로자가 양중구간에 접근하는 것을 예방</t>
  </si>
  <si>
    <t>CO/D-ID/H-CE-39</t>
  </si>
  <si>
    <t>방우형 작업선 사용 기준 도입</t>
  </si>
  <si>
    <t>누전 차단기 부착식 방우형 작업선 사용을 전사 공통 안전규칙으로 제정하여 감전 및 화재사고 예방</t>
  </si>
  <si>
    <t>CO/D-ID/H-CE-40</t>
  </si>
  <si>
    <t>갱폼 하부 앙카볼트 선해체 방지 Lock Out 장치 설치</t>
  </si>
  <si>
    <t xml:space="preserve">갱폼 최하부 앙카볼트에 선해체 방지용 Lock Out장치를 설치 후
갱폼 인양 시 상부 인양 러그에 타워크레인 연결이 확인되면
설치된 Lock Out 장치의 잠금 장치를 해제하는 형식으로 선해체
작업을 사전에 차단 가능
</t>
  </si>
  <si>
    <t>CO/D-ID/H-CE-41</t>
  </si>
  <si>
    <t>계단실 앙카식 수직망 선설치로 안전대 걸이시설로 활용</t>
  </si>
  <si>
    <t xml:space="preserve">계단실 앙카식 수직망을 골조 진행 중에 선설치하여
(개선1) 계단실 고소 작업 시 안전대 걸이시설(와이어로프)로 활용
(개선2) 계단실 앙카식 수직망 선설치로 계단실 가설 안전난간대에 설치하는 안전수직망 설치비용 절감
</t>
  </si>
  <si>
    <t>CO/I-ID/H-CE-18</t>
  </si>
  <si>
    <t>고소 작업대 안전블럭 의무 설치</t>
  </si>
  <si>
    <t>고소작업대 관리 규정에 케이지 내부에 안전블럭을 의무 설치하도록 하여 케이지 외부 작업 시 안전블럭을 활용하여 안전대 고리를 부착 후 작업하여 떨어짐 재해 예방</t>
  </si>
  <si>
    <t>-	비용과다, 장비 전도시 근로자 동시 추락 위험
-	안전블럭 설치 時 확장발판 및 추가 발판 사용 불가(안환실 가이드에도 어긋납니다…)
-	연간단가 내 가대 등에 설치 가능한 안전대걸이용 클램프가 별도로 있습니다.(안전블럭 최소 개당 155,000원, 해당 클램프 개당 9500원)</t>
  </si>
  <si>
    <t>CO/I-ID/H-CE-19</t>
  </si>
  <si>
    <t>안전난간대를 설치하는 강관 파이프를 칼라 파이프로 설치하여 시인성을 높여 위험구역에 대한 근로자 인식율을 높이고, 비계 강관과의 차별로 근로자가 임의로 해체하지 못하도록 교육효과 강화</t>
  </si>
  <si>
    <t>강관파이프 색동파이프 : 강도가 나오는 특허제품 연간단가 품목에 반영되어 있습니다.
-	일반 색동파이프 강도 문제로 사용 불가
-	연간단가 4,900원</t>
  </si>
  <si>
    <t>CO/D-ID/H-CE-42</t>
  </si>
  <si>
    <t>계단실 간이피난유도선을 LED줄등으로 설치하여 임시조명 활용</t>
  </si>
  <si>
    <t>임시 소방시설 중 계단실 간이피난유도선을 LED 줄등으로 설치하여 가설 전등 설치 전까지 조도 확보 가능</t>
  </si>
  <si>
    <t>CO/I-ID/H-CE-20</t>
  </si>
  <si>
    <t>안전난간대 수직망 재설치 단가 신설로 자재비 절감 및 폐기물 처리비 절감</t>
  </si>
  <si>
    <t>추락 및 낙하물 방지망은 재활용 제한적이나 안전난간대 수직망은 낙하물 방지용 발끝막이용으로 재활용이 가능하여, 안전시설물 연간단가 항목에 재설치 단가를 추가하여 재활용율을 높이는 방안</t>
  </si>
  <si>
    <t>통합
(1105)</t>
  </si>
  <si>
    <t>안전 검토 요청. 안전환경실 아이디어와 유사하나 확장(1105번)</t>
  </si>
  <si>
    <t>CO/Z-PI-CE-75</t>
  </si>
  <si>
    <t>서클 지원업무에 KS열람 및 출력 추가 제안의 건</t>
  </si>
  <si>
    <t>서클 지원업무에 KS 열람 및 출력 추가 제안</t>
  </si>
  <si>
    <t>KS자료열람은 e-나라표준인증에서 가능하나 출력은 제한이 있음. 출력은 한국표준협회에서 운영하는 KSSN에서 가능하나 모든 현장에 베포하기에는 비용 문제가 있음. 현장 필요시 사업부에 요청하여 권한 요청.(안전환경팀 오철승 과장)</t>
  </si>
  <si>
    <t>CO/Z-PI-CE-76</t>
  </si>
  <si>
    <t>장기계속공사 중 미환급 공사이행보증 수수료 환급추진</t>
  </si>
  <si>
    <t xml:space="preserve">• ‘건설공제조합’ 및 ‘엔지니어링공제조합’의 사례들을 근거로 ‘서울보증보험’에 당사의 의견을 지속적으로 전달하여 환급을 추진하되 환급이 될 경우 내부 프로세스화 하고 환급을 거부할 경우 신규 (장기계속) 공사 건의 보증서 발급기관 선정 단계에서부터 (건설공제조합에서 수수료를 환급받은 건들의) 평균절감율을 감안하여 Bidding진행 </t>
  </si>
  <si>
    <t>아이디어 인정, 채택 검토 중
현재 수주지원팀 추진 사항으로 관련 현장, 보증사와 비용회수 여부 검토 중이며, 관련 프로세스 개선에 대한 방안 수립 중으로 회수에 대한 유형효과 및 프로세스 개선(안)에 대한 검토 후 과제화 추진 예정입니다</t>
  </si>
  <si>
    <t>CO/Z-PI-CE-77</t>
  </si>
  <si>
    <t>1105692</t>
  </si>
  <si>
    <t>부전마산 복선전철</t>
  </si>
  <si>
    <t>이거선</t>
  </si>
  <si>
    <t>원가누락분 자동 검색 기능 추가</t>
  </si>
  <si>
    <t>유니파이어 시스템 상에 전월 안분 시 누락된 원가를 자동으로 출력해주는 기능 추가하여 누락 원가 확인에 소요되는 시간을 줄임과 동시에 손익개선에도 기여 가능</t>
  </si>
  <si>
    <t>중복 아이디어(1006번)
시스템관련 유관부서 협의예정</t>
  </si>
  <si>
    <t>CO/Z-PI-CE-78</t>
  </si>
  <si>
    <t>2101440</t>
  </si>
  <si>
    <t>장영훈</t>
  </si>
  <si>
    <t>심리상담 정기교육 시행</t>
  </si>
  <si>
    <t>본사에서 라포레나 상담사가 관리감독자 10명/월 분할 심리 상담을 해서 업무 향상에 기여할 수 있다.</t>
  </si>
  <si>
    <t>시행중</t>
  </si>
  <si>
    <t>CO/D-ID/P-CE-2</t>
  </si>
  <si>
    <t xml:space="preserve">고한울, 최재형, </t>
  </si>
  <si>
    <t>현장건설폐기물절감방안</t>
  </si>
  <si>
    <t xml:space="preserve">개선 전)현장 자재 반입시 발생하는 폐기물 미회수 및 당사 처리
개선 후)자재 입찰시 현설에 자재보양 및 이동시 반입되는 자재외
  재료는 반입&amp;하차 후 즉시 회수하여 각 업체로 반출
</t>
  </si>
  <si>
    <t>CO/D-C-CE-14</t>
  </si>
  <si>
    <t>2101427</t>
  </si>
  <si>
    <t>영종신도 평화도로</t>
  </si>
  <si>
    <t>이용호</t>
  </si>
  <si>
    <t>턴키, 민자사업 도급 견적 시 노무비 최소화로 정산보험료 절감</t>
  </si>
  <si>
    <t>• T/K 및 민자현장 설계 시 견적단가(특허, 신기술 포함)의 노무비 비율을 최소화하여 보험료 산정 금액을 줄이고 총액 입찰 시 부족한 금액을 직접공사비로 전환하면 도급공사비 증대</t>
  </si>
  <si>
    <t>아이디어 인정, 과제 미채택
유관부서 협의 시 설계단가를 조정하는 부분에서 부정적인 상황이며, 관련한 간접비의 변경도 발생하는 여건을 감안할 때, 해당 건은 실시 설계 중 현장여건을 반영하여 조정해야 된다고 판단됩니다.</t>
  </si>
  <si>
    <t>CO/D-ID/P-CE-3</t>
  </si>
  <si>
    <t>압롤 박스 자동덮개 반입</t>
  </si>
  <si>
    <t xml:space="preserve">기존 압롤박스를 수시로 덮기 힘들어 일시적으로 해체 후 방치하여 과태료 및 벌금이 발생 하였으나 압롤박스 자동덮개를 설치할 경우 덮개설치,해체가 간편화 되어 </t>
  </si>
  <si>
    <t>필요성은 이해하나. 논의 필요</t>
  </si>
  <si>
    <t>CO/I-PI-CE-48</t>
  </si>
  <si>
    <t>복합기 운용방법 변경을 통한 원가절감</t>
  </si>
  <si>
    <t xml:space="preserve">1.	기존 연간단기 기본요금제 변경을 통한 추가요금 최소화
-	기본요금제 변경 (175,000원 ---&gt; 240,000원)
-	기본출력매수 상향 
(흑4,000매/컬러2,000매 ---&gt; 흑6,000매/컬러3,000매) 
2.	월 2회 복합기 사용현황 게시로 사용매수 조절
-	복사기 기본 잔여 매수 확인 / 게시
</t>
  </si>
  <si>
    <t>- 복합기 기본요금제 변경 시 11.8만원/월 절감 가능
   (25년 04월 기준)
- 기본료 :175천원 → 흑백 2천매, 컬러 1천매 추가 (+72천원) 
- 기본료 : 175천원 → 24천원 (+65천원)
 =&gt; 따라서, 흑백 6천매, 컬러 3천매 이상 사용 현장은 기본료 24천원으로 신청하는 것이 유리
- 단 절감금액 고려할 경우 TOP 안건은 아니라고 생각되나, 인지하지 못하는 현장이 있을수도 있으니 현장 안내 필요</t>
  </si>
  <si>
    <t>CO/D-ID/P-CE-4</t>
  </si>
  <si>
    <t>레미콘 별 납품시 타설 물량차이 대책</t>
  </si>
  <si>
    <t xml:space="preserve">개선 전
본사 지정 배합이 아닌 레미콘사 자체 배합의 경우 단위 중량 차이로 인한 물량 차이 발생 
예를 들어 A와C 의 경우 2대정도가 차이남 
개선 후
1.레미콘 타설 시 주기적으로 계량소에서 타설 전 후를 측정하여 중량을 별도로 확인 ㎥ 
2.마감 시 물량을 확인 (실제 타설량, 마지막차의 남은량)
3. 1,2 번의 항목을 가지고 기존층 타설시 물량비교
  (예 102동 기존층 물량 246루베 일때)
A사 40대(240루베)마감 
B사 41대(243루베 3루베남음
C사 42대(247루베 5루베남음
현장에서는 1,2,3항목을 본사에 보고하여 다음현장 개설시 구매팀에서 레미콘 계약을 할때 조항을 걸어 기존층 기준 현장에 납품하는 레미콘사들이 기준층을 타설 할 때 평균을 물량 구하여 기준 초과하는 업체는 다음 현장 계약시 반영(배합설계시 단위중량 업) 하거나 그 차이 만큼 돈을 미 청구 하기로 계약
</t>
  </si>
  <si>
    <t>전체 확인 필요</t>
  </si>
  <si>
    <t>CO/D-ID/P-CE-5</t>
  </si>
  <si>
    <t>공도미수금 납부 독촉을 위한 자동 문자 또는 메일 발송 기능 추가</t>
  </si>
  <si>
    <t xml:space="preserve">공도 안분금 미입금 공도사에 대해 매월 정기적으로 문자 또는 메일 발송 기능 추가
(미수금 산정 시 지연손해금도 포함시켜 압박 효과 증대 필요)  
</t>
  </si>
  <si>
    <t>아이디어 인정, 과제 미채택
시스템 상 단순 적용되는 부분이라 과제화없이 진행예정이며, 유관부서(DT팀, 인프라VE팀, 법무팀)와 협의 후 가능여부 회신드리겠습니다</t>
  </si>
  <si>
    <t>CO/Z-PI-CE-79</t>
  </si>
  <si>
    <t>한화 임직원 기부의 날(가칭) 지정</t>
  </si>
  <si>
    <t xml:space="preserve">“한화 임직원 기부의 날(가칭) 지정”
- 근로자의 날 또는 창립기념일에 상품을 고르는 것과 유사하게
- 기부 대상 기관 또는 단체를 사전에 4~5개 정도 미리 선정하여 
기부의 날에 투표 진행
[(기부금액 : 회사지원 일부(가능 시) + 임직원 개인 추가 기부액)]
</t>
  </si>
  <si>
    <t>TOP인정여부 애매함. 인사지원팀에 아이디어 전달</t>
  </si>
  <si>
    <t>CO/D-PI-CE-43</t>
  </si>
  <si>
    <t>1100747</t>
  </si>
  <si>
    <t>고태호</t>
  </si>
  <si>
    <t>강우량 측정기 기준정립</t>
  </si>
  <si>
    <t>각현장별 사용하는 강우량측정기 확인後, 현장 및 개정조건에 최적합한 기기의 원가를 추후 신규현장 내역반영</t>
  </si>
  <si>
    <t xml:space="preserve">아이디어 인정, 과제 미채택
기술혁신팀 담당자 문의결과 강우 특성상 실시간으로 값이 변하므로 가급적이면 자동기록 장비를 구매하는 것을 추천하였습니다. 이미 대다수의 현장이 구매를 하였으나, 신규 착공 현장에 대해서는 동일한 내용 전달 예정
</t>
  </si>
  <si>
    <t>CO/I-PI-CE-49</t>
  </si>
  <si>
    <t>2403186</t>
  </si>
  <si>
    <t>양주광적 하수도 2단계</t>
  </si>
  <si>
    <t>김찬수</t>
  </si>
  <si>
    <t xml:space="preserve">임직원 개인경비 식대 증빙 첨부 간소화 </t>
  </si>
  <si>
    <t>- 식대 비용 소비를 못하는 직원이 없다고 판단됨에 식대 비용
  영수증 첨부 삭제 요청 합니다.</t>
  </si>
  <si>
    <t>중복
(1181)</t>
  </si>
  <si>
    <t>EN/S-C-CE-21</t>
  </si>
  <si>
    <t>2203410</t>
  </si>
  <si>
    <t>지하기초단차 고화재를 이용한 되메우기</t>
  </si>
  <si>
    <t xml:space="preserve">개선 전 : 설계지내력 확보를 위해 되메우기 구간 C급 콘크리트 타설
개선 후 : C급 콘크리트를 대체해 고화재를 활용한 되메우기
</t>
  </si>
  <si>
    <t>아이디어 인정, 과제 미채택
현장 특수성에 따른 VE사항으로 과제화는 불가하지만 유형 효과가 큰 아이템으로 판단되어 Top Day Check List에 추가 예정</t>
  </si>
  <si>
    <t>EN/S-C-CE-22</t>
  </si>
  <si>
    <t>강재 독립기초</t>
  </si>
  <si>
    <t xml:space="preserve">버림타설후 강재 독립기초 얹힘시공(EX :강재ELEV.PIT)에 의한
법면 공간 최소화 및 데크처럼 하부철근 래티스 고정
</t>
  </si>
  <si>
    <t xml:space="preserve">아이디어 인정, 과제 미채택
독립기초 특성상 불가피한 상황이며, 최근 실행기준은 기초콘크리트 강도로 동시 타설 조건으로 기준 수립 완료 니다. </t>
  </si>
  <si>
    <t>EN/M-A/F-CE-7</t>
  </si>
  <si>
    <t>박병규, 고한울, 김태용</t>
  </si>
  <si>
    <t>저수조 장비패드 단면변경(패드폭 0.5m &gt; 1.5m 변경)</t>
  </si>
  <si>
    <t>패드 폭을 1.4~1.5m 정도로 조정(패드간 유효폭은 0.6m 유지)</t>
  </si>
  <si>
    <t>패드간격조정은 물탱크 유지관리를 위해 불가함(현장VE)</t>
  </si>
  <si>
    <t>CO/I-PI-CE-50</t>
  </si>
  <si>
    <t>협력사 현장투입前 본사에서 협력사 경영진 및 현장소장의 안전교육 실시</t>
  </si>
  <si>
    <t>현장 주요공사(사고발생 다수 공정) 계약완료時 본사(안전보건운영팀)에서 협력사 경영진 및 현장소장 안전관련 교육 실시後 현장 투입</t>
  </si>
  <si>
    <t>안전환경팀 건의</t>
  </si>
  <si>
    <t>CO/I-PI-CE-51</t>
  </si>
  <si>
    <t>모바일 앱 활용한 건강 체크리스트 제안</t>
  </si>
  <si>
    <t>현재 회사 內 어플을 사용하여 QR 찍은 후 바로 간단한 자가설문지 체크리스트가 생성이 되도록 만들어서 근로자들이 스스로 수면시간, 통증, 기분, 음주 등 체크하면 관리감독자가 확인할 수 있는 시스템을 구축하여 점수를 매겨 사전에 사고 가능성을 차단함(단순작업 배치 및 투입 금지 등). 또한 그 데이터들이 쌓여 누적데이터를 사용하여 피로 누적자 등을 파악하여 질 높은 건강삼담 및 작업전환 등으로 사후관리 하여 사고로 발생하는 간접비, 공정지연등이 발생하지 않아 원가 절감 가능.</t>
  </si>
  <si>
    <t>투입비 대비 실효성 낮아보이며 낮은 점수 체크 후 담당자 확인 안할시, 책임은 더욱 클 것 으로 보임</t>
  </si>
  <si>
    <t>CO/D-PI-CE-44</t>
  </si>
  <si>
    <t>1902254</t>
  </si>
  <si>
    <t>신호</t>
  </si>
  <si>
    <t>돌출철근 가공장에서 절곡(밴딩) 현장 반입 시공</t>
  </si>
  <si>
    <t xml:space="preserve">-. 가공장에서 철근 끝단부 절곡 후 현장 반입하여 찔림사고 예방
-. 철근캡 미설치로 철근캡 해체 작업 시간 단축/ 즉시 시공 가능
   (단 굵은 철근에 한해서는 천(벨크로) 재질(지속사용 가능)로 된 철근캡 설치
</t>
  </si>
  <si>
    <t>아이디어 미인정
해당 내용은 이전에 접수된 아이디어와 중복되며, 돌출 철근에 대한 기준이 모호하며, 밴딩에 따른 철근 loss 증가, 배근량이 많은 구간(간격이 촘촘한 경우)에 타설불량 등을 초래 할 수 있다고 판단함</t>
  </si>
  <si>
    <t>CO/D-ID/H-CE-43</t>
  </si>
  <si>
    <t>세대수직망 슬라이딩형 설치</t>
  </si>
  <si>
    <t>- 세대수직망 고정철물 맞벽(슬라이드 타입) 설치로 창호 설치 및
                                                                                                                                                                                                                                                                후속공정 작업 시 해체비/재설치비 비용 절감
- 해체/재설치 시 근로자 떨어짐 위험 예방</t>
  </si>
  <si>
    <t>297번과 중복</t>
  </si>
  <si>
    <t>CO/Z-PI-CE-80</t>
  </si>
  <si>
    <t>현장전문직 본사 일괄 채용</t>
  </si>
  <si>
    <t>-당사 홈페이지에 수시채용(현전직 등) 공고 게시
-필요 시 해당팀 등 적정인원 리스트 업 후 현장에 투입
- 해체/재설치 시 근로자 떨어짐 위험 예방</t>
  </si>
  <si>
    <t>검토한적 있으나 호불호가 너무 강함</t>
  </si>
  <si>
    <t>CO/I-ID/H-CE-21</t>
  </si>
  <si>
    <t>협력사 안전관리비 사용
(협력사 안전관리비 사용 항목 명확화)</t>
  </si>
  <si>
    <t xml:space="preserve">- 고위험공종 외 전 협력사 동일기준 안전관리비 요율 산정
- 현장 운영 시 협력사와 불필요한 마찰 감소 및 불필요한 투입
금액 절감 효과 예상
- 협력사 안전관리비 사용 항목 명확화(Ex:안전화 구매금액 00원
이하) 
</t>
  </si>
  <si>
    <t>시스템 관리는 어려울 것 으로 보이며, 양식 만들어서 배포는 가능할듯</t>
  </si>
  <si>
    <t>CO/I-ID/H-CE-22</t>
  </si>
  <si>
    <t>건진법 일일 자체안전점검일지 관리 시스템 개발</t>
  </si>
  <si>
    <t xml:space="preserve">-. 개선 전
1) 통일된 양식 없음 (시공순서, 시공기술상의 주의사항 기록 미비)
2) 관리주체 불명확 (현장마다 상이, 안전/공사/공무)
3) 관리 프로그램이 없어 별도 양식으로 출력 후 서명 및 파일철
   (협력사 관리자 및 근로자/ 당사 관리자 시간 loss 과다함)
-. 개선 후
1) 통일된 양식 배포 및 안전관리계획서 반영 (관리 일체화)
2) 관리주체 : 공사
3) 안전보건플랫폼 개선하여 당사 공사팀 담당자(공종별) 내용 공지 및 
협력사 관리자/ 근로자 확인 -&gt; 확인했다는 인증 필요 
</t>
  </si>
  <si>
    <t>시스템 관리에 대해 부정적인 의견.(오히려 일이 늘것같다는) 표준 양식 만들어서 배포는 가능할듯
과제화는 불필요</t>
  </si>
  <si>
    <t>CO/I-PI-CE-52</t>
  </si>
  <si>
    <t>2000795</t>
  </si>
  <si>
    <t>안승준</t>
  </si>
  <si>
    <t>하수급선급금지급절차간편화</t>
  </si>
  <si>
    <t xml:space="preserve">1. 선금관련 전자계약 절차 제외, 기성지급메뉴 사용하여 선금 지급
2. 전자 계약은 하도급 선금 조건 변경을 위한 절차이나, 타사의
 경우 별도 변경 계약 없이 기성으로 처리하기도 함
3. 대금지급시스템 내 선금 지급 위한 별도 선택 항목 구성 필요
</t>
  </si>
  <si>
    <t>외주팀, DT팀 문의,. 계약없이 선급금 지급 조건을 바꾸는건 법 위반 가능성 높음. 다만, 계약을 좀 더 편하게 할 방법(결재축소)을 찾을 수는 있을 것으로 보임.
과제화는 불필요해 보임</t>
  </si>
  <si>
    <t>IN/C-ID/H-CE-1</t>
  </si>
  <si>
    <t>윈드배너 개선방안(최신)</t>
  </si>
  <si>
    <t xml:space="preserve">1.	윈드배너 제작 원단 3가지 품목으로 현장 설치 비교
-	현장 설치 2개월 후 내구성 비교 실험 
-	위의 비교사진 1 과 2는 기간적 차이만 있을 뿐 훼손 현상 발생
2.	윈드배너의 안전 현수막 원단(메쉬보강) 변경 개선으로 반영구적 사용가능
</t>
  </si>
  <si>
    <t>아이디어 인정, 과제 미채택
안전 윈드배너 원단 변경을 통하여 지속적인 훼손 및 마모 발생으로 인한 추가 제작 비용을 절감하자는 아이디어로 안전환경실 담당자 내용 전달 및 개선 가능여부 확인 예정입니다.</t>
  </si>
  <si>
    <t>IN/C-ID/H-CE-2</t>
  </si>
  <si>
    <t>2401893</t>
  </si>
  <si>
    <t>송정호</t>
  </si>
  <si>
    <t>청소용역 지역별 용역계약 시행 건</t>
  </si>
  <si>
    <t>지역별 청소용역업체 선정으로 당사 직접채용으로 발생하는 노무이슈를 줄이고, 간접비를 절감하고자 함</t>
  </si>
  <si>
    <t xml:space="preserve">아이디어 인정, 과제 미채택
도심지 현장에선 청소용역을 통한 관리가능하나, 도서지 현장은 용역업체 사용이 어려움 현장여건 고려한 적용 검토 필요하여 과제화 없이 확인 후 회신드리겠습니다 </t>
  </si>
  <si>
    <t>IN/C-C-CE-5</t>
  </si>
  <si>
    <t>설계변경(삭제) 가능한 내역서 단가 최소화</t>
  </si>
  <si>
    <t xml:space="preserve">. 턴키, 민자사업 설계기준 및 설계변경 방침 수립
• 설계변경 D/B 분석
  ① 착공 이후 감액/ 증액 예상되는 Item, ② 물량변경 등 설계변경이 빈번히 발생되는 Item
  ☞ 총사업비 감액 Item, 신규단가 발생으로 ES감액 예상 Item 분석 
• 설계기준 및 방침 적용방안
− 현재 추진 中 PJ의 설계 시 설계변경(삭제)로 총사업비 감액 항목은 설계단계에서 先 반영
− 설계 시 총사업비 내 원가율 高 공종 구간의 공사비로 전환하여 총액 입찰
− T/K, 민자사업 PJ의 설계변경 방침으로 활용하여 전략적 설계변경 추진
2. 구축 및 운용계획
• 설계 및 시공단계 활용 및 해당 계약군별 협의체 회의 통한 총사업비 증감사례 D/B에 대한 지속적 Update 시행 </t>
  </si>
  <si>
    <t>아이디어 인정, 과제 검토중
현재 설계 중 PJ, 수행 중 PJ에 대하여 기술 DB확충과 연계하여 진행 검토예정 입니다</t>
  </si>
  <si>
    <t>CO/I-TF-CE-18</t>
  </si>
  <si>
    <t>원터치 텐트를 사용한 신호수 휴게장소 마련</t>
  </si>
  <si>
    <t>기존 신호수 휴게시설은 신호 장소 이동 시 옮기기에 불편함이 있으므로, 접이식 원터치 간이 텐트(세로형)은 신호수에게 지급하여 본인이 원하는  장소에 설치, 해체가 용이하여 효과적으로 설치할 수 있음</t>
  </si>
  <si>
    <t>귀여운 제안. 안전환경실 검토 요청하여 안전용품 단가계약 추가 고려할만 함</t>
  </si>
  <si>
    <t>CO/D-Z-CE-19</t>
  </si>
  <si>
    <t>현장건설폐기물 절감방안</t>
  </si>
  <si>
    <t>1267번 동일 제안</t>
  </si>
  <si>
    <t>CO/I-PI-CE-53</t>
  </si>
  <si>
    <t>자재하차지게차사용</t>
  </si>
  <si>
    <t xml:space="preserve">개선 전)현장 자재 반입 후 당사 지게차 사용하여 비용 발생 
개선 후)지급자재 사용 외주업체 현설시 자재 하차 지게차를
     협력업체가 사용하여 하차토록 설명 및 계약
</t>
  </si>
  <si>
    <t xml:space="preserve">일부 품목에 대해서는 고민해볼만한 내용임. 다만 지급자재 검수를 더 안하고 협력사에 전가할 것 같음. 협력사에 비용전가로 비용절감 효과는 없음. 다수 협력사가 사용하는 자재는 애매함. </t>
  </si>
  <si>
    <t>CO/I-PI-CE-54</t>
  </si>
  <si>
    <t>퇴직공제하수급인사업주</t>
  </si>
  <si>
    <t xml:space="preserve">개선 전)원청의 퇴직공제승인으로 모든 발생 비용 원청 책임
개선 후)하도급 업체의 ‘하수급인 사업주승인’을 통해 법적, 비용적
     책임을 하도급으로 이전
</t>
  </si>
  <si>
    <t>중복
(1185)</t>
  </si>
  <si>
    <t>중복 아이디어(1185)</t>
  </si>
  <si>
    <t>PR/C-PI-CE-15</t>
  </si>
  <si>
    <t>소화가스 약제 납품성 외주 분리발주</t>
  </si>
  <si>
    <t>소방기계설비공사 “소화가스약제” 외주 분리(현장 납품) 발주를 통한 원가절감</t>
  </si>
  <si>
    <t>11차 승인위원회 발표</t>
  </si>
  <si>
    <t>PR/P-PI-CE-9</t>
  </si>
  <si>
    <t>2200035</t>
  </si>
  <si>
    <t>풍호장천지구 부지조성공사</t>
  </si>
  <si>
    <t>문동재</t>
  </si>
  <si>
    <t>현장 반입 철근자재 품질시험 대체</t>
  </si>
  <si>
    <t xml:space="preserve">개선전 : 현장 철근자재 품질시험(제조회사별/규격별/50톤마다)
개선후 : 한국산업표준 인증제품 및 Mill Sheet 사용으로 시험 대체
</t>
  </si>
  <si>
    <t>감리에 따라 다른 부분으로 현장에서 최대한 노력할 부분이긴 함. 다만, 과제화는 무리</t>
  </si>
  <si>
    <t>IN/C-PI-CE-75</t>
  </si>
  <si>
    <t>0900282</t>
  </si>
  <si>
    <t>평택하수처리장 현대화</t>
  </si>
  <si>
    <t>원동기</t>
  </si>
  <si>
    <t>민간사업 도급기성청구 일정변경</t>
  </si>
  <si>
    <t xml:space="preserve">직전분기말 소비자물가지수를 전월로 변경하거나, 도급기성의
청구를 분기 다음월(1,4,7,10월)로 변경하면 2개월분의 
물가변동금액을 추가로 수령할 수 있음
</t>
  </si>
  <si>
    <t>아이디어 인정, 과제 불채택
실제 민자사업 기성청구 시점이 분기별 시점임을 감안, 실시 협약 시 기성청구 시점을 변경할 수 있는지, 직전 분기가 아닌 직전달의 소비자물가지수를 반영 할 수 있는지 사업팀 및 유관부서와 확인하여 반영될 수 있도록 하겠습니다.</t>
  </si>
  <si>
    <t>CO/D-PI-CE-45</t>
  </si>
  <si>
    <t>벽타일 떠붙임 전 시공 기준 수립에 따른 하자 절감 件</t>
  </si>
  <si>
    <t xml:space="preserve">개선 前
단위세대 벽(조적/골조면) 현장별 상이하게 접착강화제 도포 후 시공 또는 바탕면에 바로 시공하는 실정.
개선 後
벽타일(조적면) - 초벌미장 전 와이어라스 붙임(고정핀사용)
벽타일(골조면) - 바탕처리 후 접착강화제 도포 
</t>
  </si>
  <si>
    <t>품질관리팀 전달 후, 확인
벽타일 떠붙임 전 시공 기준 수립에 따른 하자 절감 件</t>
  </si>
  <si>
    <t>EN/M-M-CE-50</t>
  </si>
  <si>
    <t>공동주택 승강로가압방식 제연덕트내부 MFD 삭제 방안</t>
  </si>
  <si>
    <t xml:space="preserve">공동주택의 승강로 가압방식의 덕트내부 MFD 삭제하므로 소방
제연시스템 오류방지(타사 사례와 질의회신 자료 공유 협의) 
</t>
  </si>
  <si>
    <t>소방법규상 방화구획 관통부의 FD설치는 의무이나, 현장별 감리자 및 관할소방서와 협의후 현장 VE로 진행</t>
  </si>
  <si>
    <t>CO/D-PI-CE-46</t>
  </si>
  <si>
    <t>단위세대 주방 일반 석고보드로 변경</t>
  </si>
  <si>
    <t xml:space="preserve">주방 방수 석고보드 설치 구간 → 전체 일반 석고보드로 변경 검토
(견적팀 기준: 방수 석고보드 주방PL창 전면 및 좌우 포함)
</t>
  </si>
  <si>
    <t>견적지침 수정
주방 방수 석고보드 설치 구간 → 전체 일반 석고보드로 변경 검토
(견적팀 기준: 방수 석고보드 주방PL창 전면 및 좌우 포함)</t>
  </si>
  <si>
    <t>CO/D-PI-CE-47</t>
  </si>
  <si>
    <t>단위세대 경량벽체 석고보드1P로 변경</t>
  </si>
  <si>
    <t xml:space="preserve">경량벽체 석고보드 2P(양면) 중에서 현관,드레스룸,팬트리 등의 차음기능이 필요없는 구간을 석고보드 1P(12.5T)로 변경하여 작업
(전기 스위치 및 콘센트 시공부위는 불연성능 준수) 
</t>
  </si>
  <si>
    <t>통합
(1299번)</t>
  </si>
  <si>
    <t xml:space="preserve">통합(1299번)
경량벽체 석고보드 2P(양면) 중에서 현관,드레스룸,팬트리 등의 차음기능이 필요없는 구간을 석고보드 1P(12.5T)로 변경하여 작업
(전기 스위치 및 콘센트 시공부위는 불연성능 준수) </t>
  </si>
  <si>
    <t>IN/C-PI-CE-76</t>
  </si>
  <si>
    <t>2303237</t>
  </si>
  <si>
    <t>함양창녕고속도로4공구</t>
  </si>
  <si>
    <t>권경안</t>
  </si>
  <si>
    <t>숙소임차시 계약주체변경(회사 &gt; 사용자)</t>
  </si>
  <si>
    <t xml:space="preserve">1. 신규입사자 또는 신규발령자 외부 개인숙소 임차시 계약 주체를 회사가 아닌 개인이 계약주체가 되고 보증금은 개인이 지불하고 E/A에 숙소비용청구 생성하여 월세 및 관리비(공과금포함)은 계약서 및 고지서 증빙으로 개인경비로 청구
  -숙소임차품의는 유지하며 경비청구시 품의서 첨부 필!
  -관리비 및 재세공과금 상한선 적용, 월세 60만원이내(계약서 첨부)
</t>
  </si>
  <si>
    <t>중복아이티어(1173번)</t>
  </si>
  <si>
    <t>EN/S-C-CE-23</t>
  </si>
  <si>
    <t>2501037</t>
  </si>
  <si>
    <t>우병규</t>
  </si>
  <si>
    <t>현장에 상황에 따른 터파기 후 되메우기 기준 필요</t>
  </si>
  <si>
    <t xml:space="preserve">토질주상도, 단차 높이에 근거하여 투입장비 규격 설정이 필요하고,
장비 따라 터파기 여유폭에 대한 되메우기를 어떤식으로 해야하는지 기준이 필요함 (정밀 터파기, 터파기후 2차 되메우기, con`c 뒷채움 등) 
초기에 기준을 명확히 함으로써, 터파기 여유폭, 되메우기에 대한 방법이 미리 협의 된다면 손실되는 비용에 대하여 확인 및 절감이 가능함.
 (예시-1.0굴착기 장비 사용시 터파기 여유폭이 커짐에 따라 터파기 물량 증가, 되메우기 물량 증가, con`c 뒤채움 물량 증가가 되어 시공사, 협력사 둘다 손실 비용 발생됨. )
</t>
  </si>
  <si>
    <t>아이디어 인정, 과제 미채택
관련 내용 기술혁신팀 업무 공지 예정(레미콘 수량 관리 연계)</t>
  </si>
  <si>
    <t>CO/Z-PI-CE-81</t>
  </si>
  <si>
    <t>EA시스템 내 적요기준 전표검색 기능 추가</t>
  </si>
  <si>
    <t xml:space="preserve">EA시스템 내 전표 검색 시 적요 기준 검색 기능 추가
- 적요 기준 검색을 통해 동일 또는 유사한 적요로 작성된 전표 일괄 조회 가능
</t>
  </si>
  <si>
    <t>아이디어 인정, 과제 미채택
개선이 필요한 부분이나 개선에 따른 유형효과, 무형효과 검토 시 과제화 없이 DT팀 통해 해당사항 적용(8월)</t>
  </si>
  <si>
    <t>CO/D-PI-CE-48</t>
  </si>
  <si>
    <t>Mock-up 세대 조기 시공으로 인한 원가절감 실현</t>
  </si>
  <si>
    <t xml:space="preserve">Mock-up 세대 조기 시공으로 인한 원가 절감 실현
(개선/보수 사항 현장 적용 및 점검 보수비용 최소화)
</t>
  </si>
  <si>
    <t>TOP 보다는, 본부/현장에서 추진사항
▶ 4F 골조공사 완료시 Mock-up 세대 투입 준비 (2F 또는 3F 설치)
▶ 16F 골조공사 완료시 Mock-up 세대 완료 및 행사 실시</t>
  </si>
  <si>
    <t>EN/E-E-CE-61</t>
  </si>
  <si>
    <t>단위세대 PDP 콘센트 삭제</t>
  </si>
  <si>
    <t xml:space="preserve">거실 아트월 벽걸이TV용 콘센트(PDP박스) 삭제
거실장 F.L+300, 벽걸이TV F.L+900 → 거실장 F.L+700
*개선 전 : 거실장, 벽걸이TV 콘센트 총 2개소
*개선 후 : 거실장 콘센트 총 1개소 (높이변경)
</t>
  </si>
  <si>
    <t>IN/C-PI-CE-77</t>
  </si>
  <si>
    <t>2101136</t>
  </si>
  <si>
    <t>안성테크노밸리</t>
  </si>
  <si>
    <t>고현적</t>
  </si>
  <si>
    <t>e-중기사업소(가칭) 운영</t>
  </si>
  <si>
    <t>Circle 게시판 또는 Unifier에 종료현장 물품 등록 및 필요현장에서 신청하여 이관할 수 있는 System 구축</t>
  </si>
  <si>
    <t>중복아이디어(소액자산 관리시스템과 중복)</t>
  </si>
  <si>
    <t>IN/C-PI-CE-78</t>
  </si>
  <si>
    <t>2400364</t>
  </si>
  <si>
    <t>김태우</t>
  </si>
  <si>
    <t>E-Payments 자재 반입 요청서(전자발주서)</t>
  </si>
  <si>
    <t xml:space="preserve">E-Payments상 자재신청서작성 결재진행 현장내부결재완료 후 협력사(자재/외주업체) 반입요청서로 양식자동병형 원클릭으로 반입 요청 전달(협력사 E-mail, SNS, 등으로 전달) 자재 수급
불안해소 (성실납품의 조건 협력사책임감 상승)   
</t>
  </si>
  <si>
    <t>E-Payments상 자재신청서작성 결재진행 현장내부결재완료 후 협력사(자재/외주업체) 반입요청서로 양식자동병형 원클릭으로 반입 요청 전달(협력사 E-mail, SNS, 등으로 전달) 자재 수급
불안해소 (성실납품의 조건 협력사책임감 상승)
반입요청서까지는 가능할것으로 보이며 과제화는 불필요
필요성에 대해서는 검토가 더 필요함</t>
  </si>
  <si>
    <t>IN/C-PI-CE-79</t>
  </si>
  <si>
    <t>근무복 개선의 건</t>
  </si>
  <si>
    <t xml:space="preserve">-	근무복 색상을 FORENA Color 로 통일
-	개인별 지급이력 관리 시스템 적용
규정을 개정하여 직급별, 직종별 지급수량 차등 적용
</t>
  </si>
  <si>
    <t xml:space="preserve">-	근무복 색상을 FORENA Color 로 통일
-	개인별 지급이력 관리 시스템 적용
-	규정을 개정하여 직급별, 직종별 지급수량 차등 적용
</t>
  </si>
  <si>
    <t>CO/D-ID/H-CE-44</t>
  </si>
  <si>
    <t>도마변동9구역 재개발</t>
  </si>
  <si>
    <t>타워크레인 방호울 직영화</t>
  </si>
  <si>
    <t>타워 크레인 방호울 자재를 직영화 하여 설치</t>
  </si>
  <si>
    <t>자재 전용 및 소액자산 관리를 통해 절감할 수 있으나, 실효성이 떨어질 수 있음</t>
  </si>
  <si>
    <t>CO/D-ID/H-CE-45</t>
  </si>
  <si>
    <t>현장감시용 타워CCTV  제휴 또는 장기연단가 계약을 통한 금액절감</t>
  </si>
  <si>
    <t xml:space="preserve">CCTV 업체와 제휴 또는 연단가를 통한 금액절감을 통해 개설되는 현장들에 CCTV설치 및 AS 비용을 줄일 수 있을 것으로 판단됨  </t>
  </si>
  <si>
    <t>12차 과제승인위원회 발표 예정 및 중복(1083번)</t>
  </si>
  <si>
    <t>CO/I-PI-CE-55</t>
  </si>
  <si>
    <t>2500511</t>
  </si>
  <si>
    <t>이고원</t>
  </si>
  <si>
    <t>가설 사무실 화기감시창 부착물 규격화</t>
  </si>
  <si>
    <t>스티커 제질로 용품업체에 일괄 제작 및 단가조정을 통해 원가 절감</t>
  </si>
  <si>
    <t>안전에 건의</t>
  </si>
  <si>
    <t>CO/D-A/S-CE-88</t>
  </si>
  <si>
    <t>EV홀 습식공사 최소화 방안</t>
  </si>
  <si>
    <t xml:space="preserve">개선 전: 콘크리트 노출면 도장마감 불가 /바닥 단차 발생 → 정벌 미장 과다 / 임시 미장 경사턱 시공 (반복 보수)
개선 후:
① 정밀거푸집 사용 또는 콘크리트 타설 전 템플릿 사전 시공으로 면 정밀도 확보
② 엘리베이터 홀 개구부 일체형 프리몰드 마감재 시범 적용
③ 바닥 단차부에 대해 재활용 플라스틱 경사 패널 임시 설치 (반복 미장 제거)
</t>
  </si>
  <si>
    <t xml:space="preserve">품질 확보를 위한 현장관리 역량 要 </t>
  </si>
  <si>
    <t>CO/D-A/F-CE-71</t>
  </si>
  <si>
    <t>지하주차장배수판관련</t>
  </si>
  <si>
    <t>기존 사용하는 바닥 배수판45T 대신하여 영구배수에서 사용하는 드레인보드 사용(비닐은 방수포로 대체_방수포끼리 접합)</t>
  </si>
  <si>
    <t>앞서 유사한 제안이 많았으나, 세부방안 차이가 있음</t>
  </si>
  <si>
    <t>CO/D-A/F-CE-72</t>
  </si>
  <si>
    <t>2403326</t>
  </si>
  <si>
    <t>윤준혁</t>
  </si>
  <si>
    <t>아파트 계단실 본난간 속대 설치</t>
  </si>
  <si>
    <t xml:space="preserve">가설난간 대신 본난간 속대를 설치함으로써 안전시설물 측의 자재비, 설치,해체 인건비 절감, 본난간 공종의 설치비를 절감 할 수 있음. </t>
  </si>
  <si>
    <t>기제출 아이디어와 중복</t>
  </si>
  <si>
    <t>CO/Z-PI-CE-82</t>
  </si>
  <si>
    <t>VR, 영상제작</t>
  </si>
  <si>
    <t>VR을 통하여 입주자에게 홍보를 하고 영상으로 보여지기에 사진과 다르게 외부손님들에게 준공 후의 모습을 보여줄 수 있음 PPT와 캐드에서 표현이 되지 못하거나 누락된 사각지대를 VR을 통하여 직원들이 직접보고 현장 외부 마감이나 단지내 특이사항을 수시로 확인하고 시공에 반영할 수 있음</t>
  </si>
  <si>
    <t>실 추진에 따른 VR 비용 과다(제작+1년 운영 시 약 3억 이상)</t>
  </si>
  <si>
    <t>EN/I-A/F-CE-81</t>
  </si>
  <si>
    <t>부대시설 관리사무소 가구 삭제로 인한 원가 절감</t>
  </si>
  <si>
    <t>부대시설 관리사무소 가구 삭제</t>
  </si>
  <si>
    <t>모든 현장 공통사례가 아님 (덕천3 한정 사항)
단, 디자인팀 인테리어 파트와 관리사무소 가구 필요성 별도 체크 예정</t>
  </si>
  <si>
    <t>CO/I-PI-CE-56</t>
  </si>
  <si>
    <t>입주 하자용 FORENA 조끼 지급으로 인한 브랜드 가치 및 이미지 향상</t>
  </si>
  <si>
    <t xml:space="preserve">입주 하자용 FORENA 조끼 지급으로 인한 브랜드 가치 및
이미지 향상
(조끼 디자인 – BI/CI 포함, FORENA 색상 조끼)
</t>
  </si>
  <si>
    <t xml:space="preserve">기 시행중이나 </t>
  </si>
  <si>
    <t>CO/D-PI-CE-49</t>
  </si>
  <si>
    <t>레미콘사 정기 평가에 따른 품질향상 및 원가절감 도모</t>
  </si>
  <si>
    <t xml:space="preserve">개선 전 : 권역별 친분이 있는 실장님들간에 혹은 기술혁신팀 담당자 분과 소통은 잘 이루어져 강도미달 또는 품질 문제가 발생한 레미콘사를 서로 공유하여 제외되었을 수 있으나, 당 사가 처음이거나 친분이 없는 고립된 품질실장님들 또는 신규 품질관리자 또는 신규 입사 및 경력자(공사팀) 경우 정보공유가 미흡하다고 판단.
개선 후 : 평가항목 수립하여 정기평가 및 문제 발생된 부적합사항은 L&amp;R하여 DB화 후 추적 및 업데이트 관리 필요. 이후 각 품질관리자 실무자들과 공사팀까지 정보가 공유되어 인지 및 사후 관리 시 참고도 가능할 것으로 사료됌. (이전 A하자건이 발생한 레미콘사가 추가로 발생 시, 하자 보수 비용을 청구 하여 원가절감으로도 이어질 것으로 여겨짐. 또는 해당 레미콘사가 타 현장에서 예를 들어 강도가 지나치게 높게 나와(된 슬럼프 혹은 골재 입자가 높음) 향후 서중콘크리트 시 급격한 초기강도 발현에 따른 균열발생 및 탈형 후 재료분리, CJ등 보수를 야기할 수 있음. 한중콘크리트 시, 자칫 강도발현이 저조할 경우(골재관리 미흡) 구조진단 및 자칫 슬라브 철거로까지 이어져 대외적인 이미지 손실까지 야기 할 수 있음. 기준층의 경우 벽체, 슬라브 균열 시, 보수 미흡에 따른 향후 곰팡이 발생 등 마감 공정 하자까지 야기 )
</t>
  </si>
  <si>
    <t>중점과제인 레미콘 관리 방인의 phase2 로 추진해도 좋을 것으로 판단</t>
  </si>
  <si>
    <t>CO/I-PI-CE-57</t>
  </si>
  <si>
    <t>2403245</t>
  </si>
  <si>
    <t>최민관</t>
  </si>
  <si>
    <t>현장 내 일회용기 비용절감의 건</t>
  </si>
  <si>
    <t>현장에 발령 시 개인용 컵(텀블러)를 지급하여 사용하도록 권장</t>
  </si>
  <si>
    <t>CO/I-PI-CE-58</t>
  </si>
  <si>
    <t>2500206</t>
  </si>
  <si>
    <t>김소망</t>
  </si>
  <si>
    <t>혈압계, 복합가스측정기 등 연간단가 시행</t>
  </si>
  <si>
    <t>각 업체별로 입찰제를 시행하여 연간단가업체 등록</t>
  </si>
  <si>
    <t>기시행중</t>
  </si>
  <si>
    <t>기 시행중(안전용품 연간단가 포함된 항목)</t>
  </si>
  <si>
    <t>EN/S-A/S-CE-59</t>
  </si>
  <si>
    <t>철근형상 변경</t>
  </si>
  <si>
    <t>기준층 벽체 철근배근시 U바 -&gt; 폐쇄형 스트럽 변경</t>
  </si>
  <si>
    <t>아이디어 인정, 과제 미채택
철근샵 표준안에 포함되어  있는 내용, 과제화 불필요</t>
  </si>
  <si>
    <t>CO/D-PI-CE-50</t>
  </si>
  <si>
    <t>2403645</t>
  </si>
  <si>
    <t>서영민</t>
  </si>
  <si>
    <t>근로자 휴게실 냉난방기 임대비용 단가화</t>
  </si>
  <si>
    <t>[산업안전보건관리비 사용기준 개정고시]온열∙한랭질환 예방 품목에 해당하는 냉∙난방기 임대(구매 불가) 등 품목은 기간에 관계없이 산업 안전보건관리비로 사용할 수 있도록 규정 신설(‘25년 02월 12일 시행)에 따라 당초 혹서/혹한 기간 내에만 사용 할 수 있었던 냉∙난방기 임대 비용이 항시 적용 가능하므로(근로자 건강장해 예방비 등) 현장 별 상이한 임대비용을 단가화 하고자 함.</t>
  </si>
  <si>
    <t>냉난방기 소액자산 관리 운영 중. 현장지원팀 검토 중</t>
  </si>
  <si>
    <t>CO/D-ID/H-CE-46</t>
  </si>
  <si>
    <t>2401691</t>
  </si>
  <si>
    <t>김윤주</t>
  </si>
  <si>
    <t>호이스트 내역 中 경사로작업발판설치 규격 기입</t>
  </si>
  <si>
    <t xml:space="preserve">변경전 : 경사로작업발판설치 내역의 규격 표시없음.
변경후 : 규격에 경사각도 7도이하 또는 경사로 최대길이 기입.
         또는 경사로의 단위를 m로 변경
</t>
  </si>
  <si>
    <t>건축견적팀에 송부하여 공통가설 내역에 반영</t>
  </si>
  <si>
    <t>PR/P-PI-CE-10</t>
  </si>
  <si>
    <t>2403421</t>
  </si>
  <si>
    <t>심영철</t>
  </si>
  <si>
    <t>레미콘 물차 신규단가 신설</t>
  </si>
  <si>
    <t>개선전 : 물차사용료가 현장 계약 규격에 따라 다르며 과도함
개선후 : 당사 물차 규격 통일화로 물차 단가 지정하여 금액 절감</t>
  </si>
  <si>
    <t>11차 과제 통합</t>
  </si>
  <si>
    <t>PR/P-PI-CE-11</t>
  </si>
  <si>
    <t>타일구매자재 업체 통일안</t>
  </si>
  <si>
    <t xml:space="preserve">한개의 업체에서 타일자재 납품계약을 수행할 수 있도록
업무 개선 제안   
</t>
  </si>
  <si>
    <t>포레나 2.0에 반영됨</t>
  </si>
  <si>
    <t>EN/I-M-CE-5</t>
  </si>
  <si>
    <t>스프링클러헤드 제외조건 검토(천장고 조정에 따른 해드 제외)</t>
  </si>
  <si>
    <t>설계시, 또는 설계도서 초기 검토시에 슬래브와 반자사이의 거리가 약 2M를 초과하고, 스프링클러 헤드가 반자위에 계획된 경우, 천장고를 상향조정하여 스프링클러를 삭제 할 수 있는지 검토함</t>
  </si>
  <si>
    <t xml:space="preserve">설계도서상(사업승인도서) SP헤드 설치구간 제외 어려움.  </t>
  </si>
  <si>
    <t>PR/C-Z-CE-4</t>
  </si>
  <si>
    <t>2101422</t>
  </si>
  <si>
    <t>최원규</t>
  </si>
  <si>
    <t>건설기계대여대금 등 보증수수료 환급 PROCESS 마련</t>
  </si>
  <si>
    <t xml:space="preserve">준공 시 발주자가 날인(확인)한 보증해재동의서를 보증사에 제출하여 실 사용분을 제외한 잔여분 보증수수료 환급 → 원가절감
Ex) 제2용인테크노밸리(공사비 약 500억, 건설기계 사용없음)
- 수수료 6.375,950원 중 3,000원 제외 6,372,950원 환급
</t>
  </si>
  <si>
    <t>아이디어 인정, 과제채택 검토 중
현재 보증금 미환급 중인 부분에 대한 규모 확인할 예정이며, 가능한 타 보증서 및 건축사업본부와 연계하여 검토하여 유형효과가 크다고 판단될 시 과제화 추진예정입니다.</t>
  </si>
  <si>
    <t>CO/Z-PI-CE-83</t>
  </si>
  <si>
    <t>개인PC 교체 시 마우스 및 가방 선택사항으로 변경</t>
  </si>
  <si>
    <t>개인 PC 교체를 위해 재신청 시 가방 및 마우스는 선택사항으로 하여 (신청 안하는 사람이 많을겁니다.) 노트북 렌탈 금액을 절감</t>
  </si>
  <si>
    <t>마우스, 가방은 기본제공품으로 빼더라도 가격 할인 아주 미비</t>
  </si>
  <si>
    <t>EN/I-M-CE-6</t>
  </si>
  <si>
    <t>단위세대 손끼임방지장치 개선</t>
  </si>
  <si>
    <t xml:space="preserve">1) 가격 및 품질 평가를 통한 제안 입찰 시행
   - 경쟁사 실적, 업체별 샘플 비교 검토 등 다면평가 시행
2) (시범)통합 입찰 시행으로 추가 단가 하락 유도 및 품질 추적관리
   - 부산대연, 안산고잔9, 대전도마9
</t>
  </si>
  <si>
    <t>제11차 과제승인위원회 상정 / 승인 완료 건</t>
  </si>
  <si>
    <t>CO/D-PI-CE-51</t>
  </si>
  <si>
    <t>0500079</t>
  </si>
  <si>
    <t>레미콘 물량 관리 개선(案)</t>
  </si>
  <si>
    <t>레미콘 관리 방안 마련</t>
  </si>
  <si>
    <t>CO/D-PI-CE-52</t>
  </si>
  <si>
    <t>가설방음벽 철골 고재 사용 안</t>
  </si>
  <si>
    <t xml:space="preserve">개선전 : 신재 철골 이용 가설방음벽 post 설치
▪개선후 : 고재나 재사용 철골 부재를 post로 사용
구조성능하 검토하여 오버규격 사용 지양
가설휀스 연간단가이나 강재 시세에 따른 철골부재는
변동 계약 적용
</t>
  </si>
  <si>
    <t>가설방음벽의 경우, 현재 재사용 부재를  Post로 사용 중에 있음</t>
  </si>
  <si>
    <t>EN/M-PI-CE-1</t>
  </si>
  <si>
    <t xml:space="preserve">박병규, 박재보, </t>
  </si>
  <si>
    <t>소방 비상콘센트 배관, 배선 규격 변경</t>
  </si>
  <si>
    <t xml:space="preserve">비상콘센트 노출구간 배관 규격 변경
*개선 전 : HFIX 전선 + 2종금속제가요전선관,커넥터
*개선 후 : FR-8 케이블 + 1종금속제가용전선관,커넥터
</t>
  </si>
  <si>
    <t>제안인정</t>
  </si>
  <si>
    <t>IN/C-PI-CE-80</t>
  </si>
  <si>
    <t>협력업체 선금지급 효율화 방안</t>
  </si>
  <si>
    <t xml:space="preserve">선급금은 연차공사 발주내역서 기준으로 지급되는 바, 발주 내역 
작성 시 협력업체 계약 분을 최소화 하여 작성하면 협력업체에
지급되는 선급금 금액도 최소화가 가능함.
(연초 작성되는 차수분 발주내역서는 연말에 가면 무조건 수정 됨으로 당사에 유리하게 작성하여도 아무 문제가 없음.)
</t>
  </si>
  <si>
    <t>아이디어 인정, 과제 미채택
현재 시장상황을 고려할 때 좋은 방법이긴 하나, 과제화를 위해선 관련법규 등 검토가 필요하며, 자체적인 하도급 선급금 축소는 하도급사와 향후 법적분쟁 발생 시 문제소지 있을것으로 판단됩니다</t>
  </si>
  <si>
    <t>CO/Z-PI-CE-84</t>
  </si>
  <si>
    <t>조직 내 긍정적 소통 강화를 위한 문화 활동 제도화 제안</t>
  </si>
  <si>
    <t>분기별, 소그룹(팀별) 음주 위주의 기존 회식 문화를 대체하고 직원 간 건전한 교류와 공연, 전시 관람, 영화 감상 등의 문화 체험 기회를 제공하는 ‘문화의 밤’ 제도를 도입할 것을 제안</t>
  </si>
  <si>
    <t>TOP 과제 부적합</t>
  </si>
  <si>
    <t>IN/C-ID/H-CE-3</t>
  </si>
  <si>
    <t>안전용품지급비 가액 작성</t>
  </si>
  <si>
    <t xml:space="preserve">개선 전 : 근로자에 안전보호구 직접지급 후 안전관리비 정산
개선 후 : 근로자가 안전보호구를 지참하는 경우, 법적으로 문제없는 안전보호구인지 확인 후 일부 금액을 환급하는 방식을 적용하여, 안전관리비를 적정한 다른곳에 유용할 수 있도록 함
</t>
  </si>
  <si>
    <t>아이디어 인정, 과제채택 검토 중
인프라사업본부의 경우 안전관리비의 초과사용이 많은 실정으로, 안전강화비 예산을 통해 집행으로 안전관리비 내 용품비 절감이 가능하다면 실질적인 원가절감도 가능할 것으로 판단되나, 유형효과에 대한 검증 후 과제화 여부 검토예정입니다.</t>
  </si>
  <si>
    <t>CO/D-PI-CE-53</t>
  </si>
  <si>
    <t>고체연료 받침대 단가화</t>
  </si>
  <si>
    <t xml:space="preserve">동절기 고체연료 취급이 다양하게 이뤄지나 고체연료 전도의 방지 시설이 부족하여 화재의 위험성이 큼.
잡자재 품목에 단가화하여 구매/이용하기 용이하게 개선 필요.
</t>
  </si>
  <si>
    <t>소모품 MRO 포함 확인</t>
  </si>
  <si>
    <t>CO/D-YY-CE-3</t>
  </si>
  <si>
    <t>목재파랫트 지정업체 반출</t>
  </si>
  <si>
    <t xml:space="preserve">현장 내 파렛트 보관소를 설치 하여 파렛트를 수거, 수거된 파렛트는 지정업체를 통하여 수거 혹은 매각처리를 통해 혼합폐기물 반출 비용을 절감 </t>
  </si>
  <si>
    <t>목재파래트 반출에 대한 검토 필요</t>
  </si>
  <si>
    <t>CO/D-PI-CE-54</t>
  </si>
  <si>
    <t>방수턱 제거</t>
  </si>
  <si>
    <t>세대내부 방수턱 제거하여 시공품질 확보</t>
  </si>
  <si>
    <t>방수턱을 제거해서 재시공을 막자???  ..............</t>
  </si>
  <si>
    <t>CO/D-PI-CE-55</t>
  </si>
  <si>
    <t>아파트 골조 방수턱 삭제</t>
  </si>
  <si>
    <t xml:space="preserve">전 : 골조 방수턱 타설로 인해 할석 후 조적 작업 워커빌리티 저하로 인한 후속공정 지연
후 : 골조 방수턱이 없음으로 인해 조적 작업속도 증가로 인해 후속공정의 빠른 작업
</t>
  </si>
  <si>
    <t>PR/P-PI-CE-12</t>
  </si>
  <si>
    <t>현장 구매 잡자재 세분화 및 스펙 정리</t>
  </si>
  <si>
    <t>단가에 맞춰 잡자재 업체에서 중국제품이나 불량제품이 반입되는 사항이 계속적으로 생김, 공구나 양수기 등 현장 필수 물품은 기기 자체에 브랜드를 명시하고 단가를 책정할 경우 해당 제품에 한하여 임의로 변경되는 일이 없음</t>
  </si>
  <si>
    <t>구매팀 건의</t>
  </si>
  <si>
    <t>CO/Z-PI-CE-85</t>
  </si>
  <si>
    <t>퀵보고 발송방법 변경(알림톡)</t>
  </si>
  <si>
    <t xml:space="preserve">- 전수 조사 후 사용자 알림 방법을 비용, 편의성을 고려하여 카카오톡 알림톡으로 일괄변경 (별첨)
 예). 현재 안전사고 퀵보고 MMS로 발송 中 → 알림톡으로 변경
</t>
  </si>
  <si>
    <t>알림톡에서 사진 메세지 전송 불가</t>
  </si>
  <si>
    <t>CO/Z-PI-CE-86</t>
  </si>
  <si>
    <t>퇴직공제부금</t>
  </si>
  <si>
    <t>1.	현재, 경영정보시스템(Unifier : 퇴직공제부금 신고 목록)에 신고대상 근로자의 근무일수 데이터 입력/관리 진행 中</t>
  </si>
  <si>
    <t>현장지원팀 설득 필요함. 안될듯</t>
  </si>
  <si>
    <t>CO/Z-PI-CE-87</t>
  </si>
  <si>
    <t>페이퍼 스마트화</t>
  </si>
  <si>
    <t>전자화 할 수 있는 서류 등은 개별 태블릿PC 지급 혹은 전산화 해서 비용 감소 시킨다</t>
  </si>
  <si>
    <t>비용 검토에 대한 구체성 부족.</t>
  </si>
  <si>
    <t>CO/D-ID/H-CE-47</t>
  </si>
  <si>
    <t>스마트 안전장비 도입 제안(개구부 개폐 알림)</t>
  </si>
  <si>
    <t xml:space="preserve">당 사에서 발생했던 개구부 떨어짐(당산동 청년주택) 등 사고 발생 시 중대재해 위험이 큰 사각지대 개구부 관리의 어려움을 스마트 안전장비 도입을 통하여 사고 발생 위험도를 낮춤 </t>
  </si>
  <si>
    <t>개구부에 대한 아이디어 내용 이전과 살짝 다름, 내용은 부실하나 아이디어 인정</t>
  </si>
  <si>
    <t>EN/E-E-CE-62</t>
  </si>
  <si>
    <t>통신 케이블트레이 규격 변경(PVC 조립식)</t>
  </si>
  <si>
    <t xml:space="preserve">오피스 악세스플로우 하부, 공장, 데이터센터 등 통신 케이블 트레이가 많이 들어가는 장소에 PVC 케이블 트레이 적용
 300MM 케이블 트레이 1M당 노임.
- 금속제 케이블트레이 : 0.2 (통신품셈 3-4-1)
- PVC 케이블 트레이 : 0.14(통신품셈 3-4-2)
* 개선 전 : 합금도금 케이블 트레이
* 개선 후 : PVC 조립식 케이블 트레이
</t>
  </si>
  <si>
    <t xml:space="preserve">제안인정. PVC조립식 트레이를 제조하는 업체가 제한적이고 인건비가 낮은대신, 재료비는 비쌈. 데이터센터 시공실적은 있지만, KS규격에는 부합하지 않으므로, 발주처와 협의 가능한 현장에 한해 재검토 필요함 </t>
  </si>
  <si>
    <t>CO/D-TF-CE-21</t>
  </si>
  <si>
    <t>지하주차장 외벽 통수관 시공 방법</t>
  </si>
  <si>
    <t xml:space="preserve">외벽 타설시 안쪽 폼에 c형 보조물에 테이핑후 설치
거푸집 탈형 및 테이핑 제거하여 통수관 으로 사용.
</t>
  </si>
  <si>
    <t>현장 VE로 진행(내용이 부실해서........5만원도......고민됨)
다시 작성하라고 요청하는게 맞을 것 같음</t>
  </si>
  <si>
    <t>CO/D-TF-CE-22</t>
  </si>
  <si>
    <t>지하구조물 타설 시 배관 관통 몰탈 구매 요청 제안의 건</t>
  </si>
  <si>
    <t xml:space="preserve">지하구조물 타설 시 관통 몰탈 구매 요청 제안의 건
-타설 시 관통 몰탈에 따른 기준 및 계약이 없어 펌프카 관통 시 업무 파트별 협력에 어려움 초래.
</t>
  </si>
  <si>
    <t>레미콘 몰탈 기준 필요(아이디어 중복)</t>
  </si>
  <si>
    <t>CO/D-TF-CE-23</t>
  </si>
  <si>
    <t>AED 구성품 제안(가위, 면도기, 수건)</t>
  </si>
  <si>
    <t xml:space="preserve">AED에 가위, 면도기, 수건등을 비치하여 외국인 근로자가 많은 현장 특성에 맞추어 관리해야함. 또한, 비와 땀을 닦을 손수건등이 필요하고 달라붙는 재질의 근무복을 입는 근로자를 위해 가위도 필요함. </t>
  </si>
  <si>
    <t>실질적인 필요성 인지, 해당부서에 전달로 정리</t>
  </si>
  <si>
    <t>CO/D-TF-CE-24</t>
  </si>
  <si>
    <t>CGL보험 해지, 경쟁입찰 검토</t>
  </si>
  <si>
    <t xml:space="preserve">1) Alt1 (미가입, 자체운영): 연간 보험사에 납입하는 보험료를 당사 자체 운영 (충당금 or 판관비) 
☞ 원가절감 (판관비 집행 후, 현장별 매출비율로 원가안분)
2) Alt2 (경쟁입찰, 보험갱신): 사용자 입장에서 보험료 절감
☞ 자율경쟁 유도에 따른, 납입 보험료 인하 (동일조건 기준)
 ☞ 최초 보험사(한화손보) 제시 금액대비 (14.7억/3개년 평균)
    최종 재견적 9.8억 가능 (-4.9억 절감, 대형손사 비교견적)
</t>
  </si>
  <si>
    <t>기존 아이디어 확장하여 추진</t>
  </si>
  <si>
    <t>CO/D-A/F-CE-73</t>
  </si>
  <si>
    <t>2201228</t>
  </si>
  <si>
    <t>장규성</t>
  </si>
  <si>
    <t>외장재 조적 -&gt; AL SHEET</t>
  </si>
  <si>
    <t>외장재 콘크리트 벽돌 → AL SHEET로 변경</t>
  </si>
  <si>
    <t>현장 VE로 추진 (타현장 적용 불가)</t>
  </si>
  <si>
    <t>EN/M-M-CE-51</t>
  </si>
  <si>
    <t>장비패드 코너앵글 삭제</t>
  </si>
  <si>
    <t>ㄱ-45*45*4T → 21*21 면귀로 변경</t>
  </si>
  <si>
    <t>장비패드 사용 목적과는 무관하며, 시공법개선이므로 과제화 추진 검토 必</t>
  </si>
  <si>
    <t>CO/D-A/S-CE-89</t>
  </si>
  <si>
    <t>재래식슬래브+시스템동바리 -&gt; 데크플레이트로 변경</t>
  </si>
  <si>
    <t>재래식슬래브+시스템동바리 → 데크플레이트로 변경</t>
  </si>
  <si>
    <t>CO/D-A/F-CE-74</t>
  </si>
  <si>
    <t>방수턱 복배근 -&gt; 단배근</t>
  </si>
  <si>
    <t xml:space="preserve">당 현장에서 계약한 구조컨설팅 구조기술사 검토 요청에 의거
복배근 → 단배근 시공해도 무방하다는 의견 회신 후 CM단과 
협의 완료 후 시행 중 
</t>
  </si>
  <si>
    <t>현장 VE로 추진</t>
  </si>
  <si>
    <t>CO/Z-PI-CE-88</t>
  </si>
  <si>
    <t>사용내역결재 내 사용시간 추가</t>
  </si>
  <si>
    <t xml:space="preserve">서클의 법인카드 사용내역 결재 시 카드 사용 시간 서클과 EA, VAN 사 데이터 연계
- 결재 승인자와 결재자 모두 법인카드 사용시간에 대한 인지 가능
</t>
  </si>
  <si>
    <t>과제화 없이 시스템 수정 예정</t>
  </si>
  <si>
    <t>EN/EX-PI-BE-1</t>
  </si>
  <si>
    <t>교통영향평가 이행확인 용역 연간단가 시행</t>
  </si>
  <si>
    <t>‘교통영향평가 이행확인 용역’ 연간단가 시행으로 현장에서 합리적인 단가로 믿을 수 있는 업체와 계약할 수 있다면, 많은 현장에서 용역비용을 절감할 수 있을 것이라 판단됨.</t>
  </si>
  <si>
    <t>각 사업별 준공 전 교평이행확인 별도 용역 시행중이나, 단가 기준 불명확하여 용역비 집행 규모가 PJ별 많이 상이함. 적정 용역비 관련 당사 내부 기준 수립할 수 있다면 절감 가능할 것으로 보임. 단, 원 교평업체(보통 발주처가 선정함)와 다른 업체를 쓰는 상황에 대해서 검토 필요</t>
  </si>
  <si>
    <t>CO/D-ID/H-CE-48</t>
  </si>
  <si>
    <t>1701821</t>
  </si>
  <si>
    <t>신강균</t>
  </si>
  <si>
    <t>안전방망 재사용</t>
  </si>
  <si>
    <t>현행 법규상 안전방망의 재사용 금지 기준이 없음(2018년 자율안전확인 가설기자재에서 안전방망이 제외됨). 단, 샘플링 테스트 등 자체적인 성능 시험을 해야함(GS건설 등 타 건설사의 재사용 실적 확인됨)</t>
  </si>
  <si>
    <t>안전환경실에서 제안한 내용(1105번)과 유사하나 확장 개념으로 제안 인정</t>
  </si>
  <si>
    <t>CO/D-PI-CE-56</t>
  </si>
  <si>
    <t>토공사 불량토 및 폐토사, 폐기물 처리방안 검토에 따른 도급 증액 및 원가율 향상</t>
  </si>
  <si>
    <t xml:space="preserve">개선 전: 실행 및 내역에 불량토(폐토, 폐기물) 반영 없음 
개선 후: 최초실행 및 토목 부분실행 시 토공 물량 中 일부를 불량토(폐토, 폐기물)로 반영하여 토공사 현장설명 및 입찰 시 불량토(폐토) 처리에 대한 적정가액을 반영하여 입찰토록 하고, 발주처와는 폐토 처리에 대한 원가계산을 통하여 협의하는 등 도급 증액 및 원가율 향상을 도모할 수 있음
</t>
  </si>
  <si>
    <t>아이디어 내용은 좋으나, 신규단가 항목에 대한 사후 논의가 어려우니
입찰시 사전 아이템을 선반영하여 단가를 받자는 의견인데...논의가 필요함</t>
  </si>
  <si>
    <t>CO/D-A/F-CE-75</t>
  </si>
  <si>
    <t>욕실 액체방수 및 미장 단가 확인 및 변경에 의한 절감안</t>
  </si>
  <si>
    <t xml:space="preserve">개선 전: 욕실 벽체 방수 한계선 상단 미장 시공
개선 후: 욕실 벽체 전면 방수 시공(방수 단가가 저렴할 경우)
</t>
  </si>
  <si>
    <t>아이디어는 좋으나, 때에 따라 달라짐, 현장VE 진행</t>
  </si>
  <si>
    <t>CO/D-PI-CE-57</t>
  </si>
  <si>
    <t>2400449</t>
  </si>
  <si>
    <t>김동희</t>
  </si>
  <si>
    <t>몰탈 최소 출하량 변경 건 2m3 -&gt; 1m3</t>
  </si>
  <si>
    <t>몰탈 최소 출하량 변경 2 ㎥ -&gt; 1 ㎥</t>
  </si>
  <si>
    <t>몰탈 줄였을때, 리스크 검토 X</t>
  </si>
  <si>
    <t>EN/S-A/F-CE-3</t>
  </si>
  <si>
    <t>2500687</t>
  </si>
  <si>
    <t>임정민</t>
  </si>
  <si>
    <t>블록 벽체 본드빔 삭제</t>
  </si>
  <si>
    <t xml:space="preserve">당 현장에서 계약한 건축비구조요소 내진설계 결과에 의거
본드빔 삭제 후 시공해도 무방하다는 의견 회신 후 CM단과
U형 블록(D13-2) 대체로 협의 완료 후 시공 중
</t>
  </si>
  <si>
    <t>CO/D-A/F-CE-76</t>
  </si>
  <si>
    <t>방수감아내림 변경</t>
  </si>
  <si>
    <t>* 외벽 CIP 파일면(1M) 방수 삭제=&gt;내부 노출 우레탄 방수 적용</t>
  </si>
  <si>
    <t>현장 VE</t>
  </si>
  <si>
    <t>CO/D-A/F-CE-77</t>
  </si>
  <si>
    <t>옥상방수공법 및 단열공법 변경</t>
  </si>
  <si>
    <t xml:space="preserve">1. 옥상 방수사양 변경
- 당초 : PET일체형 복합방수 → 변경 : 폴리우레아 방수
2. 옥상 단열공법 변경 및 데크공법 변경
- 당초 : 비탈형데크 + 내단열(타설부착) → 변경 : 탈형데크 + 외단열(바닥깔기)
- 천정 내단열+뿜칠 =&gt; 수성도장으로 변경
* 도급 설계변경 완료로 도급감액 없음
* 하도급 금액현황 : 총(-)2.4억 감액
 - 방수변경 : (+)1.7억원
 - 데크변경 및 단열공법 변경 : (-)4.0억원
 - 도장변경 : (-)6백만원
</t>
  </si>
  <si>
    <t>EN/EX-L-CE-3</t>
  </si>
  <si>
    <t>조경공사 프리미엄 옵션 시행안</t>
  </si>
  <si>
    <t xml:space="preserve">사업
승인	&gt;&gt;	실시
설계
(실행)	&gt;&gt;	시공	&gt;&gt;	준공
사업
승인	&gt;&gt;	실시
설계
(실행)	&gt;&gt;	프리미엄설계추진기획/
발주처보고	YES
------
프리미엄설계	도급
증액	&gt;&gt;	시
공	&gt;&gt;	준
공
</t>
  </si>
  <si>
    <t>정비사업 공사비 증액 추진 시 조합 거부감이 낮아 주로 활용되는 아이템임
그동안 프리미엄 업그레이드 조경 기준이 없어 새로 정립해보자는 취지
구체적인 계획 수립이 가능해 정식 과제화 추진 적정함</t>
  </si>
  <si>
    <t>14차(250929)</t>
  </si>
  <si>
    <t>EN/S-A/F-CE-4</t>
  </si>
  <si>
    <t>2201247</t>
  </si>
  <si>
    <t>이현민</t>
  </si>
  <si>
    <t>건식벽체 허용높이 구조검토시 검토기준에 대한 검토</t>
  </si>
  <si>
    <t>비구조요소인 건식벽체 구조검토시 횡하중 적용구간을 전면적에서 1.8M(손스침하중, 실제 하중이 작용하는 구간)로 설정하여 구조검토 실시.</t>
  </si>
  <si>
    <t>IN/C-PI-CE-81</t>
  </si>
  <si>
    <t>퇴직공제 단말기 현장관리비 실행내역 반영</t>
  </si>
  <si>
    <t xml:space="preserve">1.단말기 구매 또는 임대 품의시 집행내역 통일
- 비품비 또는 기타경비
</t>
  </si>
  <si>
    <t xml:space="preserve">아이디어 인정, 과제 미채택
인프라사업본부의 경우 보상복구비 및 예비비 예산으로 해당부분을 집행할 수 있게 진행하고 있습니다. 모든현장에서 들어가는 집행내역이긴 하나 과제화하여 진행할 사안은 아니며, 인프라견적팀에 해당내용을 전달토록 하겠습니다 </t>
  </si>
  <si>
    <t>CO/D-ID/H-CE-49</t>
  </si>
  <si>
    <t xml:space="preserve">부대토목공사 우/오수 관로공사 CCTV 촬영 연간단가 계약 구조 개선 제안
</t>
  </si>
  <si>
    <t xml:space="preserve">개선 전에는 관로 CCTV 촬영이 단독 항목으로 연간단가 계약에 포함되어 있었으며, 촬영 이후 결함이 발견될 경우 비굴착 보수와 수밀시험은 별도로 계약변경해야 하는 구조였습니다. 
반면 CCTV 촬영, 비굴착 보수, 수밀시험을 통합 항목으로 연간단가 계약에 포함한다면 공정 흐름이 유기적으로 연결되고 하나의 계약체계 내에서 조치가 신속하게 이루어질 수 있습니다. 
</t>
  </si>
  <si>
    <t>현장에 필요한 아이디어 이며, 외주팀과 직접 협의해서 정리할지, 과제화 할 지 고민이 됨</t>
  </si>
  <si>
    <t>CO/D-PI-CE-58</t>
  </si>
  <si>
    <t>2401017</t>
  </si>
  <si>
    <t>이호동</t>
  </si>
  <si>
    <t>협력사 안전보건서류 미제출 시 단계별 알림 및 경고제재 시스템 구축</t>
  </si>
  <si>
    <t xml:space="preserve">개선 전 : 협력사 안전보건서류 제출 미이행 시 수작업으로 메일, 전화 등을 통해 관리 → 점검 누락 및 지연 발생.
개선 후 :
•	안전보건서류 미제출 시 단계별 자동 알림 및 경고/제재 시스템 도입.
•	기한 하루 전 → 안전팀 및 해당 공종 팀장/원에게 자동 알림 발송.
•	1차(미제출 시) → 현장소장에게 경고 알림.
•	2차(지속 미제출 시) → 대표이사에게 경고 알림.
•	3차(지속 미제출 시) → 해당 협력사 입찰제한 조치.
•	현장소장 경고 3회 누적 시 교체(2회 누적 시 협력사 본사 교육 실시).
•	교육은 대표이사 주관(교육자료·사진대지·서명지는 협력사가 작성하여 시스템에 등록).
•	비협조 시 공문 자동 발송 시스템.
•	경고 및 누적 현황 시스템 자동 기입(단, Test/오발송 건은 본사 승인 후 삭제 가능).
</t>
  </si>
  <si>
    <t>프로세스 개선에 따른 TOP과제화 검토 / 중복확인 요망</t>
  </si>
  <si>
    <t>CO/I-YY-CE-16</t>
  </si>
  <si>
    <t>숙소 관리비 개인경비 처리</t>
  </si>
  <si>
    <t xml:space="preserve">-	숙소관리비를 이용 직원 본인이 선 결제 후 개인경비로 청구하도록 하여 관리비의 과도한 발생을 억제 시키고, 편의시설을 본인부담으로 자유롭게 이용할 수 있도록 조치  </t>
  </si>
  <si>
    <t>중복
(705)</t>
  </si>
  <si>
    <t>CO/Z-PI-CE-89</t>
  </si>
  <si>
    <t>임직원 세미나 실시</t>
  </si>
  <si>
    <t>-	효율적인 안전관리, 미래사업 전략, 공정한 인사 및 성과 관리 등 회사 경영에 필요한 주제를 바탕으로 임직원들의 의견을 공모하여 그 중에 우수한 내용을 선정 후 발표회 실시(임직원 참석 및 평가 후 시상)</t>
  </si>
  <si>
    <t>TOP과제로 부적합. 구체성 부족</t>
  </si>
  <si>
    <t>CO/Z-PI-SNA-54</t>
  </si>
  <si>
    <t>텀블러 사용 제고</t>
  </si>
  <si>
    <t>-	탕비실에 텀블러 세척기를 설치하여 직원들이 쉽게 세척할 수 있도록 조치하여 텀블러 사용률 제고</t>
  </si>
  <si>
    <t>중복
(743)</t>
  </si>
  <si>
    <t>EN/S-C-CE-24</t>
  </si>
  <si>
    <t>유공관 매립을 통한 외부 수압 감소 방법</t>
  </si>
  <si>
    <t xml:space="preserve">외벽 되메우기시 유공관 매립
유공관 내 공간을 통해 외부 수압이 많이 감소되어 누수 예방
</t>
  </si>
  <si>
    <t>아이디어 미인정
구체적인 방식에 대한 제안이 없고 일반적으로 하는 방식으로 판단되어 제안 불인정 함</t>
  </si>
  <si>
    <t>CO/Z-PI-SNA-55</t>
  </si>
  <si>
    <t>사업본부 직영직원 채용방법 통일</t>
  </si>
  <si>
    <t xml:space="preserve">1.직영직원 채용 방법 통일
-①직영 단가 품의 – ②단가 금액내 채용시 현장소장 전결
</t>
  </si>
  <si>
    <t>아이디어 불인정
인프라사업본부의 직영품의는 아이디어 제안과 같이 현재 시행 중인 상황이나, 직영을 운영하는 현장이 많지 않다보니 전파가 제대로 되지않은것 같습니다. 인프라VE팀과 협의하여 직영품의 관련 부분을 재 공지 등을 통하여 관련업무 수행자가 알 수 있도록 조치하겠습니다</t>
  </si>
  <si>
    <t>EN/S-A/S-CE-60</t>
  </si>
  <si>
    <t>0201240</t>
  </si>
  <si>
    <t>방득영</t>
  </si>
  <si>
    <t>독립기초 시공시 현장PC 가벽 활용을 통한 원가절감</t>
  </si>
  <si>
    <t xml:space="preserve">독립기초 PC가벽을 통한 시공기준 정립 및 원가/공기 절감
  품질/안전성 향상
	첨부자료 참고 
(인천공항현장에서 수행한 공기/원가/제작도/구조계산서포함)
</t>
  </si>
  <si>
    <t>EN/E-E-CE-63</t>
  </si>
  <si>
    <t>실외기실 센서 등 변경</t>
  </si>
  <si>
    <t xml:space="preserve">개선전 : 일반 방습등 + 스위치
개선후 : 센서형 방습등
</t>
  </si>
  <si>
    <t>CO/D-PI-CE-59</t>
  </si>
  <si>
    <t>2501072</t>
  </si>
  <si>
    <t>김덕융</t>
  </si>
  <si>
    <t>현장 청소(단시간) 직원 전문 파견업체 사용</t>
  </si>
  <si>
    <t xml:space="preserve">전문 파견업체 지정 및 계약 후 인원 파견 / 관리 위임
 - 기존 : 현장별 채용공고 통해 면접 후 채용
 - 변경 : 필요 직종/인원 업체 파견 의뢰 후 인원 파견(업체 관리)
 - 격오지 현장의 경우도 파견근무 이상 無
</t>
  </si>
  <si>
    <t>논의가 필요함</t>
  </si>
  <si>
    <t>CO/D-PI-CE-60</t>
  </si>
  <si>
    <t>협력사 안전관리 제고</t>
  </si>
  <si>
    <t>CO/D-PI-CE-61</t>
  </si>
  <si>
    <t>호이스트 계약 항목 中 산업안전보건관리비 집행 품목 연 단가 고정</t>
  </si>
  <si>
    <t xml:space="preserve">◼ 개선 전 : 항목별 단가가 현장별 상이하며, 과도하게 편성된 사례 다수 발생
◼ 개선 후 : 유관부서 검토를 통해 적정 수준의 연 단가를 책정하고 고정
          → 산안비 사용계획 수립 시 해당 단가 반영
          → 실행 초과 방지 및 계획적 집행 유도
</t>
  </si>
  <si>
    <t>안전문, 방호선반 등 업무 효율떄문에 호이스트 업체에서 설치하고 있음. 과거, 안전시설물 연간단가에도 있었으나 현장에서 거의 활용하지 않음</t>
  </si>
  <si>
    <t>CO/D-A/F-CE-78</t>
  </si>
  <si>
    <t>도배구간 견출 제외</t>
  </si>
  <si>
    <t>도배 마감구간 타이핀 제거 후 폼 조인트만 그라인딩 실시</t>
  </si>
  <si>
    <t>품질확보 및 불필요한 논란(벽체 크랙 등)을 해소하기 위해 견출 필요 / 중복</t>
  </si>
  <si>
    <t>CO/D-TF-CE-25</t>
  </si>
  <si>
    <t>최하층 배수배관(가설,본공사용)을 기초 매립</t>
  </si>
  <si>
    <t xml:space="preserve">1)	트렌치 구배미장은 깊이 100mm의 기준에 약15~20m의길이까지는 수작업으로 구배형성이 가능함
2)	집수정과 집수정의 길이가 30m를 초과하면(15m * 2) 중간에 D75mm PVC파이프 배수관을 기초내에 선 선치하여 전체 구배계획을 수립함
3)	최종 트렌치 구배미장시 기 계획된 배수구로 구배를 형성함
</t>
  </si>
  <si>
    <t>검토 및 논의 필요</t>
  </si>
  <si>
    <t>CO/D-PI-CE-62</t>
  </si>
  <si>
    <t>공사계약시공사기간 세분화</t>
  </si>
  <si>
    <t xml:space="preserve">1)	공사 계약시 해당 공종의 공사기간을 세분화 (본공사, 잔여공사, 잔손보기)
2)	해당 현장의 전체예정공정표 상 본공사 범위 및 완료시점, 잔여공사 완료시점을 명기하여 해당 시점까지 공사완료에 책임감 부여
3)	목표달성에 따른 평가를 통한 수치화 후 입찰기회 부여
</t>
  </si>
  <si>
    <t>현실적으로 어려움이 예상됨(외주, 상생쪽 검토시 難)</t>
  </si>
  <si>
    <t>PR/P-PI-CE-13</t>
  </si>
  <si>
    <t>제빙기 임대 비단가에서 단가로 변경</t>
  </si>
  <si>
    <t xml:space="preserve">1. 매년 초 구매팀에서 현장별 소요 파악 후 단가 지정
2. 사용개월 최소 4개월(6월~9월) 운영(지역별 추가 가능)
</t>
  </si>
  <si>
    <t>구매팀 내용 전달(동절기 보양자재 처럼 가능할 듯)
과제화 없이 진행</t>
  </si>
  <si>
    <t>CO/Z-PI-CE-90</t>
  </si>
  <si>
    <t>품의(전자결재)서 업무 개선</t>
  </si>
  <si>
    <t xml:space="preserve">- 품의(전자결재)서 유형에 대해 표준화된 처리 절차와 매뉴얼을
마련 이를 통해 담당자별 편차를 줄이고 신속하고 일관성 있는
업무 처리를 유도하여 현업에서 올린 품의 건에 대하여 지정된
일자 기간 내 처리가 될 수 있도록 주요 문서(항목)별 분류하는 
방안 
예) 문서별 기간 분류 
단순 품의서 – 부서(팀)장 전결     – 3일이내
단순 품의서 – 실장 전결/ 본부장 -  5일이내
외주 품의서 / 자재업체 선정      -10일이내 
주요 품의서 -(대표이사 품의)     – 10일이내
- 부서(팀) 별 성과평가 및 인센티브 제공 
처리 기간 단축에 기여한 부서(팀)별 /담당에게 적절한 성과 및
평가를 통한 인센티브를 제공하며 동기 부여를 부여하여 적극적인
업무 태도를 유도  
</t>
  </si>
  <si>
    <t>문서 처리 시한 준수 성과평가에 따른 포상 지급을 대안으로 제시하여
아이디어는 인정하나 과제 수행시, 임직원 반발이 많을 것으로 예상됨</t>
  </si>
  <si>
    <t>CO/D-A/S-CE-90</t>
  </si>
  <si>
    <t>2500686</t>
  </si>
  <si>
    <t>박경범</t>
  </si>
  <si>
    <t>주차장 무해체(DH)보 시공 제안</t>
  </si>
  <si>
    <t>무해체(DH)보 시공 및 해체를 통한 공기감축</t>
  </si>
  <si>
    <t>아이디어 인정, 과제 검토중
448번 아이디어와 연계하여 진행 필요</t>
  </si>
  <si>
    <t>EN/S-A/S-CE-61</t>
  </si>
  <si>
    <t>2501039</t>
  </si>
  <si>
    <t>노승완</t>
  </si>
  <si>
    <t>잭서포트 존치 상태에서 천정 뿜칠 시공 시 별도 마감 시공</t>
  </si>
  <si>
    <t xml:space="preserve">잭서포트 패드 크기(250*250) 별도 마감재 부착
	PVC 점자블록 같은 재질의 별도 패드 설치
	야광 패드 or 포레나 디자인 패드 / 부착 : 에폭시 본드
</t>
  </si>
  <si>
    <t xml:space="preserve">아이디어 인정, 과제 미채택
잭서포트 임의 해체를 하는 주된 원인이지만 현실적으로 잭서포트 위치(패턴의 위치)가 일정하지 않아 부착물이 미관상 유리하지 못할 것으로 판단하였습니다.합니다. </t>
  </si>
  <si>
    <t>CO/I-PI-CE-59</t>
  </si>
  <si>
    <t>직원 근무복 탈의실 설치 및 사물함 비치</t>
  </si>
  <si>
    <t>-	현장내 근무복으로 환복할 수 있는 탈의실을 설치한 후 개인 사물함을 비치하여 출퇴근 시 환복할 수 있도록 지원</t>
  </si>
  <si>
    <t>있으면 좋을만한 제안이나 호불호가 심할수도 있고 비용이 일부라도 증가하는 사안으로 제안만 인정</t>
  </si>
  <si>
    <t>EN/I-A/F-CE-83</t>
  </si>
  <si>
    <t>현관 스타일러 옵션</t>
  </si>
  <si>
    <t xml:space="preserve">-	현관 옵션으로 스타일러 같은 크리닝제품 설치(붙박이) 또는 동 출입구 자동문에 에어워시 설치(냉난방비 절감) </t>
  </si>
  <si>
    <t>스타일러를 현관에 배치하자는 제안 (겨울을 고려한 제안)
의류관리기 활용 특성 상 기존 드레스룸 배치가 적정함</t>
  </si>
  <si>
    <t>EN/EX-A/F-CE-22</t>
  </si>
  <si>
    <t>외부 D.A 마감 석재뿜칠 적용 제안</t>
  </si>
  <si>
    <t>주차장 외부 D.A 마감 석재 뿜칠로 변경하여 원가 절감</t>
  </si>
  <si>
    <t>기 시행사항
주거동 및 보행로 인접하지 않은 DA는 부분적으로 뿜칠 시행중(포항1차 등)</t>
  </si>
  <si>
    <t>EN/E-A/F-CE-2</t>
  </si>
  <si>
    <t>오정화, 고한울, 김태용</t>
  </si>
  <si>
    <t>공동주택 분양시 세대 태양광설비 옵션 적용</t>
  </si>
  <si>
    <t xml:space="preserve">(개선전)
① 아파트의 경우 개별세대 태양광설비 설치를 원할 경우 개인이 
정부나 지자체의 지원금을 받아 별도 설치하여야 함 
(개선후)
① 분양시 태양광설비의 설치를 원하는 수분양자에게 개별세대
 태양광설비를 옵션품목으로 선택 할 수 있도록 제공 
② 준공 후 개별적으로 설치하는 것 보다 본공사시 시공하면
   비용절감, 사용성 및 마감 개선 등으로 수요는 증가 가능 
</t>
  </si>
  <si>
    <t>그린솔루션TFT 주관 개발중인 발코니 태양광설비에 해당(상품화 가능)
다만, 옵션화 추진할 경우 기존 60~70만원 대 단순 발코니 설치 형태등은
너무 조잡하여 별도 디자인 등의 제품화 필요
단, 지자체 지원금 신청 등은 사후 신청으로 가야 함(옵션 시 확정 못 함)
(경기도 기준 기축단지만 신청 가능, 전체 새대 수 50% 이상 신청시 지원)</t>
  </si>
  <si>
    <t>IN/C-TF-CE-1</t>
  </si>
  <si>
    <t>가설사무실철거계획조기시행</t>
  </si>
  <si>
    <t xml:space="preserve">준공이나 이전으로 인한 가설사무실 해체가 필요한 경우, 6개월의 소요기간을 고려하여 업무수행
(철거업체선정 2개월, 지자체 승인 2개월, 감리업체계약 1개월, 철거공사 1개월)
</t>
  </si>
  <si>
    <t>아이디어 인정, 과제 미채택
인프라현장 특성 상 장기간 공사로 인해 준공 후 가설사무실 철거를 경험해보지 못한 경우가 많고, 그 중 해체에 대한 법규변경 이후 철거를 해본 직원이 적어서 생긴 문제라고 판단됩니다. 인지의 문제 부분이라 인프라VE팀 통해 내용 해당되는 현장에 관련한 공지가 될 수 있게 조치하겠습니다</t>
  </si>
  <si>
    <t>EN/M-M-CE-52</t>
  </si>
  <si>
    <t>공동주택 PIT 배수펌프 절감안</t>
  </si>
  <si>
    <t>공동주택 기준으로 배수펌프는 설치장소는 기계실, 저수조, 지하주차장, 영구배수, 동PIT, 부대시설 또는 상가용 PIT 등 으로 설계합니다. 현재 당사에서는 배수펌프 2대를 1SET로 일괄적으로 적용하고 있는데, 동PIT, 부대시설 또는 상가용 PIT 실질적으로 물의 발생량이 적고 배수펌프 2대가 동시에 필요한 경우는 드물다고 사료됩니다. 이에 해당부위만 특정하여 배수펌프 1대로 설치하는 절감방안 제시합니다.</t>
  </si>
  <si>
    <t>과제화 예정</t>
  </si>
  <si>
    <t>EN/E-E-CE-64</t>
  </si>
  <si>
    <t>1105679</t>
  </si>
  <si>
    <t>정보통신설비 배선통합</t>
  </si>
  <si>
    <t>케이블 배선 방식(개별 ☞ 통합) 변경</t>
  </si>
  <si>
    <t>과제화 완료</t>
  </si>
  <si>
    <t>CO/Z-PI-CE-91</t>
  </si>
  <si>
    <t>창고형 음료수 구매</t>
  </si>
  <si>
    <t xml:space="preserve">창고형 음료수 판매업체를 각 지역별로 선정하여 구매함으로써
복리후생비 및 안전경비로 투입되는 원가를 절감.
</t>
  </si>
  <si>
    <t>CO/Z-PI-CE-92</t>
  </si>
  <si>
    <t>연간단가계약_원가절감</t>
  </si>
  <si>
    <t>개선 전) 각각의 장비 및 계약으로 비교견적 후 집행.
개선 후) 본사 중심의 연간단가 업체 선정 후 계약/현장 사용.
        (소음측정기, 제빙기, CCTV, 출입통제)</t>
  </si>
  <si>
    <t>지역별 연간단가 아이디어 확대
제안은 인정. 검토 필요</t>
  </si>
  <si>
    <t>EN/S-A/S-CE-62</t>
  </si>
  <si>
    <t>아파트 동기초 형식 파일기초인 경우 줄기초 설계</t>
  </si>
  <si>
    <t xml:space="preserve">개선 前
아파트 기초 depth 만큼 레미콘 타설로 인한 레미콘원가 증가 
개선 後
주요 하중을 받는 구간을 제외하고 EPS블록 설치를 통한 레미콘 물량 절감
</t>
  </si>
  <si>
    <t>아이디어 인정, 과제 미채택
설계사의 수용여부에 따라 선별 적용되는 만큼 설계 적정성에 대한 이슈가 있어 당사 설계기준에 반영하지 못한 사항입니다. 타사 및 설계사 동향을 파악중입니다.</t>
  </si>
  <si>
    <t>CO/D-A/F-CE-79</t>
  </si>
  <si>
    <t>중복 아이디어(중복 접수_1297번)</t>
  </si>
  <si>
    <t>CO/D-ID/H-CE-50</t>
  </si>
  <si>
    <t>혹서기(폭염기간) 타설지원 보조비 책정</t>
  </si>
  <si>
    <t xml:space="preserve">제한된 타설 시간 준수를 위해 적정한 휴식기간을 지킬 수 없  .
다면, 교대로 타설작업을 진행할 수 있는 교대작업 인원을 확
보하여 교대로 작업을 진행할 수 있도록 혹서기 타설지원 보조
비용을 책정, 추가 비용 문제 해결을 통한 협력사의 적극적인
대처를 유도.(ex:동절기 보양비용 책정)
</t>
  </si>
  <si>
    <t>현장 안전 관리상 좋은 아이디어이나, TOP활동은 아님
(추가비용 들어서 안전성 확보)</t>
  </si>
  <si>
    <t>CO/Z-PI-CE-93</t>
  </si>
  <si>
    <t>종이서류 대체 태블릿 PC 활용 제안</t>
  </si>
  <si>
    <t xml:space="preserve">개선 前
각종 종이 출력물(A4, A3등) 
개선 後
팀당 태블릿 2대 지급 (팀장 1 /팀원공용 1)
보안 문제로 공용 활용이 어려울 수 있으나, 현장지원팀, DT팀등 협업하여 회사
WIFI망 기반으로 ECDA 접속해서 파일열람하는 방식 제안
</t>
  </si>
  <si>
    <t>14, 중복
(590)</t>
  </si>
  <si>
    <t>중복 다수</t>
  </si>
  <si>
    <t>EN/EX-L-CE-4</t>
  </si>
  <si>
    <t>부대토목(상수) 인입 경로 검토에 의한 절감안</t>
  </si>
  <si>
    <t xml:space="preserve">개선 전: 설계사 도면에 따름(상수관 경로 길이: 226m)
개선 후: 상수 인입 경로 변경(상수관 경로 길이: 98m)
-	상하수도사업소와 사업지 동측의 기반상수에서 인입하는 것으로 협의 변경 완료
</t>
  </si>
  <si>
    <t>현장 특수성에 따른 원가절감 사안 -&gt; 현장TOP (도시상수관 인입길이 축소)</t>
  </si>
  <si>
    <t>CO/D-A/F-CE-80</t>
  </si>
  <si>
    <t>지붕 및 옥탑 방수 재료 변경</t>
  </si>
  <si>
    <t xml:space="preserve">개선 전: 폴리우레아3T + Top Coating
개선 후: 다목적경질우레탄 노출 방수( ex) 삼화 우레코트 멀티플로어)
-	기존 노출 우레탄 대비 신장률, 경도 상회 및 내후성 우수
-	물성치가 폴리우레아와 비슷하고 약간 하회하나, 가격경쟁력 보유
</t>
  </si>
  <si>
    <t>검토 중(기술혁신팀)</t>
  </si>
  <si>
    <t>CO/D-A/F-CE-81</t>
  </si>
  <si>
    <t>시간외 근무직원 처우개선 방안</t>
  </si>
  <si>
    <t xml:space="preserve">1.	시간 외 근무 시 처우개선 방안 수립을 통한 직원 사기진작
및 연장근로 시간에 대한 노무 관련 문제 해결
 2.	처우개선 조치로 현장 별 제기되는 형평성 문제 제거.
3.	시간외 일지(양식) 작성으로 근거유지 및 투명성 보장
-	타 직원들의 시간외 근무에 대한 정당한 보상 인식
</t>
  </si>
  <si>
    <t>관련 사항은 TOP활동 사항이 아니며,
작성자에게 인사/노무 사항을 설명 필요함(취업규칙 및 노무이슈와 연계)
인사팀 담당자가 설명해주는 것이 좋을 것 같음</t>
  </si>
  <si>
    <t>공동주택 욕실 층간소음 방지 설계 제안의 件</t>
  </si>
  <si>
    <t xml:space="preserve">개선 前
공용/부부욕실 오배수관이 슬라브를 관통하여 아래 천정에 배관
개선 後
PD공간 활용하여 층상 벽면배관시공을 통해 오배수관로 노출 시공
(공간벽 미시공_공간벽 시공시 공사원가 과대 증가현상 발생 여지)
</t>
  </si>
  <si>
    <t>욕실 배수 층하배관 -&gt; 측배관 변경 제안 건 (층간소음 저감 효과)
젠다이(경량철골) 추가+변기 등 도기 사양 업그레이드 등 원가 상승 요인</t>
  </si>
  <si>
    <t>EN/EX-A/S-CE-11</t>
  </si>
  <si>
    <t>공동주택 갱폼 줄눈(음각 → 양각) 설계 제안  件</t>
  </si>
  <si>
    <t xml:space="preserve">개선 前
갱폼 줄눈(음각)은 크랙유도용으로 주로 사용되며 외관의 미려함을 강조하는 역할을 함. 대신 피복두께 미확보로 음각(15mm)에 대해 벽체 두께를 키워서 타설하는 실정임.
(입주 후 10년이내 외부 도장작업시 줄눈(음각)을 만들었어도 크랙유도를 했다는 의미가 무색하도록 크랙 유도 효과가 크다고 볼 수 없다고 판단)
개선 後
갱폼 줄눈을 양각(리브)시공하여 기존 벽두께로 타설을 진행하고 레미콘물량 감소를 하며, 양각의 줄눈을 디자인화하여 특화문양으로 개선 제안(w/디자인팀)
(일부 측벽 포인트벽체는 음각시공하여 당사 포레나 포인트 줄눈 사용 유지)
</t>
  </si>
  <si>
    <t>외벽 음각-&gt;양각 줄눈 변경에 따른 두께 10~15mm 골조량 절감 제안
(양각 시공 시 줄눈 자체 크랙 증가 및 외벽 오염도 증가 우려)</t>
  </si>
  <si>
    <t>CO/I-YY-CE-17</t>
  </si>
  <si>
    <t>0300974</t>
  </si>
  <si>
    <t>문영명</t>
  </si>
  <si>
    <t>근무복 개인별 Coupon 지급제도</t>
  </si>
  <si>
    <t xml:space="preserve">1.	개인별 Coupon으로 지급하여 지급내역 이력관리
2.	개인별 150,000Point/년 를 지급하고 Point내에서
개인별로 자유롭게 신청 및 관리하여  개인책임강화
(산출근거 후첨)
</t>
  </si>
  <si>
    <t>CO/D-A/F-CE-82</t>
  </si>
  <si>
    <t>실외기실 루버 환기후드캡 일체화 반입 제안</t>
  </si>
  <si>
    <t xml:space="preserve">개선 전 – 실외기실 루버 설치(건축) 후 달비계 사용하여 후드캡설치(기계)
개선 후 – 루버 발주 시 환기 후드캡까지 설치하여 반입 후 루버 설치(건축)
</t>
  </si>
  <si>
    <t>중복 아이디어(673번)</t>
  </si>
  <si>
    <t>CO/D-A/F-CE-83</t>
  </si>
  <si>
    <t>무근콘크리트 결합재(FA →SP) 변경 제안의 건</t>
  </si>
  <si>
    <t>현재 콘크리트 결합재 플라이애시(F/A)를 슬래그파우더(S/P) 대체 하는 추세이며, 슬래그파우더가 자가 충전성 및 물성 확보에는 더 효과적이라고 생각함.</t>
  </si>
  <si>
    <t>아이디어 인정, 과제 검토중
기술혁신팀 담당자와 협의 예정</t>
  </si>
  <si>
    <t>CO/Z-PI-CE-94</t>
  </si>
  <si>
    <t>와팬패치 탈부착 근무복 개선</t>
  </si>
  <si>
    <t xml:space="preserve">1.	군복처럼 부대명, 태극기 등의 마크가 탈부착이 가능한 와팬패치로 회사 근무복을 제작한다면, 근무복 폐기 시 회사명, 회사로고 등 손쉬운 제거로 회사 이미지 추락 방지
2.	현장 변경 시 재사용 가능으로 중복 제작 소요 제거
-	개인이름, 회사명, 회사로고 등 별도 제작 개인지급
3.	현장 민원 발생 또는 매스컴 발생 시 회사로고 등 수시 제거
-	민원인 또는 방송매체에 불필요한 노출 최소화
4.	이름, 회사명, 로고, 슬로건 등 상황에 따른 필요한 내용만 부착하여 노출 가능
5.	아크릴 명찰 대비 탈부착이 용이하여, 동계, 하계, 춘/추복에 수시 부착 가능.
6.	탈부착 와팬패치는 동계(조끼)/하계/춘추복 등 상호 호환사용으로 근무복 제작시 원가 절감 가능
-별첨# 1. 와팬패치 호환적용사례 이미지 참조
</t>
  </si>
  <si>
    <t>EN/S-A/S-CE-63</t>
  </si>
  <si>
    <t>고층현장 피난층(19F, 46F) Belt Wall 내부 Steel Plate 시공 공법 개선</t>
  </si>
  <si>
    <t xml:space="preserve">고층 피난층 구조에 대한 정확한 이해와 사전 기술 검토를 통해, 시공 단계에서 발생할 수 있는 구조 간섭 요소를 분석하고, 이를 바탕으로 Steel plate 설치에 대한 시공 대안을 마련하는 방안이 필요.
※주요 검토 항목
1.	철근 배근 Shop.Dwg과 철골부재 배치를 기반으로 한 간섭 요소 사전 확인
2.	Steel Plate 세우기 및 고정 방식 단계별 시공 기준 수립
3.	해당부위 거푸집 시공에 대한 방법 검토 
4.	RCS 상부 비계 발판 등 가설 발판의 설계 및 안정성 검토
※당 현장 적용 사항
- 철근콘크리트 구조물의 분절 타설 시점을 조정하여, 철골 세우기와 병행 시공이
가능하도록 적용 함 (철골 세팅 위치가 골조에 근접 하도록 하여 안정성 향상)
    - Tie bar 및 Hoop 철근 배근을 위한 스틸플레이트 관통 홀 적용(Detail shop 작성) 
- 철골 세우기 가설 POST 및 사재 설치 삭제
- 내부 철근 보강을 통한 고정 및 설치 방식적용 (효율성 및 안정성 확보)
- 거푸집 시공을 위한 콘 타이(Con-Tie) 용접 방식 적용
</t>
  </si>
  <si>
    <t>아이디어 인정, 과제 미채택
현장 특수성에 따른 원가절감 사례</t>
  </si>
  <si>
    <t>CO/D-PI-CE-63</t>
  </si>
  <si>
    <t>2000272</t>
  </si>
  <si>
    <t>인천공항 제2터미널 확장</t>
  </si>
  <si>
    <t>변순석</t>
  </si>
  <si>
    <t>건기대 수수료 환급</t>
  </si>
  <si>
    <t xml:space="preserve">1. 개선 전
   도급 정산시 실투입비(수수료) 정산 대상으로 도급에서 수금
 2. 개선 후 
 도급 정산시 수금 후 건설기계대여대금지급보증 환급 신청
 (건설공제조합) 및 수금
</t>
  </si>
  <si>
    <t>중복 아이디어(1327번)</t>
  </si>
  <si>
    <t>EN/EX-A/F-CE-23</t>
  </si>
  <si>
    <t>아파트필로티바닥레벨기준화</t>
  </si>
  <si>
    <t xml:space="preserve">1)	아파트 출입구 및 동 주변은 물이 고이지 않도록 구배를 주어 동선 및 조경마감을 진행
2)	필로티 바닥도 우수 때문에 바닥 방수 및 외부로 구배를 주어 마감
3)	1),2)의 내용 때문에 현장에서 임의로 필로티 바닥슬라브를 더 올려 시공하기도 함.
설계단계에서 필로티 바닥 슬라브를 구배를 고려하여 100mm이상 더 올려 도면이 작성되도록 기준안 마련이 필요
</t>
  </si>
  <si>
    <t>1층 필로티 F.L이 G.L보다 낮은 상황 -&gt; 해당 현장 도면 오류
당사 기준 이미 G.L+100 세팅</t>
  </si>
  <si>
    <t>CO/I-PI-CE-60</t>
  </si>
  <si>
    <t>QR 기반 출입기록 시스템을 통한 세대 내 불법행위(배변·자재파손·도난) 예방 및 용의자 추적 체계 수립 제안</t>
  </si>
  <si>
    <t xml:space="preserve">○ 기존에는 세대 출입 시 작업자 기록이 없어 문제 발생 시 가해자 특정 불가
  ⇒ 출입 기록에 따른 세대 출입자 조회 및 타깃 교육 가능
     : 세대 출입기록 없는 근로자 多회 경고 후 퇴출
○ 문제 발생 시 전체 근로자 대상 교육 반복으로 효율 낮음
⇒ 이상 발생 세대 중심 타깃 교육으로 대상자 범위 축소 및 실효성 강화
○ 작업자의 심리적 경계심 부족으로 악의적 행위 억제 어려움
  ⇒ “기록이 남는다”는 인식으로 자발적 행동 개선 유도
</t>
  </si>
  <si>
    <t xml:space="preserve">안전 의견
 - 투입대비 실효성 의문. QR을 찍지 않았을시, 확인할 방법이 없음. 노무자들이 자발적참여 어려울 가능성 높음 </t>
  </si>
  <si>
    <t>EN/I-A/F-CE-84</t>
  </si>
  <si>
    <t>공동주택 단위세대 표준바닥 구조변경 건</t>
  </si>
  <si>
    <t xml:space="preserve">개선 前
당사 표준바닥구조 : 슬래브 210mm , 차음재 30mm, 경량기포 40mm, 몰탈 40mm
총 320mm 바닥 구조 설계
개선 後
제안 표준바닥구조 : 슬래브 210mm, 차음재 70mm, 몰탈 40mm  총 320mm 
총 320mm 바닥 구조 설계 (바닥구조 높이 변경 없음)
</t>
  </si>
  <si>
    <t>차음재 단순 증가(30-&gt;70mm) 제안 (당사 기술팀 추진 사항과 상이)
현 시점 실 시공현장 없고 경량기포 삭제 시 난방배관 고정 핀 들뜸 현상</t>
  </si>
  <si>
    <t>EN/I-A/F-CE-85</t>
  </si>
  <si>
    <t>공동주택 단위세대 ALC블럭조 설계 제안 件</t>
  </si>
  <si>
    <t xml:space="preserve">개선 前
단위세대 욕실 조적벽구간, 비내력벽 구간 및 공용부 ST, EPS, PD 구간에
시멘트벽돌쌓기 0.5B, 1.0B 쌓기시 수직도 및 사춤 품질저하로 결로, 마감 여유치수 부족현상 등 시공 애로사항 다수 발생.
개선 後
해당구간을 무기질 친환경자재 ALC블록 시공으로 변경하여 품질상향 개선
시멘트벽돌 1M2당 75매, ALC블럭 1M2당 4매, 단위면적이 커 시공성 빠름
</t>
  </si>
  <si>
    <t>현 시점에서는 미채택 (진주이현 실 시공 후 재검토 예정)
ALC 블럭 장점 있으나 욕실 등 배관 시공성, 도어 고정 하자 등 개선 필요</t>
  </si>
  <si>
    <t>EN/I-A/F-CE-86</t>
  </si>
  <si>
    <t>1302537</t>
  </si>
  <si>
    <t>락시스템 LVT 플로어 도입(마루 대체)</t>
  </si>
  <si>
    <t xml:space="preserve">•	개선 전 : 강화마루 접착시공 
	공기가 길고, 유지보수 어려움, 자재비 및 인건비 상승
•	개선 후 : 락시스템 LVT 플로어 적용
	클릭락 방식으로 빠른 시공 가능
	자재∙시공비 5~30% 절감 가능
	방수, 방오, 부분 교체가능으로 유지보수 편리
	완충패드 부착으로 층간소음 완화
	친환경(VOC 저감) 제품 적용 가능
	친환경 ∙ ESG 전략과 연계하여 장기 도입 확대 검토
</t>
  </si>
  <si>
    <t>접착제 미사용으로 노무비 절감 제안 (자재단가 비슷)
락시스템 최대 단점인 장기 사용 시 소음 발생 원천 차단 불가</t>
  </si>
  <si>
    <t>CO/Z-PI-CE-95</t>
  </si>
  <si>
    <t>VE(Value Engineering) 및 LL(Lessons Learned) 사례집 배포</t>
  </si>
  <si>
    <t xml:space="preserve">•	개선 전
	정형화된 사례집이나 전사 통합 관리 Process 부재
	LL 사례는 책임 회피나 조직문화적 부담감으로 인해 공유되지 않음
•	개선 후
	문서관리(ECDA)를 활용한 VE 및 LL 사례를 정기 수집∙정리하여 통합 사례집으로 구축 필요 (모든 직원이 열람할 수 있도록 하기 위함)
	사례 공유 목적이 책임 추궁이 아닌, 전체의 성장과 재발 방지라는 점을 강조하여 자발적 참여 유도
사례집 작성은 주관부서 1팀이 관리하도록 하며, 본사∙현장 모두가 동참함으로써 지속 가능한 조직 학습문화 조성 가능
</t>
  </si>
  <si>
    <t>유사 제안 多
해결 방안이 쉽지 않음. RM팀 시켜도 될듯한데. 일만 더 늘어날수도</t>
  </si>
  <si>
    <t>CO/Z-PI-SNA-56</t>
  </si>
  <si>
    <t>1002927</t>
  </si>
  <si>
    <t>김학균</t>
  </si>
  <si>
    <t>직원 복지 강화 통한 연차수당 절감</t>
  </si>
  <si>
    <t xml:space="preserve">개선 전]
	의무사용일수를 초과하여 연차를 사용할 경우, 직원 입장에서는 연차수당을 받지 못하게 되어 손해로 인식됨
: 이에 따라 의무사용 외 연차 사용이 저조한 실정
[개선 후]
	의무사용일수를 초과하여 연차를 사용하는 직원에게 계열사(H&amp;R, 갤러리아) 상품권 제공
	상품권 금액은 연차수당의 62% 수준(수당 32만원/日 → 상품권 20만원/日)으로 설정
	상품권은 내부 계열사 유통을 통해 현금성 유출 없이 복지 강화 실현
→ 직원은 연차수당 미수령 손해를 일부 보전받고, 회사는 연차수당 비용을 절감함으로써 판관비를 효율적으로 관리할 수 있음
</t>
  </si>
  <si>
    <t>쉬는 날에 돈까지 주는게 과연 회사로서 이득일까. 회사 나와서 일 하는게 그만큼 돈 벌고 있는것일텐데. 인력운영이 아주 널널할때는 고민해볼만하나 합리적인 해결방법은 아님. 쉬는날 돈 더 준다고해서 그거 보고 더 쉬지는 않을 거라는 의견</t>
  </si>
  <si>
    <t>PR/C-PI-CE-16</t>
  </si>
  <si>
    <t>철거공사용역 부가가치세 면제 적용(국민주택규모 이하)</t>
  </si>
  <si>
    <t>국민주택규모 이하 주택 현장 부가가치세 면세율 적용 검토</t>
  </si>
  <si>
    <t xml:space="preserve">(제안 인정, 과제화 미채택) 해당 PJ 개선 예정 </t>
  </si>
  <si>
    <t>CO/D-ID/H-CE-51</t>
  </si>
  <si>
    <t>갱폼 비치용 응급구조함 및 접이식그늘막의 비용확보</t>
  </si>
  <si>
    <t>구조물의 구간별로 갱폼에 부착가능한 응급구조함(간이식 침대, 들것, 응급키트, 쿨팩, AED 등)과 접이식 그늘막을 통해 온열질환자 발생시에 신속하게 현장에서 대응할 수 있도록 설치금액을 안전관리비 초기 계상시 적용하는 방안.</t>
  </si>
  <si>
    <t>안전강화를 위한 방안으로 좋은 아이디어임</t>
  </si>
  <si>
    <t>CO/D-ID/H-CE-52</t>
  </si>
  <si>
    <t>온열질환 예방 아이템 단가제안</t>
  </si>
  <si>
    <t xml:space="preserve">아이스넥쿨러,안전모헤드쿨링패드,쿨링시트등 단가계약을 하여  
안전,보건관리자들이 현장에 온열질환 고위험군 직종에게 쉽게 지급 및 사용하여 온열질환 예방을 할 수 있음. 
</t>
  </si>
  <si>
    <t>퇴사확인</t>
  </si>
  <si>
    <t>CO/D-ID/H-CE-53</t>
  </si>
  <si>
    <t>이동형 카메라 체감온도 센서 부착</t>
  </si>
  <si>
    <t xml:space="preserve">이동형 CCTV에 체감온도 데이터로거를 부착함으로써 고위험 작업구간으로 CCTV 이동과 동시에 해당 장소의 체감온도를 연동시킨 인터넷 사이트로 확인이 가능하며 기록이 5분마다 저장되어 데이터 시트를 다운받을 수 있음. 한 눈에 현장 내 작업구간의 체감온도를 확인하여 그에 적절한 휴식시간 제공이 가능하며 정확한 자료를 근거로 작업중단 등을 시킬 수 있음. </t>
  </si>
  <si>
    <t>안전강화를 위한 방안으로 좋은 아이디어임(투입금액 有)</t>
  </si>
  <si>
    <t>CO/D-ID/H-CE-54</t>
  </si>
  <si>
    <t>타워 양중시 유도로프에 자석 부착</t>
  </si>
  <si>
    <t>2~3m 길이의 유도로프 말단에 자력이 좋은 자석을 부착하여 가벼운 쇠 재질의 막대기로 유도로프를 끌어와 양중물 밑이 아닌 안전거리에서 유도로프를 잡고 당길 수 있도록 하여 중대재해 예방</t>
  </si>
  <si>
    <t>안전강화를 위한 방안으로 좋은 아이디어임(투입금액 有, 실용성 검토 要)</t>
  </si>
  <si>
    <t>CO/D-ID/H-CE-55</t>
  </si>
  <si>
    <t>혹서기 워터맨 채용 제안</t>
  </si>
  <si>
    <t>혹서기 기간 단기알바형식으로 워터맨 채용 &gt; 원활한 물, 이온분말 지급 &gt; 근로자 온열질환 예방!! .</t>
  </si>
  <si>
    <t>CO/D-PI-CE-64</t>
  </si>
  <si>
    <t>시스템비계 별도 발주안</t>
  </si>
  <si>
    <t xml:space="preserve">1) “시스템 비계” 전체 수량을 당사에서 직접 계약 
2) “골조 공사 시 설치 후 마감공사 완료 시 해체”하여 
중복으로 발생하는 설치 및 해체 비용 절감       
</t>
  </si>
  <si>
    <t>좋은 아이디어로서 전현장 적용 검토 가능함(업체별 재무상태, 라이센스 無)</t>
  </si>
  <si>
    <t>CO/I-PI-CE-61</t>
  </si>
  <si>
    <t>보증보험 및 지급보증서등의 협력사 연간단가 체결</t>
  </si>
  <si>
    <t>보증보험사 중 최저단가 가입가능한 지점 또는 보증보험사 선정하여 가입(협력사 포함)</t>
  </si>
  <si>
    <t>수주지원팀 검토 결과. 당사 연대보증이 필요한 사안. 안하는게 맞음</t>
  </si>
  <si>
    <t>CO/D-A/F-CE-84</t>
  </si>
  <si>
    <t>공동주택 지붕, 옥탑 바닥 마감 Process 개선</t>
  </si>
  <si>
    <t>아스팔트시트 복합방수+무근콘크리트 &gt; 노출 우레탄3T+잔디 or 폴리우레아3T+Top coating</t>
  </si>
  <si>
    <t>12차 과제승인위 상정완료 되었으나, 아이디어 제안서 접수 누락으로 25년 3분기 5만원 지급 대상(채택 10만원 기지급_구경모 과장 사전안내 완료)</t>
  </si>
  <si>
    <t>CO/Z-PI-SNA-57</t>
  </si>
  <si>
    <t>탕비실 텀블러 세척기 설치, 종이컵 지양</t>
  </si>
  <si>
    <t>탕비실마다 텀블러 세척기 설치, 개인컵 사용 유도
종이컵 구매 점진적 줄이기</t>
  </si>
  <si>
    <t>중복아이디어(743, 855, 911, 1319, 1370)</t>
  </si>
  <si>
    <t>CO/D-A/S-CE-91</t>
  </si>
  <si>
    <t>2102468</t>
  </si>
  <si>
    <t>이도선</t>
  </si>
  <si>
    <t>수서역 대체주차장 연결통로 시공 변경으로 절감</t>
  </si>
  <si>
    <t xml:space="preserve">1.	개선 전
-	가설브릿지 3개의 철근콘크리트 기초 시공 수 상부에 철골 구조물인 브릿지 및 캐노피 시공
2.	개선 후
-	경사면에 자중식 옹벽으로 시공하여, 철근콘크리트 기초 및 철골 구조물인 가설 브릿지를 삭제 후 지붕 캐노피 시공.
</t>
  </si>
  <si>
    <t>현장 TOP_Day VE로 반영</t>
  </si>
  <si>
    <t>EN/E-E-CE-65</t>
  </si>
  <si>
    <t>셔틀호기 승강기 전원 분전반 삭제</t>
  </si>
  <si>
    <t>- 승강기용 전용 전원 분전반은 공용분전반에서 차단기 분기되어 전원공급되는 방식으로 공용분전반에 승강기 전원 표시를 하면 승강기 검사에 문제 없음.(단, 공용분전반이 승강기 제어반과 인근에 있을 것)</t>
  </si>
  <si>
    <t>CO/D-A/S-CE-92</t>
  </si>
  <si>
    <t>폭염대비 갱폼일체형 차광막 적용</t>
  </si>
  <si>
    <t xml:space="preserve">개선전)
① 휴게시간에 하부층으로 내려가거나 필요시 상부에 임시 차광막
설치 -&gt; 하부층은 동바리로 인해 공간 부족하고 임시 차광막은
매번 설치해체 번거로움.
(개선후)
① 어닝시스템을 이용한 갱폼일체형 차광막 설치 
② 필요시 어닝 손잡이를 이용해 펼치고 강풍시 접기 가능
③ 갱폼에 어닝용 포스트를 용접(또는 볼팅)하여 일체화하여
   갱폼인양시 차광막 동시 인양가능
④ 안전관리비 처리 가능
</t>
  </si>
  <si>
    <t>CO/I-PI-CE-62</t>
  </si>
  <si>
    <t>민원접견실 컨테이너 실행 반영 제안 건</t>
  </si>
  <si>
    <t xml:space="preserve">개선 前
사무실 內 소장실, 회의실, 안전교육장에서 민원인 응대
개선 後
GATE 주변 1차 경비원이 민원인 대응하여 접견실로 유도 → 사무실 연락
담당자 민원 접견실에서 민원인 응대. (냉/난방기, 비품류, 음료 등 준비)
</t>
  </si>
  <si>
    <t>추가원가 투입 대비, 필요성 의문. 활용도가 높지 않고(어짜피 사무실로 쳐들어옴) 관리 어려움. 비용대비 효율성에서 기대치에 못 미칠것 같다는 의견. 현장바이현장으로 필요시, 가능.</t>
  </si>
  <si>
    <t>CO/D-TF-CE-26</t>
  </si>
  <si>
    <t>본공사 오피스 동측 휀스 선시공을 통한 비용 절감안</t>
  </si>
  <si>
    <t>본공사 오피스 동측 휀스를 선시공하고, 대체주차장 서측 휀스를 오피스 착공전까지 존치시켜서 해당구간의 마감(줄떼심기 및 난간대 시공)을 생략.</t>
  </si>
  <si>
    <t>D/PM-PI-CE-94</t>
  </si>
  <si>
    <t>인허가 DB 구축을 활용한 향후 PJ 일정&amp;원가 전략적 관리 수립</t>
  </si>
  <si>
    <t xml:space="preserve">구축된 인허가 DB를 사업 유형 별 카테고리를 나누고 DB 항목을 일정관리, 원가관리, 네트워크 관리, 최적 프로세스 등 세분화. 
또한, 인허가(각종영향평가 등) 별 세부 일정 단축 매뉴얼 제작
(사전협의 전략, 동시진행 가능한 행정절차 병행, 지자체별 원스탑 창구 활용, 민원 관리 전략, 유관부서 소통 노하우 등)
</t>
  </si>
  <si>
    <t>(제안 인정, 과제화 미채택) 
인허가 노하우를 DB화 및 공유하여 역량 제고 방안
해당 팀에서 ECDA 등에 파일 공유 및 자체 교육으로 진행 예정</t>
  </si>
  <si>
    <t>CO/I-PI-SNA-2</t>
  </si>
  <si>
    <t>현장내 자판기 설치</t>
  </si>
  <si>
    <t xml:space="preserve">1.	현장 사무실 또는 휴게시설 내부에 유료 음료 자판기 설치
2.	음료를 저렴한 가격 수준에 제공 하여 외부 출입 없이 간편 구매 가능하도록 함.
3.	자판기 운영은 외부 위탁업체와 계약을 통해 설치 관리
4.	근로자 및 관리자 모두 동일 이용 가능하게 함으로 복지 형평성 확보
</t>
  </si>
  <si>
    <t>- 원도급사가 근로자 대상으로 수익사업을 하는 이미지
  생성 우려
- 인근지역 상권 침해로 인한 민원 발생 우려</t>
  </si>
  <si>
    <t>EN/E-E-CE-66</t>
  </si>
  <si>
    <t>단위세대 TV unit 수량조절의 건</t>
  </si>
  <si>
    <t xml:space="preserve">1. TV unit 수구 최적화
(당초) 세대내 통신 및 TV 구성도	(변경) 세대내 통신 및 TV 구성도
변경전
거실 : 2구+TV(2set), 침실1 : 1구+TV(2set)
침실2,3 : 1구(2set),TV(1set), 주방 : 2구
 	변경후
거실 : 2구(2set)TV(1set), 침실1 : 1구(2set)+TV(1set)
침실2,3 : 1구(2set),TV(삭제), 주방 : 2구
</t>
  </si>
  <si>
    <t>CO/I-PI-CE-63</t>
  </si>
  <si>
    <t>감리 초과근무용역비 절감</t>
  </si>
  <si>
    <t xml:space="preserve">감리용역계약금 외에 초과근무용역비 OT 수당 지급 대신 대체휴가제도 활용으로 원가절감 도모 </t>
  </si>
  <si>
    <t>(제안 인정, 과제화 미채택) 현장 여건에 따라 진행
광주운암 현장 사례 (감리 야근수당 지급 계약 체결했으나, 대체휴무 선호도 투표 실시 등으로 야근수당 미지급방안 감리단 설득) 미추8, 상인천 등 현장에 공유하여 감리단과 협의 시도 예정</t>
  </si>
  <si>
    <t>CO/I-PI-CE-64</t>
  </si>
  <si>
    <t>2302804</t>
  </si>
  <si>
    <t>박두솔지</t>
  </si>
  <si>
    <t>품질 의뢰시험비 절감</t>
  </si>
  <si>
    <t xml:space="preserve">※	동일한 목적으로 사용되는 제품을 협력업체의 선택으로 인해
납품업체가 달라짐에 따라 추가적으로 발생되는 시험비가 발생.
(법적기준의 시험빈도: 제품규격마다, 공급자마다)
(1회 시험시 예상 비용: 규격 갯수에 따라서 약 500 ~1,000만원 미만 예상)
※	사용하는 공정이 다르더라도 업체 계약시 본사가 지정한 업체의 
제품으로 필요한 공정에 동일한 제품을 사용하여 시스템 비계의 추가 시험비용의 발생 사전차단 하여 외부의뢰시험 비용절감 효과.
</t>
  </si>
  <si>
    <t>가설에 문제 생길시, 책임소재 불명확</t>
  </si>
  <si>
    <t>EN/M-M-CE-53</t>
  </si>
  <si>
    <t>세대 공용부 계량기함 동파방지용 열선(따순이) 수량 조정</t>
  </si>
  <si>
    <t xml:space="preserve">전층 설치에서 외부와 접하는 최하층 및 최상층 세대를 
제외한 나머지 층은 계량기함 내부 동파방지용 열선 삭제
(최종설계도서에는 반영하였음)
</t>
  </si>
  <si>
    <t>EN/S-A/F-CE-5</t>
  </si>
  <si>
    <t>지하주차장 2대 모듈</t>
  </si>
  <si>
    <t>개선전 : 1모듈(8.1m x 8.0m) 3대(일반2+확장1)
개선후 : 1모듈(5.6m x 8.1m) 2대(일반1+확장1)</t>
  </si>
  <si>
    <t>아이디어 인정, 과제 미채택
DL이엔씨 기준이며, 해당 모듈은 무량판(플렛플레이트) 방식으로 계획할 경우 경제성이 확보되나, 당사는 무량판 적용을 하지 않는 것으로 의사결정 함</t>
  </si>
  <si>
    <t>CO/Z-PI-CE-96</t>
  </si>
  <si>
    <t>현장사무실 CCTV 및 보안업체 연간단가적용건</t>
  </si>
  <si>
    <t xml:space="preserve">변경전 : 현장 품의후 업체 선정
변경후 : 연간단가 업체 </t>
  </si>
  <si>
    <t>6, 중복
(158)</t>
  </si>
  <si>
    <t>CO/D-A/F-SNA-1</t>
  </si>
  <si>
    <t>가설계단 난간대 설치 횟수 조정건</t>
  </si>
  <si>
    <t xml:space="preserve">변경 전 : 최초 안전 1회 설치, 해체 이후 
가설 계단난간대 설치
변경 후 : 최초 안전 1회 설치
(골조진행 전 계단난간대 조기계약, 가설안전난간대 자재 현장에 지급하여 안전시설업체에서 설치)
</t>
  </si>
  <si>
    <t>중복 아이디어(425번)</t>
  </si>
  <si>
    <t>CO/D-PI-SNA-1</t>
  </si>
  <si>
    <t>우기철 가시설 기준 및 연간단가 적용건</t>
  </si>
  <si>
    <t xml:space="preserve">변경 전 : 현장도면작성 +수량산출(펌프, 배관, 침사지 등)
변경 후 : 본사 기준에 의한 도면작성하여 세부수량 실행편성,
 해당 품목 연간단가 적용
</t>
  </si>
  <si>
    <t>현장여건 고려하여 설치해야 되는거 아닌가?</t>
  </si>
  <si>
    <t>EN/E-A/F-SNA-1</t>
  </si>
  <si>
    <t>ELEV기계실 벽, 천정 마감삭제건</t>
  </si>
  <si>
    <t>변경전 : 도장 마감
변경후 : 골조 면처리(핀제거 후 땜방)</t>
  </si>
  <si>
    <t>타사 적용 확대 중(GS, DL 등)</t>
  </si>
  <si>
    <t>EN/EX-A/F-CE-24</t>
  </si>
  <si>
    <t>주차구간 카스토퍼 수량조정건</t>
  </si>
  <si>
    <t>변경 전 : 주차 카스토퍼 2개
변경 후 : 주차 카스토퍼 1개</t>
  </si>
  <si>
    <t>기준 2개 설치 운용중이나, 현장 별 일부 선 적용 중 (대전월평, 부산당리2)
1개로 설치하고 고정앵커 누수 방지 개선 방안 접목하여 검토 예정</t>
  </si>
  <si>
    <t>CO/D-A/F-CE-85</t>
  </si>
  <si>
    <t>지상층 아스콘 기층 변경건</t>
  </si>
  <si>
    <t>변경전 : 아스콘(기층, T=100)+아스콘(표층, T=50)
변경후 : 콘크리트(기층, T=100)+와이어매쉬+아스콘(표층, T=50)</t>
  </si>
  <si>
    <t>아이디어 인정, 과제 미채택
본 공사 중 先 기층 타설로 환경 및 안전이슈 해결하고자 하는 부분이나, 콘크리트 10cm타설로 각종 크레인, 화물차 등이 이동 시 포장파손이 일어날 개연성이 클수 밖에 없는 실정이므로 포장파손 후 재 포장 비용 등을 고려하여 검토 시 원가상승이 불가피하다고 판단됩니다.
일반적인 20cm 콘크리트 포장도 공사용 차량이 빈번히 이동하는 구간은 적재하중을 초과하여 포장 파손이 빈번하여 재포장 사례가 많은 실정입니다</t>
  </si>
  <si>
    <t>CO/I-PI-SNA-3</t>
  </si>
  <si>
    <t>품질시험 연간단가 적용건</t>
  </si>
  <si>
    <t xml:space="preserve">변경전 : 현장품의후 비용집행
변경후 : 연간단가 시행 </t>
  </si>
  <si>
    <t>기 수행 과제</t>
  </si>
  <si>
    <t>CO/I-PI-SNA-4</t>
  </si>
  <si>
    <t>한화다움</t>
  </si>
  <si>
    <t>- 각 부서가 보유한 기준을 분개하여 현장에서 공정별로 접근할
                                                                                                                                                                                                                                                                수 있는 시스템 + 실제 적용 후 피드백 전달 시스템 구축
                                                                                                                                                                                                                                                                (첨부 파일(PPT) 참조 바랍니다)</t>
  </si>
  <si>
    <t>당장 모든걸 수행하기에는 어려움. DT팀에 아이디어 전달</t>
  </si>
  <si>
    <t>CO/I-PI-SNA-5</t>
  </si>
  <si>
    <t>폭염 시 단축근무 공종 관리자 및 협력업체 유연근무제 도입 제안 건</t>
  </si>
  <si>
    <t>○ 폭염 시 조기 출근형 유연 근무제 도입 제안
  ⇒ 해당 공종 조기 출근/퇴근 및 오전 집중 근무 도입</t>
  </si>
  <si>
    <t>당사와 협력사는 하도급 게약관계로 당사가 하도급사 인력의 근무시간을 조정시, 직접고용처럼 보여 이슈가 있을수 있음</t>
  </si>
  <si>
    <t>CO/D-PI-CE-65</t>
  </si>
  <si>
    <t>시스템동바리 실행편성 기준 현실화</t>
  </si>
  <si>
    <t xml:space="preserve">1.	시스템 동바리 내역을 보하부 / 슬래브하부를 구분하여 산정
(현장별 상이함)
2.	산업안전보건기준등의 기준에 따라 보하부 수량산출 및 실행편성
(강관동바리도 동일 기준 적용)
</t>
  </si>
  <si>
    <t>단순 견적기준 변경의 건</t>
  </si>
  <si>
    <t>CO/D-A/S-CE-93</t>
  </si>
  <si>
    <t>SRC 현장의 내화뿜칠 시공구간 철골보 방청도장 삭제</t>
  </si>
  <si>
    <t>철골 노출기간이 짧은 빔/거더의 경우 방청도장 미시공으로
원가절감 도모(설계도서 및 시방서 반영)</t>
  </si>
  <si>
    <t>아이디어 불인정
중복아이디어(247, 667)이며, 2011년 기술공지된 내용
제안서 기준 서울역 현장특성에 따라 7.7억 절감(추정)</t>
  </si>
  <si>
    <t>EN/E-E-CE-67</t>
  </si>
  <si>
    <t>매연저감장치 탑재형 발전기 선정을 통한 시공성개선 및 원가절감</t>
  </si>
  <si>
    <t xml:space="preserve">매연저감장치 탑재형 발전기 선정을 통한 매연저감장치 삭제
1.일부기종의 경우 EU Stage,EPA Tier등급 기본 적용(MTU,Perkins)
2.EU Stage 또는 EPA Tier 등급 기본 적용 발전기로 실행 반영 및 발주
3.현 집행실행 금액으로 매연저감장치 탑재형 집행가능(매연저감장치 삭제가능)
 (EU Stage:유럽 비도로용배출가스기준,EPA Tier:미국환경청기준) </t>
  </si>
  <si>
    <t>CO/Z-PI-CE-97</t>
  </si>
  <si>
    <t>2401125</t>
  </si>
  <si>
    <t>창원 IDC 개발사업 현장</t>
  </si>
  <si>
    <t>최현선</t>
  </si>
  <si>
    <t>법인카드 경비전표 계정추가</t>
  </si>
  <si>
    <t xml:space="preserve">• [잡자재]계정 추가가 되면 좀더 온라인 플랫폼을 이용해 구매할 수 있을 뿐더러 
오프라인보다 저렴해서 활용도가 좋아 원가절감에 도움이 되고 현장에서 제대로 계정입력을 해주면 회계팀 업무 효율성을 높일것이라 생각됨
</t>
  </si>
  <si>
    <t>고민해볼만한 문제였으나 해결함. 소모품 써도 문제없음</t>
  </si>
  <si>
    <t>퇴직자</t>
  </si>
  <si>
    <t>EN/EX-PI-EXP-1</t>
  </si>
  <si>
    <t xml:space="preserve">법정 기준 기반 자전거시설 내부 전환으로 보관소 제작비용 절감 및 
지상 내 생태면적 확보를 통한 옥상조경 최소화 전략 </t>
  </si>
  <si>
    <t xml:space="preserve">○ 외부 자전거보관소 구조물 설치로 고비용 발생
  ⇒ 거치대를 법정 기준 105~110%로 조정하여 피로티 하부 설치
○ 생태면적 부족으로 옥상조경 시공 필요(서울/수도권)
  ⇒ 외부 설치 면적을 지상 녹지로 전환 필요 생태면적 대체
○ 구조물 미설치 + 옥상조경 축소 + 하자/유지관리RISK 감소
  ⇒ ‘다중 원가절감 구조’ 실현
</t>
  </si>
  <si>
    <t>기 시행사항(407번 아이디어_김재욱 차장)
자전거보관소 필로티 내부 설치 확대로 옥외 철재 구조물 축소 제안 건
통상 재건축/재개발의 경우 필로티 크기 협소하여 자전거보관소 옥외화
(3베이 단위세대 적용 경우에 필로티 크기 매우 협소)</t>
  </si>
  <si>
    <t>CO/Z-PI-SNA-58</t>
  </si>
  <si>
    <t>전자결재시간 단축 방안</t>
  </si>
  <si>
    <t xml:space="preserve">• 매주(or매달) 정기적으로 결재소요시간 개인별 취합 및 통보
- 서클 및 UF 결재시간 취합, 결재자(長급이상)에게 건별 결재시간 등 통보
- 향후 개인별, 본부별 결재소요시간 취합, 소요시간 비교. 원인분석 가능
</t>
  </si>
  <si>
    <t>DT 건의</t>
  </si>
  <si>
    <t>CO/Z-PI-SNA-59</t>
  </si>
  <si>
    <t>문구류 나눔부스 운영</t>
  </si>
  <si>
    <t xml:space="preserve">• 나눔부스 설치 및 운영안
- 본사: 작은도서관 앞 부스설치, 잉여문구, 퇴사자문구류(볼펜, 메모지, 테이프 등) 기부
- 현장: 잉여공간 활용 부스설치
</t>
  </si>
  <si>
    <t>유사건의 있음. 사무실 내 자리 문제. 관리문제로 팀내에서 자율 운영하면 됨</t>
  </si>
  <si>
    <t>D/PM-PI-SNA-1</t>
  </si>
  <si>
    <t>기업 내부망 AI 플랫폼 통합 구독</t>
  </si>
  <si>
    <t>(제안 인정, 과제화 미채택) DT팀에서 검토 예정</t>
  </si>
  <si>
    <t>D/PM-PI-SNA-2</t>
  </si>
  <si>
    <t>사업비 관리방안 개선</t>
  </si>
  <si>
    <t xml:space="preserve">사업추진비, 입주관리비 예산 편성기준(적용요율 등) 개선
및 집행 관리시스템 체계화 </t>
  </si>
  <si>
    <t>제13차 과제승인위원회 상정 완료</t>
  </si>
  <si>
    <t>EN/I-A/F-CE-87</t>
  </si>
  <si>
    <t>아파트 냉장고 틈새의 재발견</t>
  </si>
  <si>
    <t>고정되어 있는 냉장고 설치 구역에 교자상 등을 넣을수 있는 틈새(구역)제안</t>
  </si>
  <si>
    <t>냉장고장 틈새에 넣을 수 있는 제사상을 별도로 특화 제작</t>
  </si>
  <si>
    <t>CO/D-A/F-CE-86</t>
  </si>
  <si>
    <t>도급내역 작성 시 선행공종 공사비 요율 조정을 통한 CASH-FLOW 개선</t>
  </si>
  <si>
    <t>도급기성 수령 시 자금 수지 개선을 위하여 선행공종(토목, 골조)의 단가 및 공종 공사비 요율을 높게 책정하여 초기 수금 금액 향상</t>
  </si>
  <si>
    <t>특정 현장에 국한되며, 빠꼼한 CM 및 발주처한테는 먹히지 않음
(인프라 친구들 확인 要)</t>
  </si>
  <si>
    <t>CO/Z-ID/Z-SNA-2</t>
  </si>
  <si>
    <t>배우자부모 회갑 경조금 신청시 증빙(혼인관계증명원)추가</t>
  </si>
  <si>
    <t>배우자 부모 회갑의 경우, 혼인관계증명서을 추가하여 혼인일 이후 경조사 발생 시 경조금을 지급하도록 제안
(혼인 전 발생한 가족의 경조사는 혼인 후 신청하려고 하면 기한 넘길 수 있음)</t>
  </si>
  <si>
    <t>현장지원팀 내용 전달함</t>
  </si>
  <si>
    <t>EN/S-A/S-CE-64</t>
  </si>
  <si>
    <t>GFRP 슬래브 및 벽체 개구부 경사재 적용</t>
  </si>
  <si>
    <t xml:space="preserve"> 개구부 사선보강근 철근에서 GFRP로 변경</t>
  </si>
  <si>
    <t>아이디어 불인정
중복아이디어(36) 이며, 당사 창호 모서리 사선보강은 없음, 현장 판단에 따라 필요시 응력분산 곡면판 활용 병행</t>
  </si>
  <si>
    <t>EN/S-A/S-CE-65</t>
  </si>
  <si>
    <t>역타현장 띠장 굴착단면별 철골 세분화 계획</t>
  </si>
  <si>
    <t>실시설계 단계에서 단면별 토압 산정하여 띠장 사이즈 세분화를 
하여 원가 절감</t>
  </si>
  <si>
    <t>아이디어 인정, 과제 미채택
탑다운 현장에 적용할 수 있는 아이디어, 서울역 수서역 등 프로젝트 담당자에게 의견전달하고 TDC 포함 예정</t>
  </si>
  <si>
    <t>EN/S-A/S-CE-66</t>
  </si>
  <si>
    <t>필로티 피난경로 구간 상부 인방보 보강을 통한 비구조벽체 삭제</t>
  </si>
  <si>
    <t>아이디어 인정, 과제 미채택
설계사 협업여부에 따른 변수가 크며, 이전부터 적용 해오던 설계방식으로 과제화 불필요</t>
  </si>
  <si>
    <t>EN/S-A/S-CE-67</t>
  </si>
  <si>
    <t>데이터센터 알폼 전용을 위한 기둥단면 규격화</t>
  </si>
  <si>
    <t>데이터센터 기둥 단면 표준화로 알폼 전용율 유지 및 시공성 개선</t>
  </si>
  <si>
    <t>아이디어 인정, 과제 미채택
기둥의 폼규격 종류를 최소화하는 것으로 직접적으로 당사에 이익으로 실현하기 난해하다고 판단됨(시공관리 측면에서는 충분히 필요하다고 판단됨)</t>
  </si>
  <si>
    <t>EN/S-A/S-CE-68</t>
  </si>
  <si>
    <t>2401616</t>
  </si>
  <si>
    <t>이재영</t>
  </si>
  <si>
    <t xml:space="preserve"> RC기둥 내부띠철근 최적형상 적용</t>
  </si>
  <si>
    <t>구조 기여도 낮은 띠철근은 최적화하여 물량과다 방지 및 시공성 
향상</t>
  </si>
  <si>
    <t>아이디어 인정, 과제 미채택
유형적인 효과는 일부 있을 수 있으나, 대각선 철근 시공 및 품질에 대한 이슈 발생 될 수 있음</t>
  </si>
  <si>
    <t>CO/I-ID/Z-CE-2</t>
  </si>
  <si>
    <t>건설근로자 퇴직공제부금 하도급 납부 전환</t>
  </si>
  <si>
    <t xml:space="preserve"> 10억 이상 하도급공사 퇴직공제부금 하수급인 납부 전환을 통한 원가절감 및 과오납 방지</t>
  </si>
  <si>
    <t>과제화. 일전에 아이디어 제안이 있으나 아이디어 추진이유가 일부 다르며 현황 파악 수준이 높음</t>
  </si>
  <si>
    <t>EN/S-A/S-CE-69</t>
  </si>
  <si>
    <t>2403216</t>
  </si>
  <si>
    <t>안병찬</t>
  </si>
  <si>
    <t>공동주택 세대 내부 일자 벽체 단부 U-bar 삭제</t>
  </si>
  <si>
    <t>수평철근 U형 보강근을 구조적 필요 구간만 적용하여 공사비 절감 및 시공성 개선</t>
  </si>
  <si>
    <t>아이디어 인정, 과제 미채택
유형적인 효과가 공동주택 철근량 최적화 과제에 귀속되므로 아이디어만 인정</t>
  </si>
  <si>
    <t>EN/S-A/S-CE-70</t>
  </si>
  <si>
    <t>램프슬라브철근 램프월거더 존재 시 표준갈고리 미적용</t>
  </si>
  <si>
    <t>램프슬라브 철근이 램프벽체 정착시, 월거더 존재에 의해 정착길이 확보 가능한데도 표준갈고리 습관적 적용 방지</t>
  </si>
  <si>
    <t>아이디어 인정, 과제 미채택
철근샵 표준안에 내용추가하여 현장적용성 확대 예정</t>
  </si>
  <si>
    <t>EN/E-E-CE-68</t>
  </si>
  <si>
    <t>가설 등기구 타이머 설치운영 件</t>
  </si>
  <si>
    <t>작업종료 후 가설 등기구 메인 분전반 타이머 설치로 일정시간 이후 전원 OFF를 통한 전기세 절약</t>
  </si>
  <si>
    <t>중복아이디어(609번)</t>
  </si>
  <si>
    <t>EN/E-E-CE-69</t>
  </si>
  <si>
    <t>45, 59Type 단위세대 주방 조리대용 콘
센트 삭제</t>
  </si>
  <si>
    <t>45, 59Type 단위세대 조리대용 콘센트 설치위치 부적합에 따른 콘센트 삭제</t>
  </si>
  <si>
    <t>EN/S-A/S-CE-71</t>
  </si>
  <si>
    <t>지하층 단차구간 경계벽 접합부 철근정착길이 검토를 통한 원가절감</t>
  </si>
  <si>
    <t>지하 단차구간 설계된 기초 경계벽 접합부 하부근 갈고리 삭제하여 원가절감</t>
  </si>
  <si>
    <t>CO/Z-PI-CE-98</t>
  </si>
  <si>
    <t>안면인식 출입통제시스템 적용을 통한 근로공제 전자카드 단말기 비용 절감 및 노무비닷컴 연계 활용성 강화</t>
  </si>
  <si>
    <t>게이트 계약 시 단말기 설치 포함으로 추가 임대료 제거, 게이트 출입정보와 노무비닷컴 연동으로 실근무자 확인</t>
  </si>
  <si>
    <t>출입관리+@의 내용으로 제안은 인정
(안환실 의견)안면인식기를 체크한 근로자의 인적정보가 공제회로부터 수신되어야 턴게이트가 열리는 시스템 구조로 출입관리시스템이 구성되어 있음.
공제회로부터 수신되는 인적정보가 일 2회로 한정되어 있어
별도 단말기를 운영해야만 하는 한계점을 설명받음.(공제회 등록되어있지 않는 인원용)
(출입관리시스템의 문제가 아닌 공제회 정보 송신 체계의 한계이므로,
공제회의 노력과 개선이 진행된 시점 이후에 본 안건을 검토해볼 수 있음)</t>
  </si>
  <si>
    <t>EN/I-A/F-CE-88</t>
  </si>
  <si>
    <t>욕실 벽체 방수 변경 제안</t>
  </si>
  <si>
    <t>욕실 벽체 방수 상부 초벌 미장(석고)을 액체방수로 변경</t>
  </si>
  <si>
    <t>(박재연 팀장님 아이디어와 통합 과제화 추진 예정)
H 1800 초과부위 초벌미장 대신 액체방수 연장 확대 제안
(욕실에서 침실 석고보드로의 습기 유입으로 곰팡이 발생 억제 건)</t>
  </si>
  <si>
    <t>EN/I-A/F-CE-89</t>
  </si>
  <si>
    <t>외부창호 형상 검토 및 변경에 의한 절감안</t>
  </si>
  <si>
    <t>이중 중연창에서 미서기창으로 변경을 통한 개선</t>
  </si>
  <si>
    <t>해당 현장 특수사항-&gt;현장TOP 사항
어린이집, 경로당 분합창-&gt;일반이중창 변경 제안 사항</t>
  </si>
  <si>
    <t>EN/E-E-CE-70</t>
  </si>
  <si>
    <t>도급변경을 통한 공사비 절감</t>
  </si>
  <si>
    <t>화물용 승강기 출입구 바닥마감 설계변경을 통한 원가절감</t>
  </si>
  <si>
    <t>EN/I-A/F-CE-90</t>
  </si>
  <si>
    <t>내화구간, 화장실, 지하층 방습벽 AT블럭 적용</t>
  </si>
  <si>
    <t>세대 및 지하층 내화구간, 방습벽 AT블럭 적용</t>
  </si>
  <si>
    <t>공기 단축(습식-&gt;건식)의 절감 제안 건
검토 후 과제화 추진 예정</t>
  </si>
  <si>
    <t>CO/D-A/F-CE-87</t>
  </si>
  <si>
    <t>드라이 몰탈을 물에 녹는 PVA 필름에 포장해 물만 부어 시공하는 조적용 몰탈 개발 및 공동특허 추진.</t>
  </si>
  <si>
    <t>비닐에 포장된 몰탈 주머니에 물만 부어서 시공 (별도 배합과정 X)
생각보다 정밀시공... 물을 하나하나 부어주어야 함
그리고 배합은 없더라도 조적 쌓는 시간은 더 걸릴 것 같음</t>
  </si>
  <si>
    <t>CO/D-A/S-CE-94</t>
  </si>
  <si>
    <t>공동주택 호이스트 코어 설치</t>
  </si>
  <si>
    <t>공용주택 공용부 코어 호이스트 설치(PJ창 이용)</t>
  </si>
  <si>
    <t>중복 아이디어(238번), 원가관리 측면 vs 현장관리 측면</t>
  </si>
  <si>
    <t>EN/EX-A/F-CE-25</t>
  </si>
  <si>
    <t>공동주택 지하 주차장 걸래받이 삭제 및 유틸리티실 벽체 도장 및 천장 뿜칠 삭제</t>
  </si>
  <si>
    <t>일부 타사 사례 있으나, 현장 의견 취합 결과 다소 과다하다는 의견</t>
  </si>
  <si>
    <t>CO/D-A/F-CE-88</t>
  </si>
  <si>
    <t>공동주택 외벽 누수 하자 예방을 위한 층간조인트 시공 개선</t>
  </si>
  <si>
    <t>갱폼 인상 후 외벽 골조 손보기 시 층간조인트 V-Cutting하여 방수페인트 시공 공정 삭제</t>
  </si>
  <si>
    <t>1480번 아이디어와 연계</t>
  </si>
  <si>
    <t>EN/S-C-CE-25</t>
  </si>
  <si>
    <t>T/D현장 R/B를 활용한 역Raker 삭제</t>
  </si>
  <si>
    <t>역타현장 5m 이상 구간에 대해 굴착 중 역Raker 배치 대신하여 R/B 2~3단 배치</t>
  </si>
  <si>
    <t>아이디어 불인정
해당업무는 아이디어 제안자 고유업무 활동에서 적용 가능함</t>
  </si>
  <si>
    <t>PR/C-ID/Z-CE-1</t>
  </si>
  <si>
    <t>가설기자재 품질시험(외부의뢰) 연간단가 적용</t>
  </si>
  <si>
    <t>가설기자재 품질시험 연간단가 적용을 통한 원가절감</t>
  </si>
  <si>
    <t>824번 아이디어와 중복(950번과 중복제출로 판단 됨)</t>
  </si>
  <si>
    <t>CO/Z-ID/Z-BE-2</t>
  </si>
  <si>
    <t>HI-Note 활용 모바일 기반의 현장 서류 작성 및 승인 시스템 구축</t>
  </si>
  <si>
    <t>대체 시스템 개발때 검토 해볼만함. DT팀 건의. 모바일 이용은 좋으나 결재 및 문서작성 플랫폼이 여기저기 흩어지는건 오히려 효율을 떨어뜨릴수 있음</t>
  </si>
  <si>
    <t>CO/Z-ID/Z-BE-3</t>
  </si>
  <si>
    <t>건설용리프트 해체시 안전관리감독 비용 절감</t>
  </si>
  <si>
    <t>건설용리프트 해체 시 1일만 투입하여 외주비 절감</t>
  </si>
  <si>
    <t>(안환실 검토)  現 정부 정책 사항인 고용부 산업안전감독 강화 및 건설안전특별법(예정)에 따라 건설안전사고에 대한 지대한 관심을 가지고 있으므로 기존 안전관리감독업체를 5일에서 1일로 출일경우 Risk가 발생할 수 있다고 판담됨
- 추후 해당사항을 진행하기 위해서 현장 안전관리자에 건설용 리프트 설치/해체 감독시 중점 관리사항에 대한 교육을 통해 역량을 높인 이후 단계별 진행이 필요하다고 사료됨</t>
  </si>
  <si>
    <t>CO/Z-ID/Z-BE-4</t>
  </si>
  <si>
    <t>프로젝트 재무 계획/실적 시스템 구축</t>
  </si>
  <si>
    <t>전체 현장별로 수작업(Excel)로 진행되던 재무총괄을 Excel이 아닌 시스템화하여 DB화 하고 계획값을  SAP모듈과 연동</t>
  </si>
  <si>
    <t>과제화 안하기로 함</t>
  </si>
  <si>
    <t>EN/M-M-CE-54</t>
  </si>
  <si>
    <t>집수정 배수펌프 배관 가설(임시)사용 방안</t>
  </si>
  <si>
    <t>기계설비 배관 작업완료 시점부터 펌핑배관 사용</t>
  </si>
  <si>
    <t>본공사 배관 설치완료후 가설배수펌프 배관 철거를 빨리 하기 위한 목적임
사용기간이 너무 짧고 현장마다 상황이 틀려 과제화 하기는 부적합</t>
  </si>
  <si>
    <t>PR/P-PI-SNA-1</t>
  </si>
  <si>
    <t>오픈마켓 및 결제대행 부가세 공제 추진</t>
  </si>
  <si>
    <t>PG사 API 연동 및 오픈마켓 결제 시 부가세 공제 누락 방지</t>
  </si>
  <si>
    <t>과제화 추진</t>
  </si>
  <si>
    <t>CO/Z-Z-CE-1</t>
  </si>
  <si>
    <t>0500562</t>
  </si>
  <si>
    <t>최성중</t>
  </si>
  <si>
    <t>폐기물처리업체 선정 프로세스 개선을 통한 원가절감 및 편의성 증대</t>
  </si>
  <si>
    <t>전자입찰로 성상별 기준단가 정하고, 복수업체 운영하여 단가 경쟁력 확보</t>
  </si>
  <si>
    <t>과제화 여부 논의 필요</t>
  </si>
  <si>
    <t>EN/I-Z-CE-4</t>
  </si>
  <si>
    <t>0703066</t>
  </si>
  <si>
    <t>김종민</t>
  </si>
  <si>
    <t>MH 건립시 세대 내 설비 추가 적용 件</t>
  </si>
  <si>
    <t>가설 MH에 주요 설비 설치가 없어, 피난사다리, 감지기류 설비 세팅을 통한 품평회 대비 및 하자 先 발견</t>
  </si>
  <si>
    <t>각종 배관, 배수구, 하향식피난구 등 MH 설치 제안
남들이 다 안 하는 이유가 있음(법적 강제 사항도 아님)
(샘플 자재 수급 지연 빈번, 제조사 미확정에 따른 민원요소 증가 등)</t>
  </si>
  <si>
    <t>EN/I-A/F-CE-91</t>
  </si>
  <si>
    <t>단위세대 욕실 세면대 하부장 유상옵션 제안 件</t>
  </si>
  <si>
    <t>공동주택 유상옵션 확대에 따른 이익 증대</t>
  </si>
  <si>
    <t>정말 단순한 제안
그리고 이미 반려견 세면대 옵션화 적용 완료로 이미 하부장 옵션에 포함됨</t>
  </si>
  <si>
    <t>CO/Z-YY-CE-14</t>
  </si>
  <si>
    <t>현장 사무실 및 숙소 소모품 구매</t>
  </si>
  <si>
    <t>현장 필요 용품 매달 일정 금액 한도 및 가능 품목 설정을 통한 소모품 예산관리</t>
  </si>
  <si>
    <t>유사 아이디어</t>
  </si>
  <si>
    <t>EN/I-A/F-CE-92</t>
  </si>
  <si>
    <t>2203412</t>
  </si>
  <si>
    <t>권재욱</t>
  </si>
  <si>
    <t>단위세대 PL창호(분합, 터닝도어) 골조방수턱 후시공</t>
  </si>
  <si>
    <t>골조방수턱 정밀 시공 어려움으로 후시공 제안</t>
  </si>
  <si>
    <t>현장TOP 사항(다만, 후시공에 대한 해당 현장 의견 확인 후)
(향후 다용도실 단열구간 포함 설계 표준화로 해당 이슈 삭제 예정)</t>
  </si>
  <si>
    <t>EN/I-A/F-CE-93</t>
  </si>
  <si>
    <t>점검구류 출입문 사양변경_도어 클로저 삭제</t>
  </si>
  <si>
    <t>점검구 출입문(도어클로저) 사양 변경</t>
  </si>
  <si>
    <t>해당 현장 도서 특수성 -&gt; 현장TOP 사항
(기준층 PD 등 점검구 FSD 적용(소방성능설계)하면서 도어클로저 내역 포함)</t>
  </si>
  <si>
    <t>CO/Z-ID/Z-SNA-3</t>
  </si>
  <si>
    <t>현장 관리감독직원 업무용 크로스백 지급</t>
  </si>
  <si>
    <t>현장 관리감독직원 크로스백 지급을 통한 업무효율향상</t>
  </si>
  <si>
    <t>비용상승건. TOP과제로 부적합. 필요시, 현장 구매 가능함</t>
  </si>
  <si>
    <t>CO/Z-YY-CE-15</t>
  </si>
  <si>
    <t>현장 회의실 모니터 설치</t>
  </si>
  <si>
    <t>현장 회의실 모니터 설치를 의무화하여 출력물 절감</t>
  </si>
  <si>
    <t>유사 아이디어. 이미 과제화 됨</t>
  </si>
  <si>
    <t>IN/C-PI-CE-82</t>
  </si>
  <si>
    <t>기자재비 물가변동비 청구시점 조정</t>
  </si>
  <si>
    <t>민자사업 물가변동비 산출 시 청구시점 1, 3분기 소비자물가지수로 적용하여 도급수금 최대화</t>
  </si>
  <si>
    <t>아이디어 인정, 과제 미채택
민자사업에서 도급증액을 위해 가장 큰 부분이 기자재 물가변동비 부분이라 손익개선에 큰 기여가 가능한 부분이나, 도급 수금 시기 조정은 C.F에 따라 달라질 수 있는 상황 등을 고려할 때 과제화는 어려운 부분입니다.</t>
  </si>
  <si>
    <t>D/PM-PI-SNA-3</t>
  </si>
  <si>
    <t>수주추진시 발주처 방문 설계지원대응 체계화 수립</t>
  </si>
  <si>
    <t>현장 방문 지원에 대한 명확한 체계 절차 (1.사전공유, 2.교육, 3.판단 )를 수립하여 설계지원 업무 관리</t>
  </si>
  <si>
    <t>(제안 인정, 과제화 미채택) 
사업지원팀에서 개발지원팀과 협의하여 업무연락 등의 방안 정립 필요</t>
  </si>
  <si>
    <t>EN/S-A/F-CE-6</t>
  </si>
  <si>
    <t>외벽 균열/누수하자 저감을 위한 요소기술 개발</t>
  </si>
  <si>
    <t>외벽하자 저감을 위한 도입기술
1.［신재료/안전］고층부 Hi-Flow 적용
2.［스마트기술］균열 드론탐지
3.［공법 및 장비］퍼티시공 + 전용장비 개발
4.［신재료］내구성도료시공</t>
  </si>
  <si>
    <t>14차 과제승인위 상정완료</t>
  </si>
  <si>
    <t>EN/S-A/S-CE-72</t>
  </si>
  <si>
    <t>유리섬유보강근(GFRP) 적용 제안 건</t>
  </si>
  <si>
    <t>GFRP 철근 장대 공장납품으로 사용하며, 철근 정착 및 밴딩구간은 일반철근 사용하여 원가 절감</t>
  </si>
  <si>
    <t>아이디어 불인정(중복 아이디어36번)</t>
  </si>
  <si>
    <t>CO/Z-PI-SNA-60</t>
  </si>
  <si>
    <t>IT공통 배부비용 절감</t>
  </si>
  <si>
    <t>당사 공통업무로 인해 발생하는 공통IT 배부비용 재정립을 통한 관리비 절감</t>
  </si>
  <si>
    <t>과제화</t>
  </si>
  <si>
    <t>CO/D-A/F-SNA-2</t>
  </si>
  <si>
    <t>계단 바닥 타일 바탕몰탈 시공 두께 절감안</t>
  </si>
  <si>
    <t xml:space="preserve">계단 거푸집 설계에서 바탕몰탈 두께를 줄여 시공성 및 원가 개선 </t>
  </si>
  <si>
    <t>계단 알폼 조정하여 타일 제외 몰탈 두께 축소(50T-&gt;30T)</t>
  </si>
  <si>
    <t>EN/E-E-CE-71</t>
  </si>
  <si>
    <t>승강기 레일, 도어 규격 및 Car 인테리어 변경</t>
  </si>
  <si>
    <t>원가비중이 높은 가이드레일 규격변경, 교체식 글라스도어 적용 개소 조성, 카 인테리어 적용범위 및 기준 변경</t>
  </si>
  <si>
    <t>EN/M-M-CE-55</t>
  </si>
  <si>
    <t>2500332</t>
  </si>
  <si>
    <t>최시원</t>
  </si>
  <si>
    <t>건축현장 탁수처리시설 설치</t>
  </si>
  <si>
    <t>초기 공사시토목 실행포함 탁수처리시설을 포함하여 현장 우수관로 근처 설치 및 유지보수 침사지 거친 침전용수 처리시설을거쳐 우수관로 배출시 우수관로 막힘 수리비 및 과태료, 벌금(PQ)감점 등 미연에 방지하고자 제안함.</t>
  </si>
  <si>
    <t>아이디어 인정, 과제 미채택
현장 TOP</t>
  </si>
  <si>
    <t>EN/E-E-CE-72</t>
  </si>
  <si>
    <t>하이브리드 우편함</t>
  </si>
  <si>
    <t>기존 우편함을 기반으로 하며, 소형의 무인택배함과 스마트 등기함 기능을 추가한 스마트우편함</t>
  </si>
  <si>
    <t>17차 과제승인위 상정 예정</t>
  </si>
  <si>
    <t>CO/Z-ID/Z-SNA-4</t>
  </si>
  <si>
    <t>사내 불필요한 내선전화 없애기</t>
  </si>
  <si>
    <t>노후되고 방치되고 있는 내선전화기를 전사적으로 집계 및 회수하여 반납하여 보완되는 비용을 바탕으로 직원의 통신비 지원 등 다른 주요 예산 항목에 활용 제안</t>
  </si>
  <si>
    <t>아이디어 중복</t>
  </si>
  <si>
    <t>CO/Z-PI-EXP-28</t>
  </si>
  <si>
    <t>근태 알림 시스템 전 직원 통합 운영화</t>
  </si>
  <si>
    <t>현재 정규직, PJ직원만 근태 알림으로 관리자가 별도로 확인해야 하는 번거로움이 있으나 이를 개선한다면 전 직원 모두 동일하게 근태 알림 확인 및 부서, 관리자, 모든 직원의 근태 확인이 바로 가능하게 됨</t>
  </si>
  <si>
    <t>- 노무관리 시스템 내 근태신청 결재여부 확인 및 그룹웨어 연동 검토 필요
- 편의성은 일부 향상이 되나 개발을 위한 시간/비용 투입 대비 실효성이 미비함. 향후, 시스템 개편시 포함하여 검토</t>
  </si>
  <si>
    <t>CO/Z-PI-EXP-29</t>
  </si>
  <si>
    <t>퇴직공제부금 보고서 이행시 동명이인 필터링화</t>
  </si>
  <si>
    <t xml:space="preserve">유니파이어 퇴직공제부금 보고서 확인 시 동명이인의 경우 공제자번호만으로는 확인 어려움. 분실 및 기타 사유로 이중 가입이나 주민번호가 다른 경우 재 확인의 어려움과 차후 공제부금 정산시 이중 지출이 생길 수 있음.
근로 내역 업로드 시 주민번호 기준으로 필터링 되거나, 중복 가입자 구별을 별도로 할 수 있게 된다면 좀 더 정확한 업무 처리가 가능될거라 예상됨.
</t>
  </si>
  <si>
    <t>- 개인정보 보호법상 주민번호 업로드 불가능
- 보완 대책으로 별도 엑셀파일 기 제공 완료</t>
  </si>
  <si>
    <t>CO/Z-PI-EXP-30</t>
  </si>
  <si>
    <t>현장 인터넷 팩스 도입화</t>
  </si>
  <si>
    <t>인터넷 팩스 도입으로 팀 별로 분류 전송 기능과 문서에 대한 보안 강화</t>
  </si>
  <si>
    <t xml:space="preserve">- O1517
[인터넷 팩스 도입 가능성 검토]
- 기존팩스 : 기본료_5,720원(무약정), 사용료_42.9원/장
- 인터넷 팩스 : 기본료_2,200~6,600원, 사용료_42.9원/장
- 인터넷 팩스(U+) : 기본료 2,200원 반영, 100개 현장 기준 
  ☞ 최대 2.5백만원 절감 예상
- 비용 절감 및 팩스 수신 편의성 확보 가능할 것으로 판단됨
- (문제점1) 팩스 발신의 불편함
  ☞ 기존 팩스 : 복합기에서 스캔하여 바로 발송 
  ☞ 온라인 팩스 : 복합기에서 스캔한 파일이 본인 PC로 전송
     되면 팩스 발송 사이트에 접속하여 스캔파일 발송
- (문제점2) 인터넷 팩스 로그인 정보 관리 문제
  ☞ 팩스 로그인 정보를 전직원에게 공유해야 하고, 정보가 
     변경되면 다시 전파 해야 하는 등 관리 어려움, 
  ☞ 현장 팩스 사용량 대비 실익이 없을 것으로 예상
- 따라서, 인터넷 팩스 도입은 각 현장여건에 따라 도입 여부를
  판단 할 사안이라 생각되며, 현재 사용중인 복합기 거래처
  (신도리코)와 현장 네트워크를 통해 파일을 전송 받을 수
  있는 방법 검토중 
</t>
  </si>
  <si>
    <t>CO/Z-PI-EXP-31</t>
  </si>
  <si>
    <t>현장 전도금 통장 거리 기준 개설</t>
  </si>
  <si>
    <t>공사현장과 거래 은행의 거리가 먼 경우 많은 처리 시간 소요로 인한 업무 효율 저하됨. 현장 개설 전 전도금 통장 개설 시(최단거리 기준) 현장에서 직접 개설한다면 시간, 비용 절감 될 수 있음.</t>
  </si>
  <si>
    <t>우리은행 - 주거래은행, 농협 - 우리은행이 없는 지방을 위함
시스템적인 문제로 여러 은행 분산 어려움</t>
  </si>
  <si>
    <t>IN/C-PI-EXP-2</t>
  </si>
  <si>
    <t>2000796</t>
  </si>
  <si>
    <t>이광민</t>
  </si>
  <si>
    <t>하도급 선급금 지급 절차 변경</t>
  </si>
  <si>
    <t>선급금 지급 품의만 득결 후 선급금 지급이 가능하도록 절차 개선</t>
  </si>
  <si>
    <t>중복아이디어(1286번)</t>
  </si>
  <si>
    <t>IN/C-YY-CE-1</t>
  </si>
  <si>
    <t>1105691</t>
  </si>
  <si>
    <t>안성구리고속도로</t>
  </si>
  <si>
    <t>손재엽</t>
  </si>
  <si>
    <t>현장차량 사양 변경을 통한 원가절감 도모(휘발유, 경유 -&gt;EV)</t>
  </si>
  <si>
    <t>공사용 차량의 사양변경(휘발류, 경유-&gt;EV)</t>
  </si>
  <si>
    <t>아이디어 인정, 과제 미채택
현장 공사용 차량 中 환경, 지하철 현장에 경유 차량이 아닌 EV차량을 편성
유류대를 절감하자는 아이디어이나, 유류대 절감액과 유사하게 월 차량임대
비용이 증가하며, 필요 시 전기차 충전시설 설치도 필요할 수 있음</t>
  </si>
  <si>
    <t>EN/I-A/F-CE-94</t>
  </si>
  <si>
    <t>공동주택 현장 발코니 천정형 빨래건조대 삭제건</t>
  </si>
  <si>
    <t>발코니 천정형 건조대 사용빈도 감소로 발코니 천정 건조대에서 천정 조명 설치로 변경</t>
  </si>
  <si>
    <t>임윤택 차장이 발표 하고 싶다고 합니다.
사용자에 따라 호불호 있고 개인이 설치하기에 어려운 품목도 아니라 굳이 안해줘도 되는 품목 맞기도 함. (점차 사라지고 있음)</t>
  </si>
  <si>
    <t>EN/EX-A/F-CE-26</t>
  </si>
  <si>
    <t>포레나 커튼월록/측벽디자인 표준 상세 정립</t>
  </si>
  <si>
    <t>포레나 커튼월룩/측벽특화디자인 시공을 구체화 하기 위한, 알미늄바 두께 최적화, 유리컬러 및 유리스펙, 하지철물 및 컬러등을 기준화 하여, 일관성 있는 디자인과 원가 절감 가능한 최적설계 상세 정립</t>
  </si>
  <si>
    <t>해당건에 대해서 논의는 필요함. 현재 당사 커튼월룩에대한 기준 불명확
(디자인은 기준 있음, 다만 시공 디테일 기준 검토 필요)</t>
  </si>
  <si>
    <t>IN/C-C-CE-6</t>
  </si>
  <si>
    <t>1002917</t>
  </si>
  <si>
    <t>단지공사 오수관 자재 변경의 건</t>
  </si>
  <si>
    <t>단지 오수관 자재 변경을 통한 원가절감(PVC이중벽관→PE다중벽관)</t>
  </si>
  <si>
    <t>아이디어 인정, 과제 검토중
유형효과 산출 시 기존 운영현장 2개현장과 신규수주(예정) 1개현장을 검토
하였으며, 표본이 너무 적어 실제 절감 가능한지 추가 검토 필요</t>
  </si>
  <si>
    <t>CO/Z-ID/Z-SNA-5</t>
  </si>
  <si>
    <t>부서별 유료 TOOL 통합 재계약 절감안</t>
  </si>
  <si>
    <t>중복, 저활용 툴을 통합 구매하고 그룹 계약으로 전환하여 연간 비용을 절감하고, 보안 관리 체계 강화 및 계정 관리 효율성 제고</t>
  </si>
  <si>
    <t>클라우드 프로그램, 생성형 AI 서비스에 대한 보안관련하여 정보보호사무국과 선협의하여 사용 가능여부 확인 후 진행 계획 수립 예정
- 일정 및 인력측면: 클라우드 프로그램, 생성형 AI 서비스에 대한 정의, 각 부서 사용 현황 조사, 통폐합 검토에 필요한 인력이 제한적인 상황이나 보안 협의 후 검토 예정
- 보안측면: 한화그룹 보안을 거버닝하는 정보보호사무국을 통해 건설의 공식 사용에 대한 검토 협의가 필요하며, 사용 불허 가능성이 존재함</t>
  </si>
  <si>
    <t>EN/EX-C-CE-1</t>
  </si>
  <si>
    <t>고객화장실 오배수관 경로 변경에 따른 오수관로 절감방안</t>
  </si>
  <si>
    <t>당 현장에 국한된 설계변경의 건으로 북서측 오수관로를 북동측 SR역사 오수관로에 연결하여 북서측 오수관로 부설 삭제를 통한 원가절감</t>
  </si>
  <si>
    <t>CO/Z-ID/Z-CE-3</t>
  </si>
  <si>
    <t>2301765</t>
  </si>
  <si>
    <t>정곤철</t>
  </si>
  <si>
    <t>지역 카드 직원 식사지원비 처리</t>
  </si>
  <si>
    <t>지역화폐 카드로 식사지원비 사용</t>
  </si>
  <si>
    <t>법인카드 처리 되면 굳이 불필요
비정상적인 식대 사용 막을 수 있어서 아이디어는 좋음.
다만, 직원들 반발이 우려되어 강제는 어려울 것 같음</t>
  </si>
  <si>
    <t>CO/Z-PI-SNA-61</t>
  </si>
  <si>
    <t>0400572</t>
  </si>
  <si>
    <t>김병권</t>
  </si>
  <si>
    <t>하자보수충당금 관리 체계 개선을 통한 판관비 절감 및 손익 개선</t>
  </si>
  <si>
    <t>하자보수충금을 사업군(또는 전체) 단위로 통합관리</t>
  </si>
  <si>
    <t>과제화 검토 중</t>
  </si>
  <si>
    <t>EN/S-C-CE-26</t>
  </si>
  <si>
    <t>파일 시항타 관입량 측정방법 자동화 도입</t>
  </si>
  <si>
    <t>파일항타 관입량 자동 측정시스템(PDAM) 도입</t>
  </si>
  <si>
    <t>아이디어 불인정(중복 아이디어 395번)</t>
  </si>
  <si>
    <t>CO/Z-A/F-CE-1</t>
  </si>
  <si>
    <t>박재보, 고한울, 김태용</t>
  </si>
  <si>
    <t>옥상난간 연간단가 제안</t>
  </si>
  <si>
    <t>옥상 난간의 다자인 및 고정방법 통일시켜 연간단가 적용</t>
  </si>
  <si>
    <t>EN/EX-A/F-CE-27</t>
  </si>
  <si>
    <t>장애인난간 디자인 제안</t>
  </si>
  <si>
    <t>장애인 포스트의 형태가 평철로 두겁식 줄눈간격 조정시 두겁식 따내기 불필요, 베이스&amp;포스트 선 시공 후 두겁석 후 시공시 포스트 하부베이스 미노출로 난간 캡 삭제 가능</t>
  </si>
  <si>
    <t>EN/I-A/F-CE-95</t>
  </si>
  <si>
    <t>청소용고리 지급 제안</t>
  </si>
  <si>
    <t>하드웨어 업체 계약시 내역에 청소용 고리 포함하여, 계약하며 정산시 청소용고리 수량 적용함.</t>
  </si>
  <si>
    <t>EN/I-A/F-CE-96</t>
  </si>
  <si>
    <t>카운터 세면대 시공개선 제안</t>
  </si>
  <si>
    <t>하지틀 공장용접하여 현장 반입 후 현장 시공시 화스너&amp;하지틀 고정시 피스 고정 적용</t>
  </si>
  <si>
    <t>카운터탑 하지틀 공장사전 용접 후 반입
예전부터 현장별 개별 시도 하였으나 반입 후 수정이 다소 많아 효과발현X</t>
  </si>
  <si>
    <t>EN/I-A/S-CE-11</t>
  </si>
  <si>
    <t>휀룸 시공개선 제안</t>
  </si>
  <si>
    <t>천장 시공시 폴리카보네이트 시공(골조-&gt;폴리카보네이트)</t>
  </si>
  <si>
    <t>휀룸 등 외부 DA 지붕 골조-&gt;폴리카보네이트 변경 제안
DA 상부 추락 사망사고 발생 후 전국 지침 변경되어 폴리카보네이트 적용
현실적으로 어려움(지하주차장 탑라이트 제외)</t>
  </si>
  <si>
    <t>CO/Z-PI-SNA-62</t>
  </si>
  <si>
    <t>원가절감 및 안전기술 등 기술공모전 실시 제안 건</t>
  </si>
  <si>
    <t>공모전을 통한 다양성, 차별성 기술공모를 받아 TOP활동 극대화</t>
  </si>
  <si>
    <t>TOP활동 확대 의견이나 현실적으로 어려움이 예상되나 구체적인 해결 방안이 부족함</t>
  </si>
  <si>
    <t>CO/Z-PI-SNA-63</t>
  </si>
  <si>
    <t>2201472</t>
  </si>
  <si>
    <t>김혜진</t>
  </si>
  <si>
    <t>직영 근로자 권한 위임</t>
  </si>
  <si>
    <t>서클 1개월 이상 미 접속 시 DT팀에게 휴먼계정 해제 요청 권한을  사무보에게 권한 위임(비효율성 제거)</t>
  </si>
  <si>
    <t>DT검토 의견
- 그룹 공통 시스템으로 서클의 관리자 기능에 대한 담당자(시샵)외 권한 부여는 불가함
차선으로 휴면계정 전환시일을 연장함으로 업무 간소화 가능하다고 판단시, 적용 가능
- 30일에서 90일로 변경 가능하며 (주)한화 정보보호 정책 확인 후, 90일로 수정 예정(CISO)
- 그룹 표준정보보호 지침 제72조 2항 4호에 의거 변경 가능(90일 이상 로그인 이력이 없는 사용자 계정 사용중지 처리)</t>
  </si>
  <si>
    <t>CO/Z-PI-CE-99</t>
  </si>
  <si>
    <t>개인 숙소 물품 선택 신청 및 패키지 사용기간 지정</t>
  </si>
  <si>
    <t>사용자가 필요한 개인 숙소 물품만 신청하고 기한을 지정해서 타 현장 발령 후에도 일정기간 계속 사용하도록 함</t>
  </si>
  <si>
    <t>현장지원팀 검토. 
 - 구매 비용은 절감되나 이사비용 문제
 - 숙소 소모품 관련 사항 인지하고 있으며, 구매 절차 보완 검토중 
실행하더라도 과제화는 불필요(제안자 현전직)</t>
  </si>
  <si>
    <t>EN/EX-A/F-CE-28</t>
  </si>
  <si>
    <t>공동주택 PL창호 색상 기준 제안</t>
  </si>
  <si>
    <t xml:space="preserve">PL창호 외부 주거동 외벽 색상(백색)에 따라 적용 </t>
  </si>
  <si>
    <t>아이디어 인정, 과제 검토중</t>
  </si>
  <si>
    <t>CO/Z-ID/Z-SNA-6</t>
  </si>
  <si>
    <t>근로자의 날 및 창립기념일 아워홈 상품권 추가 건</t>
  </si>
  <si>
    <t>근로자의 날, 창립기념일의 선물 다양화를 위해 스타벅스 상품권 및 계열사 아워홈 상품권을 추가로 건의함</t>
  </si>
  <si>
    <t>단순 건의사항. 금번에 상품권 종류 많았었음(그룹사부터 우선 검토했었을거임.)</t>
  </si>
  <si>
    <t>CO/D-A/F-CE-89</t>
  </si>
  <si>
    <t>일반건축 PJ 크나우프 글라스울(외산) 발주로 인한 원가절감</t>
  </si>
  <si>
    <t>국산 글라스울 48K에서 외산 글라스울 24K 발주를 통한 원가절감</t>
  </si>
  <si>
    <t>15차 승인위원회 발표 준비 중
밀도는 다르지만, 열전도율 기준에 부합하면서 대체할 수 있는 절감 아이템</t>
  </si>
  <si>
    <t>CO/D-PI-CE-66</t>
  </si>
  <si>
    <t>0702825</t>
  </si>
  <si>
    <t>천운철</t>
  </si>
  <si>
    <t>검측 앱 개발을 통한 검측관리</t>
  </si>
  <si>
    <t xml:space="preserve">건설현장의 디지털화를 통한 생산성 향상등을 위하여 검측관리 앱을 통해 검측시 신속한 결과를 도출하고, 현장에 그 결과를 즉시 반영할수 있으며, A4용지등 종이류 사용 억제에 따른 비용절감,환경보호 및 시공중 파일보관이 용이할 것으로 판단됨.
</t>
  </si>
  <si>
    <t>중복아이디어(504번)
신규 시스템 개설 시 반영여부 확인예정</t>
  </si>
  <si>
    <t>CO/D-PI-CE-67</t>
  </si>
  <si>
    <t>QR 휴식 인증제를 통한 혹서기 휴식 관리 스마트화</t>
  </si>
  <si>
    <t>휴식 QR코드 인증 후 근로자에게 휴식시간을 알려주는 프로그램을 개발</t>
  </si>
  <si>
    <t>스마트폰을 활용한 QR코드 인식으로 법적 보장 휴식시간 부여 및 관리</t>
  </si>
  <si>
    <t>CO/D-PI-CE-68</t>
  </si>
  <si>
    <t>2102853</t>
  </si>
  <si>
    <t>김준형</t>
  </si>
  <si>
    <t>모바일 지도 플랫폼을 활용한 장비 및 작업자 위치관리</t>
  </si>
  <si>
    <t>카카오맵 위치 공유 기능을 활용하여 장비 및 인력의 위치를 실시간으로 확인함으로써 현장 관리 효율성을 높이고자 함.</t>
  </si>
  <si>
    <t>아이디어 인정, 과제 미채택
저비용으로 시행가능한 부분이나 과제로 채택하기에는 개별 장비, 근로자의 동의여부가 불확실하여 과제화 진행은 어려운 실정입니다.</t>
  </si>
  <si>
    <t>CO/D-PI-CE-69</t>
  </si>
  <si>
    <t>2400801</t>
  </si>
  <si>
    <t>월곶-판교 복선전철 제7공구 노반신설</t>
  </si>
  <si>
    <t>오환성</t>
  </si>
  <si>
    <t>교통처리시 PE드럼 이동설치비 신규단가 적용</t>
  </si>
  <si>
    <t>PE드럼 설치 해체비 신규단가 산정에 의한 이동 설치비 반영</t>
  </si>
  <si>
    <t>아이디어 인정, 과제 미채택
현장VE사항으로 개별 현장별 설계가 상이하여 공통 과제로 진행은 어려운 실정입니다.</t>
  </si>
  <si>
    <t>IN/C-C-CE-7</t>
  </si>
  <si>
    <t>0703031</t>
  </si>
  <si>
    <t>유명덕</t>
  </si>
  <si>
    <t>비탈면 녹화공법 변경을 통한 사면안전성 및 손익 개선(씨드스프레이 -&gt; 취부)</t>
  </si>
  <si>
    <t>토양 경도측정 및 생태복원전문가의 의견에 근거하여 비탈면 녹화공법 설계변경 추진</t>
  </si>
  <si>
    <t>CO/D-PI-CE-70</t>
  </si>
  <si>
    <t>안전보건플랫폼 활용 온열질환 예방 효율화 제안</t>
  </si>
  <si>
    <t>현재 운영 중인 모바일 플랫폼에 온열질환 자각증상점검표를 팝업으로 생성하여 근로자 스스로 일일 자각증상 및 이상징후 시 신속하게 관리자로 통보되는 시스템 개선 필요</t>
  </si>
  <si>
    <t>현재 현장에서 페이퍼를 활용하여 작성 및 관리 중인  '온열질환 자각증상점검표' 를 온라인 플랫폼을 활용하여 개선.
필요한 개선 사항이며 안환실, 현장, DT등과 협의 필요</t>
  </si>
  <si>
    <t>CO/D-YY-CE-4</t>
  </si>
  <si>
    <t>계획고 3D 모델링으로 현장관리</t>
  </si>
  <si>
    <t xml:space="preserve">엔젤스윙(드론데이터 플렛폼) 계약하여 계획고 3D 모델링을 포함하여 토공 물량 산출 및 현장관리에 사용(모바일 가능) </t>
  </si>
  <si>
    <t>중복아이디어(410번)</t>
  </si>
  <si>
    <t>CO/Z-ID/Z-EXP-4</t>
  </si>
  <si>
    <t>사무실 복사용지 표준화 및 업체지정(단가계약)</t>
  </si>
  <si>
    <t>복사용지에 대한 당사 납품업체 지정을 통해 저렴한 납품 단가 확보</t>
  </si>
  <si>
    <t>중복아이디어(771번), 승인과제로</t>
  </si>
  <si>
    <t>CO/D-PI-CE-71</t>
  </si>
  <si>
    <t>2400387</t>
  </si>
  <si>
    <t>박찬호</t>
  </si>
  <si>
    <t>근로자 건강상태 확인 방법 개선(표준 체크리스트, 안전보건 키오스크)</t>
  </si>
  <si>
    <t>대화형 문진과 행동형 테스트로 이원화된 체크리스트 수행, 스마트 안전보건 키오스크 rPPG 연계 사용</t>
  </si>
  <si>
    <t>1534번 아이디어 제안서와 유사함(동일 현장)
통합하여 추진하는 방안 검토
아이디어 중복 여부 확인</t>
  </si>
  <si>
    <t>EN/I-A/F-CE-97</t>
  </si>
  <si>
    <t xml:space="preserve">아파트 창호 컬러유리 구현 </t>
  </si>
  <si>
    <t>기존 아파트 창호 컬러유리보다 더 뛰어난 색상감과 차폐기능을 구현가능한 로이유리로 대체</t>
  </si>
  <si>
    <t>아파트 투명유리 기준 시행중(컬러유리 안 씀)</t>
  </si>
  <si>
    <t>EN/EX-Z-CE-1</t>
  </si>
  <si>
    <t>무인택배 삭제 요청</t>
  </si>
  <si>
    <t>무인택배 설치 삭제</t>
  </si>
  <si>
    <t>중복아이디어(10번)</t>
  </si>
  <si>
    <t>EN/EX-Z-CE-2</t>
  </si>
  <si>
    <t>홈네트워크 건물 인증 대상이 아닌 단지에 무인택배 삭제</t>
  </si>
  <si>
    <t>PR/C-E-CE-4</t>
  </si>
  <si>
    <t>태양광판넬 지급자재 처리(현장 공동계약) 및 공사 분개의 건</t>
  </si>
  <si>
    <t>태양광공사 계약을 없애고, 태양광 판넬 지급자재 처리, 각 공종 금속, 전기공사에 내역 배분</t>
  </si>
  <si>
    <t>금액절감효과 미미할것으로 판단됨</t>
  </si>
  <si>
    <t>CO/I-TF-CE-19</t>
  </si>
  <si>
    <t>NSC계약업체 공동시설분담금 中 전기세 부과의 건</t>
  </si>
  <si>
    <t>공동시설분담금 中 전기세 직발주업체외 NSC계약업체 부과</t>
  </si>
  <si>
    <t>기승인과제(분리발주사 공통가설비 분담금 청구) 내용과 유사.
NSC계약업체 중 재하도업체 전기세부과에 대한 적법여부 검토중</t>
  </si>
  <si>
    <t>CO/I-YY-CE-18</t>
  </si>
  <si>
    <t>비구조내진제품 변경의 건</t>
  </si>
  <si>
    <t>전산볼트 또는 수직 챤넬 사이에 내진커플러 설치</t>
  </si>
  <si>
    <t>현장 TOP_Day VE로 반영 / 기계, 전기 공동검토 필요</t>
  </si>
  <si>
    <t>PR/C-A/S-CE-5</t>
  </si>
  <si>
    <t>태양광판넬 배치 및 구조물 변경의 건</t>
  </si>
  <si>
    <t xml:space="preserve">도그하우스 상부 잔여공간 검토 후 태양광+H-beam 배치 후 나머지 옥탑층 바닥 배치
구조체변경 및 높이 감축 검토 </t>
  </si>
  <si>
    <t>발주처 미승인 아이템</t>
  </si>
  <si>
    <t>CO/Z-PI-CE-100</t>
  </si>
  <si>
    <t>비교 견적 제출 업무 개선</t>
  </si>
  <si>
    <t>품의 결제 시 비교 견적없이 진행하고 기 계약업체 신규항목에 대해서 본사에서 단가 적정성 여부만 판단 실시</t>
  </si>
  <si>
    <t>현장에서 1차적인 금액 검토는 되어야 함. 대안이 "본사에서 알아서 해주세요"인데 대안이 너무 미약해서 제안 인정 X</t>
  </si>
  <si>
    <t>CO/I-Z-CE-5</t>
  </si>
  <si>
    <t>건물 외벽 슬라이딩 타입 낙하물방지망 설치 도입</t>
  </si>
  <si>
    <t>슬라이딩 타입으로 설치 시 건물 내부에서 설치 가능함으로 추락의 위험이 적어지고 자재 양중 시 그물망만 슬라이딩 타입으로 접을 수 있어 훼손되는 단점을 보완</t>
  </si>
  <si>
    <t>안환실 검토 요청. 특정업체 낙방 신규 자재로 보임. 설치 해체가 매우 쉬워보이며 위험작업 줄어듬
https://blog.naver.com/cbkkms0530/221453582994   &lt;&lt; 블로그 동영상 확인</t>
  </si>
  <si>
    <t>EN/S-A/S-CE-73</t>
  </si>
  <si>
    <t>토심 최소화를 통한 원가절감</t>
  </si>
  <si>
    <t>토심절감을 통한 하중감소로 지하 구조 절감 가능</t>
  </si>
  <si>
    <t>아이디어 인정, 과제 미채택
지하주차장 지붕층의 하중은 토심+차량 하중의 합산이며 토심의 감소에 의해서 차량 하중의 분산면적이 감소하여 전체하중 변화효과가 상쇄(오히려 증가)되므로, 제안주신 보춤감소 효과는 없을 것으로 판단됩니다. 추가로 조경 및 관로 계획등 변수가 있어서 적용가능성이 낮다고 판단하였습니다.</t>
  </si>
  <si>
    <t>PR/C-Z-CE-5</t>
  </si>
  <si>
    <t>냉난방기 설치 연간단가 시행</t>
  </si>
  <si>
    <t>냉난방기 설치업체를 연간단가 계약하여 초기 사무실 설치 및 이사 설치시에만 해당 업체를 사용하여 원가절감</t>
  </si>
  <si>
    <t>6, 중복
(729)</t>
  </si>
  <si>
    <t>유사제안 다수(729)</t>
  </si>
  <si>
    <t>PR/C-Z-CE-6</t>
  </si>
  <si>
    <t>입주 후 씰링팬 적용을 위한 관련 배관,배선 미적용 件</t>
  </si>
  <si>
    <t>씰링팬 옵션 적용 세대만 배관/배선 시공</t>
  </si>
  <si>
    <t>기존 디자인팀 요청으로 인해 적용했던 사항. 추후 재협의 예정</t>
  </si>
  <si>
    <t>CO/D-YY-CE-5</t>
  </si>
  <si>
    <t>협력업체 생활쓰레기 분리수거 비용 청구</t>
  </si>
  <si>
    <t>협력업체 현장 투입 후 매달 말 생활쓰레기 구매영수증 및 처리사진 제출받아 확인, 미제출업체 생활쓰레기 분리수거 비용 청구 및 입금처리</t>
  </si>
  <si>
    <t>협력사 사무실에서 발생하는 생활쓰레기 관리 방안
현실성 의문?
현장 관리 사항 아닐까?</t>
  </si>
  <si>
    <t>CO/I-YY-CE-19</t>
  </si>
  <si>
    <t>현장 사무실, 숙소 임차기준 변경(임차료 선납)</t>
  </si>
  <si>
    <t>사무실 숙소 임차 시 보증금 없이 임차료를 1년 마다 선납하는 조건으로 임차(계약기간 중 1년 마다 임차료 선납 조건)</t>
  </si>
  <si>
    <t>현장지원팀 검토
 - 숙소 계약 방법 하나의 대안으로 유용함. 다만, 현장/지역별 차이 있을거고 직원 퇴사시, 활용 문제 예상 할 수 있음. 지금도 PA가 의지만 있으면 충분히 실행 가능함</t>
  </si>
  <si>
    <t>CO/D-Z-CE-20</t>
  </si>
  <si>
    <t>아파트 계단실 가설난간대와 본난간대 설치 중복 해소</t>
  </si>
  <si>
    <t>본난간대 시공업체 선정을 미리 진행하여 본난간대(내부틀-속대)자재를 현장에 반입하고 안전시설물업체가 난간대(내부틀-속대) 설치하여 기존 안전 난간대 교체 작업진행</t>
  </si>
  <si>
    <t>CO/D-L-CE-3</t>
  </si>
  <si>
    <t xml:space="preserve">고한울, 김태용, </t>
  </si>
  <si>
    <t>조경면적 산정 방식 개선으로 식재면적 절감</t>
  </si>
  <si>
    <t>조경 시설물이 설치되는 면적들을 구조물 설치 후 조경 면적에 포함 산정하여 식재 면적을 절감</t>
  </si>
  <si>
    <t>제시한 일부 PJ 사례는 설계사 오류 및 인허가권자 미인정 사유였음
(순수 조경면적 외 시설물 면적 조경면적 산입 중)</t>
  </si>
  <si>
    <t>EN/I-PI-CE-2</t>
  </si>
  <si>
    <t>메타버스를 활용한 한화 포레나 마케팅</t>
  </si>
  <si>
    <t>메타버스 활용한 게임형 포레나 마케팅 도입</t>
  </si>
  <si>
    <t>중복 아이디어(190번_박혜영 차장)</t>
  </si>
  <si>
    <t>EN/S-C-CE-27</t>
  </si>
  <si>
    <t>1100742</t>
  </si>
  <si>
    <t>하수처리시설 PC공법 적용 Process 수립</t>
  </si>
  <si>
    <t>복합(Half+ALL)PC공법 확대에 따른 적용 Process 수립</t>
  </si>
  <si>
    <t>아이디어 인정, 과제 채택
14차 과제승인위원회 시 진행예정</t>
  </si>
  <si>
    <t>CO/Z-PI-CE-101</t>
  </si>
  <si>
    <t>0200314</t>
  </si>
  <si>
    <t>손성일</t>
  </si>
  <si>
    <t xml:space="preserve"> 현장 출/입구 실시간 및 DB관리(차량/인원)를 통한 효율적 업무처리 및 안전확보</t>
  </si>
  <si>
    <t>대/내외 입출자 차량번호 인식 기능을 통한 통제 및 안전확보
DB 저장 및 차량 출입관리대장 전산화</t>
  </si>
  <si>
    <t>고정형CCTV/출입관리 시스템(안전에 검토 요청함)에 포함되면 좋을 내용들이 있음. 제안은 인정. 단독 과제화는 어려워 보임. AI TF와 연계 필요</t>
  </si>
  <si>
    <t>CO/Z-YY-CE-16</t>
  </si>
  <si>
    <t>일회용 컵 사용 억제 및 텀블러 지급 사용</t>
  </si>
  <si>
    <t>현장 개설부터 일회용 컵 사용을 억제하고 직원 개인별 텀블러 및 보온병 지급하여 사용하여 관리비 절감</t>
  </si>
  <si>
    <t>지겹습니다</t>
  </si>
  <si>
    <t>EN/I-A/F-CE-98</t>
  </si>
  <si>
    <t>2501665</t>
  </si>
  <si>
    <t>이경민</t>
  </si>
  <si>
    <t>PL창호 브라켓 부위 Recess 반영</t>
  </si>
  <si>
    <t>PL창호 브라켓 시공부위 Recess 반영</t>
  </si>
  <si>
    <t>중복 아이디어(173번 아이디어)</t>
  </si>
  <si>
    <t>CO/D-Z-CE-21</t>
  </si>
  <si>
    <t>갱폼 낙하방지 레일 시스템 적용</t>
  </si>
  <si>
    <t>기존 갱폼에 낙하방지용 후크가 장착된 레일을 설치한 후 타워크레인으로 갱폼인양 시 레일 이동 경로에 설치된 가이드링을 통해 갱폼낙하시 레일의 후크가 가이드링에 걸림으로 갱폼낙하방지 가능</t>
  </si>
  <si>
    <t>안전강화를 위한 방안으로 좋은 아이디어임(투입금액 有)
제안인정 여부 내부 논의 필요
비용증가 but 갱폼 낙하 위험 감소</t>
  </si>
  <si>
    <t>CO/Z-PI-CE-102</t>
  </si>
  <si>
    <t>현장직원 안전벨트 신청수량 절감안</t>
  </si>
  <si>
    <t>안전벨트 신청절차 변경. PC 렌탈신청하듯이 현장안전팀에서 그룹웨어 전자결제를 통해 신청하고, 최조 신청 이후 추가 신청시 손망실 사진 첨부하여 재신청하게 되면 무분별하게 주문하는 일을 줄일 수 있음.</t>
  </si>
  <si>
    <t>당연히 관리해야되는 부분임. 규정화는 과잉 관리로 보일수도 있음. 직원반발 예상. 모든 안전, 지급물품에 적용가능한 이야기. 대안이 명확하여 제안은 인정</t>
  </si>
  <si>
    <t>D/PM-YY-CE-1</t>
  </si>
  <si>
    <t>입주관리비 예산편성 및 집행 효율화</t>
  </si>
  <si>
    <t>사업예산 입주관리비 편성 기준안을 개선하여 집행 기준을 일원화하고 당사/발주처 역할을 도급계약서에 명확히 반영하고자 함.</t>
  </si>
  <si>
    <t>제15차 과제승인위원회 상정 완료</t>
  </si>
  <si>
    <t>CO/Z-PI-CE-103</t>
  </si>
  <si>
    <t>1008004</t>
  </si>
  <si>
    <t>차민성</t>
  </si>
  <si>
    <t>임직원 점검/방문 시 지급용 보호구 구매비용 절감의 건</t>
  </si>
  <si>
    <t>점검/방문 목적의 보호구 구매/관리를 해당 부서, 본사 안전팀 및 가 사업부 안전팀에서 진행하는 경우 중복되는 보호구 구매 최소화 및 안전강화비 절감</t>
  </si>
  <si>
    <t>중복
(724)</t>
  </si>
  <si>
    <t>CO/Z-PI-CE-104</t>
  </si>
  <si>
    <t>갱폼 진입용 시설물 설치</t>
  </si>
  <si>
    <t>갱폼으로 진입가능한 개구부 부위에 발판용 지지대 설치</t>
  </si>
  <si>
    <t>안전 검토 요청 중. 갱폼 진입용 디딤판 설치하자는 내용인데 디딤판이 갱폼 내에서 이동에서는 방해 요소가 될 수도 있어보임</t>
  </si>
  <si>
    <t>EN/I-A/F-CE-99</t>
  </si>
  <si>
    <t>층 단부 하부층 단열재 설계 개선</t>
  </si>
  <si>
    <t>개선전 : 외기 직접 단열재로 설계(층변화 하부층도 동일하게 설계)
개선후 : 층변화 하부층은 별도 설계</t>
  </si>
  <si>
    <t>중복 아이디어_671번(남태인 부장)</t>
  </si>
  <si>
    <t>EN/I-A/F-CE-100</t>
  </si>
  <si>
    <t>여름 근무복 재질 변경</t>
  </si>
  <si>
    <t>다른 협력사 및 다 회사의 근무복처럼 면재질이 아닌, 폴리에스터 재질 사용 시 내구성 및 기타적 향상이 되어 근무복 구매에 대한 비용 감소.</t>
  </si>
  <si>
    <t>현장지원팀 검토 의견
- 금년 하반기 현장 의견 취합하여 근무복 변경 검토 에정
대안 실현시, 낭비 요소 감소 가능하여 제안은 인정. 과제화는 불필요</t>
  </si>
  <si>
    <t>PR/C-A/F-CE-11</t>
  </si>
  <si>
    <t>회전문 스펙 변경을 통한 원가절감 및 공기 단축</t>
  </si>
  <si>
    <t>외산제품에서 국산제품 외주를 통한 원가 및 공기단축</t>
  </si>
  <si>
    <t>현장 TOP_Day VE로 반영
해당 현장의 특수한 사항임</t>
  </si>
  <si>
    <t>CO/Z-PI-CE-105</t>
  </si>
  <si>
    <t>현장 참여형 안전교육자료 제작 및 배포</t>
  </si>
  <si>
    <t>기존의 안전교육 "알려주기식"에 그치지 않고 현장 실제작업 기반 영상제작, 직관적인 체감형 교육 진행(참여형), 교육 실효성 제고(반복시청)를 통해 실질적 예방 효과 창출</t>
  </si>
  <si>
    <t>안전 검토 요청 중. 숏폼과 유사한 안전 동영상. 현장소장 직접 제안하였고 현장에서 실효성이 있다고 함</t>
  </si>
  <si>
    <t>CO/D-PI-CE-72</t>
  </si>
  <si>
    <t>레미콘 자재 스마트관리</t>
  </si>
  <si>
    <t>오프라인 송장 관리에서 오프라인 송장 발행 후 바코드 부착하여 온라인으로 Data화 하여 관리하기.</t>
  </si>
  <si>
    <t xml:space="preserve">아이디어 불인정
최근 레미콘 이슈로 필요한 아이디어 이나, 구체적인 방식이나 투입비용 추정이 없어서 좀더 보완이 필요하다고 판단함
</t>
  </si>
  <si>
    <t>CO/I-PI-CE-65</t>
  </si>
  <si>
    <t>숙소관리비 상한제도</t>
  </si>
  <si>
    <t>전 현장 숙소관리비의 2/3평균가를 산출하여 숙소관리비 상한선 제시 후 초과액은 개인부담 시행</t>
  </si>
  <si>
    <t>6, 중복
(1232)</t>
  </si>
  <si>
    <t>CO/D-Z-CE-22</t>
  </si>
  <si>
    <t>펌프카 붐대 무선 경고장치 도입</t>
  </si>
  <si>
    <t>펌프카 5단 붐대에 부착형 경고장치를 설치 함으로써 붐대 하부 근로자에게 경고음 전파 및 통제</t>
  </si>
  <si>
    <t>안전 제안 아이디어</t>
  </si>
  <si>
    <t>EN/E-PI-CE-3</t>
  </si>
  <si>
    <t xml:space="preserve">오정화, 박재보, </t>
  </si>
  <si>
    <t>무선통신보조설비공사 설계 및 내역 표준화/통합입찰 진행</t>
  </si>
  <si>
    <t>무선통신설비공사 설계기준 재정립, 내역 표준화 및 공사관리 기준 재정립</t>
  </si>
  <si>
    <t>복합개발현장 적용 예정
공동주택 현장 유형효과 검증 필요</t>
  </si>
  <si>
    <t>EN/I-E-CE-2</t>
  </si>
  <si>
    <t>단위세대 조명+공기질 옵션 결합상품 개발(매출이익 상승)</t>
  </si>
  <si>
    <t>개선전 : 거실조명에 대한 상품으로 연단가 제품을 옵션상품으로 적용(상품가치 향상의 한계 발생)
개선후 : 공기질센서+거실조명+와이드우물천정 등 상품결합</t>
  </si>
  <si>
    <t>공기질센서 내용 이미 구현중인 사항임.
거실조명 결합내용은 상품성이 있을지 의문</t>
  </si>
  <si>
    <t>CO/D-PI-CE-73</t>
  </si>
  <si>
    <t>코킹 별도 외주계약</t>
  </si>
  <si>
    <t>별도 마감 코킹 공종 계약, 시공 후 하자 발생시 단일업체와 소통으로 코킹 하자에 대한 하자분류 일원화 및 보수 용이</t>
  </si>
  <si>
    <t>583번 중복 아이디어</t>
  </si>
  <si>
    <t>CO/D-PI-CE-74</t>
  </si>
  <si>
    <t>접근금지 작업구간 동작감지 경광등 부착</t>
  </si>
  <si>
    <t>개선선 : 기존 접근금지구간 비닐테이프로 작업구획 설정
개선후 : 작업구간 아웃라인에 동작감지형 경광등 설치</t>
  </si>
  <si>
    <t>안전 제안 아이디어
안전 비닐테이프 -&gt; 동작 감지기</t>
  </si>
  <si>
    <t>EN/S-A/S-CE-74</t>
  </si>
  <si>
    <t>우마철근 대용 삼각뿔 안전바체어 적용</t>
  </si>
  <si>
    <t>기존의 우마철근(1.8m 이상 사용) 대용으로 삼각뿔안전바체어(1.4m이하 사용) 적용하여 원가절감</t>
  </si>
  <si>
    <t>아이디어 인정, 과제 검토중
관련기술 보유 업체 미팅 후 제안서 접수(검토중)</t>
  </si>
  <si>
    <t>CO/Z-PI-EXP-32</t>
  </si>
  <si>
    <t>현장 숙소 생활용품 지급 리프레쉬 포인트로 지급</t>
  </si>
  <si>
    <t>개선전 : 현장 사무실에서 생활용품 일괄 구매하여 지급
개선후 : 각 개인에게 할당된 생활용품 구매 비용을 리프레쉬 포인트 등으로 지급하여 제품을 자유롭게 선택</t>
  </si>
  <si>
    <t>유사제안 있음. 절감효과 없음. 단순 건의사항에 가까움. 
개인 소득되어 세금문제 발생, 현재 식대 처럼 부작용 우려될 가능성 높음.</t>
  </si>
  <si>
    <t>EN/EX-E-CE-3</t>
  </si>
  <si>
    <t>현장 가설사무실 지붕, 주차장에 태양광 판넬 및 충전시설 설치</t>
  </si>
  <si>
    <t>현장 가설사무실 지붕 또는 주차장에 태양광 판넬을 설치하여 전기요금을 절감하고 주차장에 전기자동차 충전이 가능하도록 충전시설 설치</t>
  </si>
  <si>
    <t>중복아이디어(278번)</t>
  </si>
  <si>
    <t>CO/D-Z-CE-23</t>
  </si>
  <si>
    <t>토공사 시 탁수 정화시설 도입</t>
  </si>
  <si>
    <t>침사지 설치하고 침전을 하더라도 정화 매우 어려움으로 현설 또는 내역에 정화시설 실행편성하자.</t>
  </si>
  <si>
    <t>중복아이디어(248번)</t>
  </si>
  <si>
    <t>CO/I-ID/Z-CE-3</t>
  </si>
  <si>
    <t>0300447</t>
  </si>
  <si>
    <t>최화석</t>
  </si>
  <si>
    <t>법인카드 결재 프로세스 개선을 통한 사용내역의 명확화, 책임성 강화</t>
  </si>
  <si>
    <t>법인카드 제3자 사용 시 처리 결재방식 변경
개선전 : 현장PA-&gt;카드소유자-&gt;현장소장
개선후 : 현장PA-&gt;카드사용자-&gt;현장소장</t>
  </si>
  <si>
    <t>별도 TOP과제화는 부적합 (현재, 인사+TOP추진 중인 법카 식대와 관련하여 이때 포함 시킬수도 있을듯)</t>
  </si>
  <si>
    <t>CO/D-Z-CE-24</t>
  </si>
  <si>
    <t>단위세대 욕실 방수턱 제거</t>
  </si>
  <si>
    <t>욕실 골조 단차로인한 자체 차수효과 발생함. 따라서 방수턱 제거.
코너부위 방수턱 시공 대신 우레탄 코너보강으로 방수성 확보</t>
  </si>
  <si>
    <t>중복 아이디어 및 심각한 하자 발생 가능성 있으므로 제안인정 불가</t>
  </si>
  <si>
    <t>EN/M-M-CE-56</t>
  </si>
  <si>
    <t>2501374</t>
  </si>
  <si>
    <t>김혜일</t>
  </si>
  <si>
    <t>세대 에어컨 드레인배관 입상 설치건</t>
  </si>
  <si>
    <t>에어컨 드레인배관을 세대 공용 및 부부욕실 PS에 별도 입상을 설치하여 드레인배관 구배 및 천정 실링공간 확보</t>
  </si>
  <si>
    <t>좁은 천정속 공간안에서 드레인배관 설치 어려움으로 나온 아이디어이나, 당초 혼재되어 있던 에어컨 드레인 배관 시공기준 개정한 건으로 입상 추가설치시 비용 증대 및 다른 하자 요인 발생 우려[냉매매립배관 및 시스템에어컨 드레인 당해층 배수배관 건(기술공지-2022.02)]</t>
  </si>
  <si>
    <t>CO/D-A/S-CE-95</t>
  </si>
  <si>
    <t>갱폼 볼트 선해체 금지 시건장치 설치 현설반영 건</t>
  </si>
  <si>
    <t>갱폼 앵커볼트 시건장치 설치에 대한 설치주체를 명확히 현설 사항에 명시해 시건장치 구매 및 설치비용에 대한 내역화를 통해 추가비용 발생을 방지함.</t>
  </si>
  <si>
    <t>회사게시판에 올라온 '갱폼 낙하 안전장치 강화 건'의 실질적인 시행을 위해 현설자료를 업데이트 하여 실제 수행하는 협력사의 수행 개선의 건</t>
  </si>
  <si>
    <t>D/PM-PI-SA-1</t>
  </si>
  <si>
    <t>자체 청약시스템 구축을 통한 무순위 청약 업무비용 절감</t>
  </si>
  <si>
    <t>개선전 : 청약홈(정부)을 통한 무순위 청약 진행
개선후 : 한화포레나 공식 홈페이지 내 청약시스템 구축을 통한 수수료 절감</t>
  </si>
  <si>
    <t xml:space="preserve">(제안 인정, 과제화 미책택)
청약시스템 구축 시 유형효과 절감금액 상세 검토 결과, 효과 미비 
과제화 하지 않고 영흥숲 포레나 등 현업에서 필요시 진행 </t>
  </si>
  <si>
    <t>CO/D-A/F-CE-90</t>
  </si>
  <si>
    <t>PL창호 분합창호 하부타일 접면 공바 시공</t>
  </si>
  <si>
    <t>개선전 : PL창호 분합창호 하부 코킹 과다 및 면불량
개선후 : PL창호 분합창호 하부 공바를 타일 마감 높이까지 덧씌워 마감면 개선</t>
  </si>
  <si>
    <t>의견이 분분할 것으로 생각함</t>
  </si>
  <si>
    <t>CO/D-Z-CE-25</t>
  </si>
  <si>
    <t>가설 소변기 설치 당사 시준 반영건</t>
  </si>
  <si>
    <t>현장 마다 가설 소변기 설치 기준이 상의하여 당사 기준을 선정하여 전현장 공통 적용</t>
  </si>
  <si>
    <t>당사기준 수립 완료(지원,기계,견적 예산 반영)</t>
  </si>
  <si>
    <t>CO/D-ID/H-CE-56</t>
  </si>
  <si>
    <t>계획 단계시 안전, 보건 관련 컨테이너 확보</t>
  </si>
  <si>
    <t>혹서기, 혹한기를 대비한 근로자 쉼터, 제빙기, 안전관련 자재 보관컨테이너 확보(안전관리비 추가 반영)</t>
  </si>
  <si>
    <t>안전용품 보관용 컨테이너 필요
TOP아이디어가 맞나?</t>
  </si>
  <si>
    <t>CO/D-A/F-CE-91</t>
  </si>
  <si>
    <t>2500752</t>
  </si>
  <si>
    <t>조성래</t>
  </si>
  <si>
    <t>단위세대 욕실 센서등 유상옵션 제안 건</t>
  </si>
  <si>
    <t>공동주택 욕실 1, 2 대변기 전면 상부 센서등 유상옵션 선택항목 제안</t>
  </si>
  <si>
    <t>옵션에 따른 수익성 강화는 중복 아이디어 이나,
세부 아이템이 아이디어 이나, 좀 마이너함(같이 고민 필요)</t>
  </si>
  <si>
    <t>CO/D-ID/Z-CE-1</t>
  </si>
  <si>
    <t>협렵사 임시사무실, 창고 사용 보증금 부담 건</t>
  </si>
  <si>
    <t>개선전 : 창고 사용 후 청소만 하고 마감 보수작업은 원사업자가 진행하는 실정
개선후 : 면적당 금액을 산정하여 이용에 대한 보증금 부담, 창고 사용 이후 원상복구 완벽 이행시 보증금 반환하여 협력사가 창고 사용에 대한 주인의식 갖도록 지시.</t>
  </si>
  <si>
    <t>현재 해당방법으로 시행하는 현장도 있으며,
하도급법 등 사법 리스크 확인 필요</t>
  </si>
  <si>
    <t>CO/D-Z-CE-26</t>
  </si>
  <si>
    <t>기계, 주차장 급, 배기 DA구간 BDD설치 기준 수립 방안</t>
  </si>
  <si>
    <t>지하 주차장/기계실 급 배기 DA구간 휀설치 부위 BDD설치로 외부 역풍방지 및 외부공기를 차단하여 동파방지 효과얻음</t>
  </si>
  <si>
    <t xml:space="preserve">BDD설치로 인하여 동파방지의 근본적인 해결책이 될 수 없으며, BDD설치 목적과는 다른 방향으로 동파방지를 위한 열선설치가 더 효과적임
현장특성에 따른 현장 VE 추진 </t>
  </si>
  <si>
    <t>CO/D-Z-CE-27</t>
  </si>
  <si>
    <t>태양광 캣워크 발판 및 안전난간대 도급설계변경에 의한 원가절감의 건</t>
  </si>
  <si>
    <t>개선전 : 옥외구간 태양광 판넬 설치위치가 높지만 발판이나 안전나간대 無
개선후 : 옥외구간 태양광 판넬 유지보수 가능하도록 발판 및 안전난간대 설치</t>
  </si>
  <si>
    <t>현장 TOP day VE
안전 및 유지보수에 따른 캣워크 추가에 따른 설계 변경</t>
  </si>
  <si>
    <t>CO/D-YY-CE-6</t>
  </si>
  <si>
    <t>A동 옥외 유류탱크 연료 주입비 절감</t>
  </si>
  <si>
    <t>개선선 : 검토미비로 A동 옥외 유류탱크 최대용량으로 주입 후 도급 100% 청구 및 하도급 최대용량으로 지급
개선후 : A동 옥외 유류탱크 실용량으로 주입 후 도급 100% 청구 및 하도급 실용량으로 지급</t>
  </si>
  <si>
    <t>현장 TOP day VE
(당연함........)</t>
  </si>
  <si>
    <t>CO/D-PI-CE-75</t>
  </si>
  <si>
    <t>도급 중복 내역에 의한 원가 절감의 건</t>
  </si>
  <si>
    <t>정원등 및 투사등 도급내역 중복
개선전 : 타공종 중복내역 미 확인으로 중복 발주
개선후 : 타공종 중복 내역 확인하여 하도급 원가 저럼한 곳에서 시공 후 도급은 공종별 동시 청구하고 하도급은 한 곳만 지급</t>
  </si>
  <si>
    <t>CO/D-YY-CE-7</t>
  </si>
  <si>
    <t>0703034</t>
  </si>
  <si>
    <t>천안제5산업단지 조성공사</t>
  </si>
  <si>
    <t>이형권</t>
  </si>
  <si>
    <t>현장 홍보 영상을 AI로 제작</t>
  </si>
  <si>
    <t>현장 홍보 영상을 AI로 제작, AI제작 업체와 연간단가 맺어 추가 비용 절감 가능</t>
  </si>
  <si>
    <t>아이디어 중복건(1066번)</t>
  </si>
  <si>
    <t>CO/D-Z-CE-28</t>
  </si>
  <si>
    <t>가설사무실 모듈러화(재활용)+태양광 패널 설치</t>
  </si>
  <si>
    <t>1. 가설사무실 축조시 모듈러화 해서 실질적 재활용 가능하게 함.
2. 사무실 천정 및 주차장 부지에 태양광 패널 설치하여 ESG경영의 중요성 확대하며 사무실 운영비 절감에 도움이 됨.</t>
  </si>
  <si>
    <t>아이디어 인정, 과제 미채택
최근 현장 내 가설사무실 축조 현장 대비 임대사무실을 활용하는 현장이
증가하는 추세이나, 가설사무실 활용 현장의 경우 현장 VE로 진행하는 것이 적정</t>
  </si>
  <si>
    <t>CO/D-YY-CE-8</t>
  </si>
  <si>
    <t>공유차량 도입</t>
  </si>
  <si>
    <t>공유차량 도입(쏘카비지니스 등) 실제 운행기록 및 실사용자 확인이 가능하여 사적 사용 방지 효과, 실제운행거리를 기준으로 정산하여 원가절감 가능</t>
  </si>
  <si>
    <t>아이디어 인정, 과제 미채택
지하철 현장과 같이 도심에 위치한 현장의 경우에는 사용이 용이하나,
도로나 철도 현장처럼 외곽에 위치한 현장은 쏘카 사용도 어려우며 접근성, 사용시간 등 제한조건이 많아 효율성이 떨어질것으로 판단됨</t>
  </si>
  <si>
    <t>CO/D-YY-CE-9</t>
  </si>
  <si>
    <t>현장 청소용 스퀴트로라(바브켓)장비 월대 운용의 건</t>
  </si>
  <si>
    <t>현장 이동통로 및 주요구간 바브켓 장비를 월대 사용 물차 운용 사례처럼 배치하여 지상, 지하 바닥청소하여 노동부 수시점검에 상시 대비 할 수 있도록 활용</t>
  </si>
  <si>
    <t>"안전"분류 가능
바브켓 상시 배치(투입비)</t>
  </si>
  <si>
    <t>CO/D-PI-CE-76</t>
  </si>
  <si>
    <t>거실바닥 선택적 옵션 품목 개선 제안 건</t>
  </si>
  <si>
    <t>개선선 : 옵션선택시 거실/주방/복도구간 전체 바닥타일 시공
개선후 : 주방구간 바닥타일, 거실, 복도구간 강마루 선택의 분할 옵션계약 추가</t>
  </si>
  <si>
    <t>소비자가 바닥 전체 타일 시공을 선택하지 않으니,
주방은 타일/ 거실은 마루로 선택을 할 수 있도록 옵션 변경
-&gt;과거에 있었던 옵션이며, 옵션 판단은 애매할 수 있음
-&gt;층간소음기준 강화에 따라 25년부터 당사 타일 옵션 미시행</t>
  </si>
  <si>
    <t>CO/D-Z-CE-29</t>
  </si>
  <si>
    <t>공동주택 덕트 개구부에 철근 시공으로 추락 예방</t>
  </si>
  <si>
    <t xml:space="preserve">각 층의 덕트 등 개구부에 철근을 선 시공하여 추락위험 방지 </t>
  </si>
  <si>
    <t>"안전"분류
덕트 개구부에 철근을 미리 2~3가닥 시공하여 추락방지 예방</t>
  </si>
  <si>
    <t>CO/D-Z-CE-30</t>
  </si>
  <si>
    <t>아파트 동 지수층 설치 표준화</t>
  </si>
  <si>
    <t>a. 지수층 상부 바닥슬라브 방수 및 바닥개구부의 우수 방지책
b. 지수층 천정슬라브에서 배관연결 창외부로 배수
c. 계단실 물처리
위 a~c의 지수관련 방법의 표준화 실시 필요</t>
  </si>
  <si>
    <t>현장 시공 관리 측면에서의 아이디어</t>
  </si>
  <si>
    <t>CO/Z-PI-SNA-64</t>
  </si>
  <si>
    <t>재무(법인카드 마감 관련 안내)</t>
  </si>
  <si>
    <t>법인카드 2영업일 오전 11시 기한 넘어가면 익월로 금액 계상됨.
기한을 맞춰 정리할 필요있음.</t>
  </si>
  <si>
    <t>유사 제안 有, 건의사항에 가까움</t>
  </si>
  <si>
    <t>CO/D-C-CE-15</t>
  </si>
  <si>
    <t>2200383</t>
  </si>
  <si>
    <t>김현직</t>
  </si>
  <si>
    <t>충전식 무선 고주파 콘크리트 바이브레이터 도입을 통한 인력절감 및 품질개선</t>
  </si>
  <si>
    <t>개선전 : 기존 전동식 바이브레이터는 전원 케이블과 장비 자체의 중량으로 인해 작업자의 피로도가 크며, 다수 인력의 투입필요
개선후 : 충전식 무선 고주파 콘크리트 바이브레이터 도입으로 경량화된 배낭형 구조로 인력 최소화 가능하고, 고주파의 진동을 활용하여 다짐 성능 극대화</t>
  </si>
  <si>
    <t>아이디어 인정, 과제 미채택
충전식 무선 고주파 콘크리트 바이브레이터에 대해 장단점 분석, 작업 효율성 및 비용은 우수하나, 협력사의 원가 개선이 당 사 원가개선에도 영향은 있으나, 유형효과에 대한 검증이 어려운 아이디어 임에 따라 과제 채택없이 유관부서에 아이디어 전달하여 공유토록 하겠습니다</t>
  </si>
  <si>
    <t>CO/D-C-CE-16</t>
  </si>
  <si>
    <t>2401019</t>
  </si>
  <si>
    <t>이슬기</t>
  </si>
  <si>
    <t>도로포장시 아스콘 덤프트럭 전용 승강사다리 제작</t>
  </si>
  <si>
    <t>덤프트럭 전용 이동식 승강계단을 설치하여 낙하위험이 있는 차량 자체 수직승강설비를 사용하지 않고 안전하게 이동 할 수 있도록 설치</t>
  </si>
  <si>
    <t>아이디어 인정, 과제 미채택
현장에서 발생가능한 안전 위험요인으로 초기 투자비가 발생하긴 하나 필요한 사항이고, 향후 안전모듈 추가 시 아이템으로 적용 검토 예정입니다 // 아스콘 외 확장필요 과제화 고민</t>
  </si>
  <si>
    <t>CO/D-C-CE-17</t>
  </si>
  <si>
    <t>2200381</t>
  </si>
  <si>
    <t>이원산</t>
  </si>
  <si>
    <t>빔 제작장 조성비 반영</t>
  </si>
  <si>
    <t>개선전 : 현장 외부 빔 제작 시 토지임대료만 반영되어 있음
개선후 : 현장 외부 빔 제작장 조성비 도급내역에 반영</t>
  </si>
  <si>
    <t>아이디어 인정, 과제 미채택
종심제 고속도로, 철도 현장에 적용 가능한 아이템이나 턴키, 민자사업 현장에선 총사업비 내 변경 항목으로 효과가 미비할 것으로 판단됩니다. 향후 종심제 프로젝트 수행 시 필요한 항목 임</t>
  </si>
  <si>
    <t>CO/I-YY-SNA-1</t>
  </si>
  <si>
    <t>현장 당직비 개선 -&gt; 대휴 지급</t>
  </si>
  <si>
    <t>현장 셧다운 시 당직비 삭제 -&gt; 당직 근무 시 대휴로 지급</t>
  </si>
  <si>
    <r>
      <rPr>
        <sz val="11"/>
        <color rgb="FF000000"/>
        <rFont val="맑은 고딕"/>
      </rPr>
      <t xml:space="preserve">현재 명절, 공동연차 등 현장 셧다운시, 당직 운영중
당직비 10만원은 현장 운영시 어려움이 있어 대휴 달라는 의견
근로기준법상 업무시간과 달리 감시/단속적 근로에 가까운 당직 근무는 취업규칙에 명기(노사협의)되어 있다면 법적으로 근로시간에서 제외할 수 있음. 당직은 가능함.
현장PA업무 매뉴얼에는 명절은 당직비 10만원 지급. 공동연차 당직은 대휴 지급으로 되어있음.
현재 취입규칙상. ① 직원은 회사의 명에 의하여 당직근무를 할 수 있다.
② 당직은 시설 및 물품의 단속, 긴급 문서나 전화의 수수, 비상사태 발생에
대비한 점검과 대기 또는 비상연락 등을 그 업무로 한다.
</t>
    </r>
    <r>
      <rPr>
        <b/>
        <sz val="11"/>
        <color rgb="FF000000"/>
        <rFont val="맑은 고딕"/>
      </rPr>
      <t>③ 당직근무를 수행한 직원에 대하여는 당직비를 갈음하여 휴가를 부여할 수 있다
결론은 현 규정에도 대휴를 주는데 문제가 없으나 PA업무매뉴얼 개정이 필요함(당직비or대휴는 현장에서 선택할 수 있게) &amp; 과제화는 불필요
현장지원팀, 인사기획팀(노무 파트) 협의하여 결론 내리기로</t>
    </r>
  </si>
  <si>
    <t>EN/S-Z-CE-2</t>
  </si>
  <si>
    <t>APT주동 주출입구 램프 강도 하향</t>
  </si>
  <si>
    <t>APT주동 주출입구(장애인램프, 계단 등) 강도 과다이므로 강도 하향(27Mpa or 24Mpa)</t>
  </si>
  <si>
    <t>아이디어 인정, 과제 미채택
콘크리트 내구성 설계기준에 의해 콘크리트 강도가 최소 30MPa 적용되어야 하므로, 구조 내력과 무관하게 강도 하향이 불가함</t>
  </si>
  <si>
    <t>EN/EX-M-CE-1</t>
  </si>
  <si>
    <t>2201272</t>
  </si>
  <si>
    <t>유동호</t>
  </si>
  <si>
    <t>노출배관 병행 매립배관 적용을 통한 자동제어 시스템 설계 방안</t>
  </si>
  <si>
    <t>노출배관과 매립배관 방식을 병행하여 필요한 부분만 노출하고 나머지 구간은 매립배관으로 처리해 공간 효율성을 높이고 미관 및 원가 개선</t>
  </si>
  <si>
    <t>당연한 내용입니다..</t>
  </si>
  <si>
    <t>EN/EX-E-CE-4</t>
  </si>
  <si>
    <t>적정 접지용량 산정 기반 TRAY 접지선 규격 최적화</t>
  </si>
  <si>
    <t>TRAY 접지를 F-GV 120㎟로 일괄 설계함으로써 불필요한 과다 설계로 공사비가 상승되었으며, 실제 필요 구간에 맞는 적정 용량의 접지선을 설계에 반영하여 자재비 절감과 공사비 관리가 필요함</t>
  </si>
  <si>
    <t>건축전기팀과 적용여부 협의예정</t>
  </si>
  <si>
    <t>CO/D-C-CE-18</t>
  </si>
  <si>
    <t>2500381</t>
  </si>
  <si>
    <t>평택시 통복공공하수(BTO-a)</t>
  </si>
  <si>
    <t>김정형</t>
  </si>
  <si>
    <t>야적장 커튼형 천막 출입구를 천막으로 설치진행</t>
  </si>
  <si>
    <t>기존 임시야적장 EGI 휀스에서 커튼형 천막 출입구로 변경 설치</t>
  </si>
  <si>
    <t>아이디어 인정, 과제 미채택
지속적으로 사용하는 곳에는 적정하나 현장별로 조건이 상이하여 현장 상황에 맞는 현장VE로 시행이 적정하다고 판단됩니다</t>
  </si>
  <si>
    <t>CO/D-C-CE-19</t>
  </si>
  <si>
    <t>건설오니(세륜슬러지)-&gt;건설폐토석</t>
  </si>
  <si>
    <t>건설오니를 폐기물공정시험을 통해 건설폐토석으로 계약변경</t>
  </si>
  <si>
    <t>아이디어 인정, 과제 미채택
일부 현장에선 건설오니 건조 후 재활용하는 사례도 다수있으나 민원인, 환경기자 등 환경관련 이슈에 민감한 사항이라 일관된 기준을 마련하기 보다는 현장VE로 현장 여건을 고려하여 유연하게 대처하는게 적정하다고 판단됩니다</t>
  </si>
  <si>
    <t>CO/Z-PI-SNA-65</t>
  </si>
  <si>
    <t>업무 캘린더 활용제안</t>
  </si>
  <si>
    <t>개선전 : 기존에는 각기 다른 플랫폼을 활용하여 구두로 혹은 문자를 통해 팀원의 일정을 공유했음
개선후 : 구글 캘린더와 같은 캘린더형 공유 플랫폼을 활용할 경우 각자의 주요 업무 스케줄을 달력에 공유한다면, 팀원들이 알아야 할 중요도 있는 일정을 간편하게 핸드폰 어플을 활용해 확인할 수 있음.</t>
  </si>
  <si>
    <t>현재도 아웃룩, 팀즈로 활용 가능함. 과거에도 워크플레이스 있었으나 활용은 팀 의지에 달림.</t>
  </si>
  <si>
    <t>PR/C-M-CE-2</t>
  </si>
  <si>
    <t>모듈라 ELEV 도입(OSC공법 적용)</t>
  </si>
  <si>
    <t>모듈화 ELEV 도입/돌관현장 관리
ELEV 기계실 모듈러 PC타입 적용 또는 MRL타입변경</t>
  </si>
  <si>
    <t>여건상 즉시 과제화는 불가할 것으로 판단됨.
납품설치실적 추가 확인 예정</t>
  </si>
  <si>
    <t>CO/I-PI-CE-66</t>
  </si>
  <si>
    <t>2403754</t>
  </si>
  <si>
    <t>진복용</t>
  </si>
  <si>
    <t>설계/디자인 공지 사항 변경</t>
  </si>
  <si>
    <t>설계/디자인 공지 사항 변경 현재 건By건으로 되어 있는 것을 공정별 지침으로 만들어 교육자료 활용과 찾아보기 쉽게 정리 필요</t>
  </si>
  <si>
    <t>과제화까지 할 필요는 없으나 디자인/품질팀 협의 후 개선사항 협의 후
26년 상반기 목표로 개선 추진 예정</t>
  </si>
  <si>
    <t>IN/C-C-CE-8</t>
  </si>
  <si>
    <t>지하주차장 전기실, 발전기실, 휀룸 배수판 변경</t>
  </si>
  <si>
    <t>방화구획인 전기실, 발전기실, 휀룸에 경우 흙에 접하는 부위 불연 배수판 대신 외부에 결로단열재, 방수 시공으로 공사비 절감</t>
  </si>
  <si>
    <t>1. 이 현장만의 특수성인지
2. 전 현장으로 적용가능한지 논의 필요</t>
  </si>
  <si>
    <t>CO/D-Z-CE-31</t>
  </si>
  <si>
    <t>필로티 옥상, E/V 기계실 옥상 방수 변경건</t>
  </si>
  <si>
    <t>개선전 : 현재 방수후 누름 콘크리트 타설 후 컷팅까지로 골조 인원 철수 시점과 겹쳐 공사 진행이 어려움
개선후 : 노출우레탄으로 방수 변경하여 골조 진행과 상관없이 공정 진행 가능</t>
  </si>
  <si>
    <t xml:space="preserve">아이디어 불인정(승인과제와 중복) </t>
  </si>
  <si>
    <t>EN/EX-A/S-CE-12</t>
  </si>
  <si>
    <t>입면 변화 최소화로 상층부 바닥거푸집 시공 안전성 확보</t>
  </si>
  <si>
    <t>개선전 : 상층부 디자인 변화(입면돌출, 발코니 등)에 따라 바닥스래브가 공중에 설치되어 RCS 사용불가 및 고층부 시스템 거푸집 시공사례가 발생하여, 추락 및 안전사고에 대해 위험 발생
개선후 : 초기 PJ 계획시 상층부 디자인을 고려한 가이드에 따라, 입면변화 최소화, 하부층보다 상부에서 더 돌출되는 입면 지양 등 설계 단계에서 시공 안전성을 확보</t>
  </si>
  <si>
    <t>너무 당연한 말</t>
  </si>
  <si>
    <t>EN/I-Z-CE-5</t>
  </si>
  <si>
    <t>주차장 카스토퍼(주차블록) 설치 최소화</t>
  </si>
  <si>
    <t>개선전 : 주자창 카스토퍼(주차블록) 1면당 2개 설치
개선후 : 주차장 카스토퍼(주차블럭) 1면당 1개 설치</t>
  </si>
  <si>
    <t>중복 아이디어_424번</t>
  </si>
  <si>
    <t>CO/Z-PI-CE-106</t>
  </si>
  <si>
    <t>2302505</t>
  </si>
  <si>
    <t>김예리</t>
  </si>
  <si>
    <t>오늘은 O.G.R.D ♻️ (Office Goods Reuse Day)</t>
  </si>
  <si>
    <t>사무실 내 사용하지 않는 문구류 및 사무용품을 재활용하고 공유하는 캠페인을 도입하여, 불필요한 구매비용을 절감하고 친환경 사무문화를 조성하고자 함.</t>
  </si>
  <si>
    <t xml:space="preserve">유사아이디어(1148)가 있으나 방안이 조금 달라 제안은 인정. 조금 마이너하고 캠페인성이라 직원들 인식이 별로 좋지 않을 것으로 보여 과제화는 주저됨 </t>
  </si>
  <si>
    <t>CO/Z-PI-CE-107</t>
  </si>
  <si>
    <t>1603311</t>
  </si>
  <si>
    <t>손재우</t>
  </si>
  <si>
    <t>숙소 운영 방식 변경(회사임대-&gt;개인임대)</t>
  </si>
  <si>
    <t>현재 회사가 계약하는 형식에서 변경. 개인이 숙소를 계약, 복비, 임대보증금 이자 등 제반 비용은 개인이 전체를 부담하게 함. 회사는 숙소비로 월 인당 60~70만원 현금만 지급</t>
  </si>
  <si>
    <t>14, 중복
(1173)</t>
  </si>
  <si>
    <t>1173번 내용과 일치함</t>
  </si>
  <si>
    <t>EN/I-Z-CE-6</t>
  </si>
  <si>
    <t>세대욕실(경량벽체) 방수턱 삭제</t>
  </si>
  <si>
    <t>개선 전 : 방수턱(습식) 시공
개선 후 : J형 러너 시공(방수턱 대체) 후 석고보드 설치 전 코너방수 보강</t>
  </si>
  <si>
    <t>(26년 상반기 욕실 건식화 과제에 통합할 예정) 
대림 시행 중(방수턱 삭제-&gt;방수런너 시공)
당사 시행하게되면(평택영신2) 욕실 표준으로 할 예정</t>
  </si>
  <si>
    <t>CO/Z-ID/Z-EXP-5</t>
  </si>
  <si>
    <t>복합기 월 임대단가 조정 및 가이드라인 수립</t>
  </si>
  <si>
    <t>1.본사/현장에 사용량을 고려한 적정 렌탈료 조정이 필요
2.본사 층별/현장별 흑백전용 + 칼라겸용 복합운영 시 추가 절감 가능
3.PJ특성별 또는 현장 생애주기 고려한 월 렌탈료 및 기종선정 가이드 수립 필요
4. 당사 특성 고려, 공급자에게 신규 요금제 제안 등 범위 확장</t>
  </si>
  <si>
    <t>유사 제안(1270)이 있었으나 자료와 방안의 구체성으로 제안을 인정하고자 함. 
현장지원팀, 인사지원팀 검토 의견
 - 2월에 주한화 전체 계약 갱신 예정
 - 현 신도리코(복합기 거래처)와의 계약 사항에 따라 기본료를 낮추는 것은 불가능합니다. (126,000원 요금제 사용불가)
최초 계약시 본사 및 현장 복합기 사용량을 검토하여 현재 요금제로 계약하였기 때문에 그 이하(174,000원)의 요금제로 변경은 어려운 상황입니다.
또한 사용량이 낮은 시기(철거, 개설 초기)에는 낮은 기본료를 적용하고, 사용량이 많아지는 시기부터 기본료를 높이는 것은 어렵다고 합니다.
따라서, 내년 복합기 업체와 재계약시 본사 및 현장 복합기 사용량을 검토하여
요금제를 다양하게 적용하는 방안을 검토한다고 합니다.</t>
  </si>
  <si>
    <t>CO/D-Z-CE-32</t>
  </si>
  <si>
    <t>양중로봇 투자 및 자율화 시스템 자체개발</t>
  </si>
  <si>
    <t>1.로봇 도입 타당성 조사 및 파트너 탐색 (예: 고레로보틱스 등)
2.지분투자 우선 검토, 건설산업 자동화 동향을 관망
3.공기 부족 현장에 파일럿 도입 → 야간 위주 시범운용 후 효과 분석 및 확대 적용
4.협력사와 내역구분 체계 구축, 로봇 양중 비용구조 명확화</t>
  </si>
  <si>
    <t>선도사(포스코)와 협업 수행 검토 필요(기술혁신팀)</t>
  </si>
  <si>
    <t>CO/D-Z-CE-33</t>
  </si>
  <si>
    <t>타일 품목 변경 / 포세린 타일-&gt;자기질 or 도기질 타일</t>
  </si>
  <si>
    <t>개선 전 : 내부 마감 포세린타일 적용
개선 후 : 자기질 or 도기질 타일로 대체</t>
  </si>
  <si>
    <t>품질저하 이슈 발생 가능</t>
  </si>
  <si>
    <t>9606951</t>
  </si>
  <si>
    <t>이남섭</t>
  </si>
  <si>
    <t>현장 사무실, 숙소용품 등 다이소를 통한 구매 일원화</t>
  </si>
  <si>
    <t>사무실 숙소에서 사용하는 단순비품 및 생활용품을 국내 최저가 수준인 다이소에서의 구입을 원칙으로 하고 본사 차원의 제휴를 통한 구매도 가능할 것으로 사료됨</t>
  </si>
  <si>
    <t>아이디어 차원에서 제안은 인정. 호불호가 심해 과제화는 어려워 보임</t>
  </si>
  <si>
    <t>CO/I-ID/Z-CE-4</t>
  </si>
  <si>
    <t>현장직원 피복류 개인 구매 및 포인트 환급</t>
  </si>
  <si>
    <t>현장직원 개인이 청구할 수 있도록 금액을 지급하고 개인이 신청할 수 있도록 하여, 피복류 지급기준이 지켜지도록 하고 지급된 피복 관리를 잘하여 추가 피복 청구가 없을 경우 남은 금액의 일정부분을 리프레쉬 포인트 처럼 타 물품 구매에 사용할 수 있도록 함</t>
  </si>
  <si>
    <t>PR/C-YY-CE-1</t>
  </si>
  <si>
    <t>1301750</t>
  </si>
  <si>
    <t>박세준</t>
  </si>
  <si>
    <t>현장 차량 리스 자동차보험 가입 개선으로 비용 절감</t>
  </si>
  <si>
    <t>개선전 : 현장 리스 차량 구매 발주 시 대부분 자동차보험 미포함 계약 후 : 리스차량 자동차보험 관리 일원화 담당자 지정하여 다수차량 특별요율 적용 자동차보험 가입 진행</t>
  </si>
  <si>
    <t>좋은 아이디어로 과제화 가능
-&gt; 다수차량 특별요율 적용 할인 검토</t>
  </si>
  <si>
    <t>CO/D-Z-CE-34</t>
  </si>
  <si>
    <t>2203409</t>
  </si>
  <si>
    <t>김동기</t>
  </si>
  <si>
    <t>지하주차장 차량 교차부 마감변경</t>
  </si>
  <si>
    <t>지하주차장 진입부에 경사램프 조면 처리 구간을 램프에 국한하지 않고 지하주차장 램프 아래 진입부까지 연장하고 또한 지하주차장 내부 교차부위 또한 엠보 시공이 아닌 조면 처리 마감한다.</t>
  </si>
  <si>
    <t>바닥재 들뜸 하자에 대한 대안으로 제시하였으나,
정확한 솔루션에 대한 논의가 필요함
-&gt; 바닥재 들뜸 하자는 배수판에 따른 하자이며, 해당부위는 배수판없이 
 무근시공 하여 해당 하자를 줄일 수 있음
  이후, 마감에 대한 조면처리, 엠보처리에 대한 논의 필요</t>
  </si>
  <si>
    <t>CO/I-ID/Z-CE-5</t>
  </si>
  <si>
    <t>현장설명회 프로세서 개선 건</t>
  </si>
  <si>
    <t>현장설명회(이하 현설)는 서면자료 뿐 아니라 프레젠테이션으로 진행하여 현장여건, 공법 등 이해가 잘 되고 설득하여 현장인원 뿐 아니라 주무부서 담당 참여하여 협력업체와 대화의 장으로 이끈다.</t>
  </si>
  <si>
    <t>중복 아이디어(박종문 CJ) 뿐만 아니라
블라인드 현설을 시행하고 있음</t>
  </si>
  <si>
    <t>1100746</t>
  </si>
  <si>
    <t>조성식</t>
  </si>
  <si>
    <t>하수처리시설 개구부 덮개 재질 변경
(FRP-&gt;SMC)</t>
  </si>
  <si>
    <t>개선전 : 하수처리시설 기자재 운반, 인원 출입용도로 개구부 덮개 FRP소재 적용
개선후 : FRP소재를 대신하여 성능이 개선된 SMC소재 사용한 개구부 덮개 적용</t>
  </si>
  <si>
    <t>아이디어 인정, 과제 채택
15차 과제승인위원회 시 진행 건</t>
  </si>
  <si>
    <t>CO/D-YY-CE-10</t>
  </si>
  <si>
    <t>경비 인력 직영 운영의 건</t>
  </si>
  <si>
    <t>개선 전 : 현재 건축현장의 경우 경비업체와 계약 후 3명 파견 직원 운영 중 
개선 후 : 직영 운영을 통해 업무 효율화 및 원가절감 기대</t>
  </si>
  <si>
    <t>아이디어만 인정
파견업체 근로자의 관리 통제 제한에 대한 미동의
젊은 경비용역 비용증액시 가능
직접 고용의 애로사항 있음(지역별 채용 난 등)</t>
  </si>
  <si>
    <t>D.A 및 지하주차장 출입램프 등 SUB 구조물 마감변경</t>
  </si>
  <si>
    <t>공동주택의 D.A, 경비실, 외부 ELEV 등 부속 구조물 외벽에 지정석재를 물갈기 방식으로 시공할 경우, 비계 설치 및 고소작업으로 안전위험과 하중 증가가 발생하고 콘크리트 노출면 대비 석재 품질 관리가 미흡함.
개선안 : 석재 마감 대신 석재뿜칠을 적용하여 시공 효율성과 안전성 향상</t>
  </si>
  <si>
    <t>부속동의 규모가 작지만,
마감 시기에 준공시점에 몰려 석재 마감 대신 석재뿜칠로 설계변경시
장점이 많은 것으로 판단</t>
  </si>
  <si>
    <t>EN/EX-E-CE-5</t>
  </si>
  <si>
    <t>질식소화포 내장 천장형 전기차 충전기</t>
  </si>
  <si>
    <t>개선전 : 당사 천장형 충전기는 CCTV, 연기감지기만 선택 가능해 화재 확산 대응이 미흡하며, 심야나 무인 상황 시 즉각 대응이 어려움
개선후 : 천장형 충전기 고정 구조물에 질식소화포를 내장하여 연기 감지시 자동낙하 -&gt; 차량덮음 -&gt; 화재확산 차단.</t>
  </si>
  <si>
    <t>26년 하반기 그린솔루션팀 추진사항 검토 후 과제화 추진 예정
(천정형전기차 충전기 기술개발 연계사항)
- 그린솔루션 의견 : 충전기 판매 시 함께 구성하면 좋은 기술 아이템(옵션)
  (다만, 신규 기술개발 필요에 따른 시간 및 비용 소요)</t>
  </si>
  <si>
    <t>EN/S-C-CE-28</t>
  </si>
  <si>
    <t>카카오톡 클라우드 기능을 활용한 사진 관리</t>
  </si>
  <si>
    <t>개선전 : 사진이 개인별로 보관되어 중복 촬영, 분실 사례 다수 발생
개선후 : 카카오톡에 공정별, 상황별 등 사전에 채팅창 개설하여 직원은 촬영 후 해당 채팅방에 업로드</t>
  </si>
  <si>
    <t>아이디어 인정, 과제 미채택
현장에서 공정진행 파악을 위해서 필요한 부분이나 추가 비용이 들어가는 부분이며, 현재 ECDA 등 시스템이 구축되어 있어 과제로 진행은 어렵습니다</t>
  </si>
  <si>
    <t>IN/C-C-CE-9</t>
  </si>
  <si>
    <t>터널 작업용 비계 강재 재료비(손율) 반영</t>
  </si>
  <si>
    <t>터널 작업용 비계의 강재 재료비 반영 설계변경 추진</t>
  </si>
  <si>
    <t xml:space="preserve">아이디어 인정, 과제 미채택
명확한 사유로 도급증액이 가능한 항목이나, 발주처/ 현장별 설계가 상이하여 과제채택 보다는 현장VE진행이 적정하다고 판단됩니다. </t>
  </si>
  <si>
    <t>CO/Z-YY-CE-17</t>
  </si>
  <si>
    <t>개인숙소 난방기기 통합관리용 스마트 온도 조절기 설치</t>
  </si>
  <si>
    <t xml:space="preserve">개선전 : 개별 난방 사용에따른 비용이 다 다르며 공지를 하여도 출근시간에 난방 외출 및 적정온도 설정을 잊어버리는 경우가 대다수
개선 후 : 스마트 온도 조절기를 설치하여 관리팀에서 출근시간 외출 및 적정온도 설정상태를 확인하여 개인별 통계치 작성하여 개인별 통보 또는 출근시간에 맞춰 외출 및 적정온도로 통합 설정관리
</t>
  </si>
  <si>
    <t xml:space="preserve">유사제안 다수. 해결방안이 현실성이 다소 부족함 </t>
  </si>
  <si>
    <t>IN/C-C-CE-10</t>
  </si>
  <si>
    <t>2303382</t>
  </si>
  <si>
    <t>김탁용</t>
  </si>
  <si>
    <t>교량 안전 브라켓 활용 방안</t>
  </si>
  <si>
    <t>개선전 : 각 공구별 단순 일괄구매, 재사용 회수체계 부재로 철거 후 폐기 처리, 단기간 사용으로 안전관리비 편중되어 부족 현상 발생
개선후 : 각 공구별, 형식별, 공정단계별 맞춤형 협업구매, 일정 협의하여 공동구매 브라켓 설치/해체 후 타공구 재설치, 협업으로 인한 안전관리비 절감효과</t>
  </si>
  <si>
    <t>아이디어 인정, 과제 미채택
교량이 많은 고속도로 현장의 특성 상 발생할 수 밖에 없는 문제이나, 당 사 현장은 공정이 상이한 문제, 해당 사업 공구별 유용은 현장VE로 진행이 필요한 사항 입니다.</t>
  </si>
  <si>
    <t>IN/C-C-CE-11</t>
  </si>
  <si>
    <t>2403722</t>
  </si>
  <si>
    <t>조진원</t>
  </si>
  <si>
    <t>터널 라이닝 종방향 균열 유도 가이드 설치</t>
  </si>
  <si>
    <t xml:space="preserve">
개선전 : 기존 터널 라이닝 천단부는 종방향 줄눈이 설치 되지 않아 균열이 여러 갈래로 발생하여 균열 보수시 보수비용이 과다하게 발생. 일부 터널은 라이닝 천단부에 종방향으로 면귀를 설치하여 균열을 유도하고 있으나,타설작업 후 면귀 제거, 백업재 및 실런트 설치 등 추가적인 작업이 투입이 필요함.
개선후 : 균열 유도 가이드는 타설 작업 전 라이닝 폼에 종방향으로 설치하여 타설 작업 후 따로 면귀 제거, 백업재 및 실런트 설치 등 추가적인 작업이 없으며, 종방향 균열을 유도하여 균열 저감에 따른 보수 비용 절감, 공사기간 단축, 작업성 향상 효과 및 라이닝 타설 면 미관 개선 효과 기대.
</t>
  </si>
  <si>
    <t>아이디어 인정, 과제 미채택
터널 라이닝 천단부에 균열유도가이드를 설치하여 균열유도를 통한 하자보수비 절감, 공기 및 품질향상에 기여하나, 하자보수비 절감 효과를 검증하기 어려운 부분이라 인프라VE팀 통하여 필요한 경우 TOP데이 체크리스트에 해당부분 추가하여 관리할 수 있게 하겠습니다</t>
  </si>
  <si>
    <t>PR/C-C-CE-1</t>
  </si>
  <si>
    <t>차선도색공사 도료 직접 구매 시행</t>
  </si>
  <si>
    <t>차선도색 공사 발주시 도료를 당사 구매하여 지급자재로 공사 시행</t>
  </si>
  <si>
    <t>아이디어 인정, 과제 추진 중</t>
  </si>
  <si>
    <t>CO/Z-PI-SNA-66</t>
  </si>
  <si>
    <t>서클(전자결제) 문서함 중복기록 방지</t>
  </si>
  <si>
    <t>전자결제 시스템 개선을 통해 해당 팀에서 기안하는 문서에 대해서는, 해당팀 참조자 추가하더라도 수신문서함 기록되지 않고나, 검색이 되지 않도록 추진</t>
  </si>
  <si>
    <t>해당 아이디어 적용 완료. 과제화는 불필요</t>
  </si>
  <si>
    <t>D/PM-PI-BE-2</t>
  </si>
  <si>
    <t>Hanwha Urban Hub Platform(H:Hub)구축안</t>
  </si>
  <si>
    <t xml:space="preserve">주요 신규 복합개발사업(잠실·수서·서울역·대전역) 및 기존 수원 MICE 복합단지를 "H:Hub"단일 브랜드로 통합하여 PJ별 분산되어 있던 사업구조를 일원화하고 통합적 브랜드 자산으로 재편 </t>
  </si>
  <si>
    <t>(제안 인정, 과제화 미채택)
복합개발 단지의 시너지를 위한 유익한 제안이나, 유형효과가 모호하여 과제화 보다는 전략사업실 차원에서 추진 적절</t>
  </si>
  <si>
    <t>EN/I-Z-CE-7</t>
  </si>
  <si>
    <t>최상층, 옥탑층 알폼전용을 통한 원가, 안전, 품질 개선</t>
  </si>
  <si>
    <t>최상층 단위세대 천정 단열 계획의로 인해 전체 층고를 상향 설계할 경우, 공용부까지 재래식 거푸집 전환, 양중, 안전 다수의 리스크 확대. 이에 단위세대만 층고 반영하고, EV홀, 계단실 등 공용부는 기준층과 동일하게 유지</t>
  </si>
  <si>
    <t>16차 과제승인위 상정/승인 완료</t>
  </si>
  <si>
    <t>CO/I-YY-CE-20</t>
  </si>
  <si>
    <t>9607032</t>
  </si>
  <si>
    <t>안현철</t>
  </si>
  <si>
    <t>현장 개인숙소 관리비 무분별 사용 억제 방안</t>
  </si>
  <si>
    <t>개선전 : 개인숙소 관리비 발생 전액 납부
개선후 : 개인숙소 건물 별 발생 관리비 평균대비 일정액 상한 지정 상한액 초과 발생시 패널티 부여(숙소물품 지원 중단 등)</t>
  </si>
  <si>
    <t>유사 제안 다수.</t>
  </si>
  <si>
    <t>EN/I-A/F-CE-101</t>
  </si>
  <si>
    <t>단위세대 빌트인냉장고 미선택 시 기본 냉장고장 삭제 제안</t>
  </si>
  <si>
    <t>개선전 : 빌트인 냉장고장 미선택 시 냉장고장 기본 설계시공
개선후 : 냉장고장을 유상옵션 선택사항으로 불필요한 기본 설치를 없애고, 옵션 이익 추가 제안(빌트인 냉장고 선택시 기본 설치)</t>
  </si>
  <si>
    <t>타사 전부 미 시행(LH도 냉장고장은 설치해 줌)
- 다만 발코니 확장 안 할 경우 냉장고장 미설치 일반적</t>
  </si>
  <si>
    <t>EN/S-C-CE-29</t>
  </si>
  <si>
    <t>1400243</t>
  </si>
  <si>
    <t>김홍일</t>
  </si>
  <si>
    <t>정형화 기둥 전용 거푸집 제작 제안</t>
  </si>
  <si>
    <t>개선전 : 현장 내 반복, 정형화된 기둥(규격 동일)이 다수 존재하나 현재는 일반 시스템 거푸집을 반복 조립,해체하여 공기소모
개선후 : 반복되는 기둥 규격을 분석하여 전용 기둥 거푸집 제작</t>
  </si>
  <si>
    <t>아이디어 인정, 과제화 검토중
외주발주 전 정형화된 기둥에 대한 시스템 거푸집 적용하여 발주 시 유형효과에 대한 검증 및 실시설계 시 규격 표준화 가능여부, PC화 여부를 검토 후  과제추진 예정입니다.</t>
  </si>
  <si>
    <t>CO/I-YY-CE-21</t>
  </si>
  <si>
    <t>종료현장 이관 불가 비품 경매 처분</t>
  </si>
  <si>
    <t>개선전 : 적정가격 거래 불가 시 헐값에 매각하는 경우 발생
개선후 : 임직원 경매 또는 적정가격 제안 거래를 통한 원가 절감</t>
  </si>
  <si>
    <t xml:space="preserve">유사제안 다수. 해결방안 현실성이 다소 부족함 </t>
  </si>
  <si>
    <t>PR/C-Z-CE-7</t>
  </si>
  <si>
    <t>타워크레인 상승작업 감소를 통한 RISK 관리</t>
  </si>
  <si>
    <t>자립고가 높은 타워크레인 사용하여 상승작업 횟수 줄여 공기단축, 비용절감 확보</t>
  </si>
  <si>
    <t>아이디어 인정, 과제 검토중
타워크레인 투입장비 선정에 대한 검토가 필요함</t>
  </si>
  <si>
    <t>EN/S-A/S-CE-76</t>
  </si>
  <si>
    <t>0201016</t>
  </si>
  <si>
    <t>임원</t>
  </si>
  <si>
    <t>CS실장</t>
  </si>
  <si>
    <t>정윤상</t>
  </si>
  <si>
    <t>비구조 내진설계 적용 대상 천정 보강(안)</t>
  </si>
  <si>
    <t>개선전 : 천정~슬라브 사이에 공조, 제연, 소방 설비가 과밀한 공간에서는 사선형 철골 보강 설치가 어려움
개선후 : 기존 사선 대신 면적별로 바둑판처럼 격자 구조로 내진보강 표준하여 설계 반영</t>
  </si>
  <si>
    <t>아이디어 인정, 과제 미채택
비구조요소 내진설계 관리 Process 수립 과제와 연계하여 진행 예정입니다.</t>
  </si>
  <si>
    <t>EN/EX-A/S-CE-13</t>
  </si>
  <si>
    <t>기초부 대구경 수평 철근 커플러 적용 검토 및 원가절감 제안서</t>
  </si>
  <si>
    <t>개선선 : 고층 기초부에서 HD29이상 대구경 철근을 겹쳐서 묶는 방식을 사용하고 있었음.
개선후 : 겹침이음 대신 커플러 이음과 철근 그룹화를 적용하여 공사비, 시공성 개선</t>
  </si>
  <si>
    <t xml:space="preserve">아이디어 인정, 과제화 검토중
기초 주근이  D29를 초과하는 초고층 현장에 국한되나, 시공성 개선 및 절감효과도 확실함, </t>
  </si>
  <si>
    <t>PR/C-A/S-CE-6</t>
  </si>
  <si>
    <t>갱폼 단수조정을 통한 비용절감 제안</t>
  </si>
  <si>
    <t>개선전 : 당사 갱폼 아파트 3개층(발판 5단)을 기준으로 설계 및 발주
개선후 : 갱폼을 아파트 2개층(발판 4단)을 기준으로 설계 및 발주</t>
  </si>
  <si>
    <t>157번과 중복 아이디어</t>
  </si>
  <si>
    <t>PR/C-A/F-CE-12</t>
  </si>
  <si>
    <t>계단실 석재마감 변경을 통한 비용절감 제안</t>
  </si>
  <si>
    <t>개선전 : 아파트 1~3층 외부에 노출된 계단실을 석재로 마감
개선후 : 석재 대신 도장마감(일반형)또는 석재 뿜칠(고급형)적용</t>
  </si>
  <si>
    <t>1630번도 유사한 아이디어 인데...
반영 부위가 다름, 아파트 본동에 대한 부분이라 논의가 필요함</t>
  </si>
  <si>
    <t>EN/S-A/S-CE-77</t>
  </si>
  <si>
    <t>0300507</t>
  </si>
  <si>
    <t>송재형</t>
  </si>
  <si>
    <t>역타 철골 기둥(PRD col)설계하중 관리</t>
  </si>
  <si>
    <t>역타 철골 기둥의 설계 하중에 대해 초기 설계시 하중과 실제 수행시 하중의 차이가 크게 발생함. 이는 구조전문가와 해당 PJ를 수행할 엔지니어가 공동 협업을 통해서만 검토할 수 있음. 이에대한 이해도를 높여 원가절감 or 공기절감에 활용코자 함.</t>
  </si>
  <si>
    <t xml:space="preserve">아이디어 인정, 과제 미채택
역타현장에 필요한 아이디어이나 현장간 특수성이 있기떄문에 과제화를 수행하기에는 어려움이 있다고 판단하였습니다. 유사한 현장(수서역, 대전역 등)에도 검토 될 수 있도록 Top Day Check-list에 포함시킬 예정 </t>
  </si>
  <si>
    <t>PR/C-A/S-CE-7</t>
  </si>
  <si>
    <t>공동주택 PIT 거푸집 시스템 도입</t>
  </si>
  <si>
    <t>공장 제작된 합성수지+트러스거더 방식 데크 거푸집을 활용하여 PIT벽체와 슬래브 일체 시공함으로써, 기존 공법 대비 작업성 향상시키고 원가절감.</t>
  </si>
  <si>
    <t>아이디어 인정, 과제화 검토중
(기술혁신팀 본부장님 보고자료 작성중)</t>
  </si>
  <si>
    <t>PR/P-Z-CE-1</t>
  </si>
  <si>
    <t>1400252</t>
  </si>
  <si>
    <t>박지원</t>
  </si>
  <si>
    <t>입찰 플랫폼 활용 분야 확대를 통한 원가절감 및 편의성 증대</t>
  </si>
  <si>
    <t>현재 Pilot 운영중인 "공새로" 자재 입찰 플랫폼을 활용 분야 확대로 비용절감 및 구매 효율성 향상 추진</t>
  </si>
  <si>
    <t>기 승인 과제, 서울역 현장 PILOT 운영중</t>
  </si>
  <si>
    <t>CO/I-YY-CE-22</t>
  </si>
  <si>
    <t>2200434</t>
  </si>
  <si>
    <t>유병근</t>
  </si>
  <si>
    <t>전도금 출금 업무 인터넷뱅킹 활용</t>
  </si>
  <si>
    <t>개선 전 : 출금 업무를 위하여 2시간 이상 현장사무실 PA업무 공백
개선 후 : 인터넷뱅킹으로 간편하게 업체 송금</t>
  </si>
  <si>
    <t>과거 자금팀에서 공인인증서 발급이 금융사고 발생 우려로 안된다고 했었음. 다시 한번 알아보겠음</t>
  </si>
  <si>
    <t>EN/EX-C-CE-2</t>
  </si>
  <si>
    <t>9710346</t>
  </si>
  <si>
    <t>경기남부/강원PD</t>
  </si>
  <si>
    <t>송도화</t>
  </si>
  <si>
    <t>지하층 층고 최적화 관리</t>
  </si>
  <si>
    <t>현상 : 지하층(기계실, 전기실, 정화조, 소화수조 등등) 층고에 따른 터파기 잔토처리 및 흙막이 타입 등의 실제 현장시공에 영향
제안 : 각 공정별 관리자(건축팀, 기계팀, 전기팀 등) 예상되는 장비 사이즈 및 유지관리 공간 검토 → 최적의 층고 확정</t>
  </si>
  <si>
    <t xml:space="preserve">기계/전기실 장비 구체화 전에 건축 설계 사전 수행에 따른 근본적 문제
- 기계/전기팀과 협의하여 용도 및 규모별 가이드 마련이 가능한지 검토예정 </t>
  </si>
  <si>
    <t>CO/D-Z-CE-35</t>
  </si>
  <si>
    <t>2303129</t>
  </si>
  <si>
    <t>김보성</t>
  </si>
  <si>
    <t>장비 단가 협약</t>
  </si>
  <si>
    <t>개선전 : 지역별, 현장별 장비 단가 상이함
개선후 : 협약을 통한 장비 단가 일원화</t>
  </si>
  <si>
    <t>중복아이디어(1126번)</t>
  </si>
  <si>
    <t>PR/C-Z-CE-8</t>
  </si>
  <si>
    <t>환경 전문인력을 통한 RISK감소 및 전문인력 양성 활성화</t>
  </si>
  <si>
    <t>개선전 : 현장 반장(건축, 전기, 안전)들의 환경 업무는 주 업무가 아니라는 인식이 강해 환경 관련 RISK가 많음
개선후 : 환경 전문인력(반장)을 통한 환경 RISK 감소 및 전문인력 양성</t>
  </si>
  <si>
    <t>운영 중인 사안</t>
  </si>
  <si>
    <t>1302873</t>
  </si>
  <si>
    <t>용인물류 구역외 도로공사</t>
  </si>
  <si>
    <t>전청병</t>
  </si>
  <si>
    <t>현장 전도금 처리 펌뱅킹 제도 도입</t>
  </si>
  <si>
    <t>개선전 : 현장에서 전도금 비용처리 시, 해당지역 은행을 직접 방문하여 이동 및 대기시간, 이체수수료 발생(일부 은행 제외)
개선후 : 펌뱅킹 사용 시 은행 방문 및 대기로 인한 시간 절감, 이체수수료 발생 감소</t>
  </si>
  <si>
    <t>16
(1653중복)</t>
  </si>
  <si>
    <t>1653과 너무 동시에 들어와서 PA분들간 대화가 의심되어 중복 제외</t>
  </si>
  <si>
    <t>PR/C-PI-CE-17</t>
  </si>
  <si>
    <t>현장설명서 상 퇴직공제부금 전자카드 발급 의무화 반영</t>
  </si>
  <si>
    <t>개선전 : 업체별 일일 출력현황을 각 업체 출력일보 또는 문자, 카톡 등으로 수령하여 실제 출력 인원과의 일치 여부 확인이 매우 어려움
개선후 : 현장 현장설명서에 관리감독자 포함 현장 투입인원 전원퇴직공제 전자카드 발급 의무화 내용 기재</t>
  </si>
  <si>
    <t>퇴직공제 전자카드를 활용한 출입 관리 강화 및 외부점검 대응</t>
  </si>
  <si>
    <t>CO/I-PI-CE-67</t>
  </si>
  <si>
    <t>E-Payment 구매(지급, 현장)요청서 업무 간소화</t>
  </si>
  <si>
    <t>개선전 : 구매실적(지급,현장)요청서 및 반입대장 작성 윈도우 창 이원화
개선후 : 요청서 및 반입대장 한 창에 보여지도록 일원화 구현</t>
  </si>
  <si>
    <t>DT팀, 현장지원팀 문의하여 검토하겠음. 단 과제화는 불필요함</t>
  </si>
  <si>
    <t>PR/C-PI-CE-18</t>
  </si>
  <si>
    <t>0200571</t>
  </si>
  <si>
    <t>김범준</t>
  </si>
  <si>
    <t>퇴직공제부금 전자카드 단말기 설치 관련 본사계약 체결</t>
  </si>
  <si>
    <t>개선전 : 각 현장에서 자체판단하여 단말기 공급 계약 체결
개선후 : 단말기 공급을 본사계약으로 전환하여, 직간접적 원가 절감 기대</t>
  </si>
  <si>
    <t>퇴직공제 단말기 본사 구매안</t>
  </si>
  <si>
    <t>CO/Z-PI-CE-108</t>
  </si>
  <si>
    <t>냉난방기 임대자산 전환</t>
  </si>
  <si>
    <t>개선전 : 연간단가 계약 업체에서 구매
개선후 : 연간단가 계약 업체에서 임대하여, 임대업체에서 AS진행</t>
  </si>
  <si>
    <t>14
(중복, 729)</t>
  </si>
  <si>
    <t>EN/EX-A/S-CE-14</t>
  </si>
  <si>
    <t>옥탑 출입문 캐노피 변경
(골조 → AL SHEET)</t>
  </si>
  <si>
    <t>배경 : 아파트 옥상으로 나가는 문 상부에 설치되는 캐노피 중 층변화로 인해 생기는 낮은 옥상의 경우 갱폼을 전용하게 되는데 골조로 캐노피를 형성하기위한 이음철근을 빼놓기 어려운 상황이 발생함
개선전 : 옥탑 캐노피 골조 시공
개선후 : 옥탑 캐노피 AL SHEET 시공</t>
  </si>
  <si>
    <t>아이디어만 인정(일부 아주 국소적 사항)
1) 층 단차 발생하는 코어 일부 외벽에만 해당됨
2) 그리고 해당 문제는 출입문 위치를 변경하면 대부분 해결됨
   (설계 단계에서 먼저 주지하여 해결해주면 되는 사항)</t>
  </si>
  <si>
    <t>EN/E-E-CE-77</t>
  </si>
  <si>
    <t>문주 라인조명의 배선작업 절차 개선</t>
  </si>
  <si>
    <t>개선 전 : 석공사 완료 및 작업용 시스템 비계 해체 후 점검구를 타고 올라가서 라인조명 배선작업 
개선 후 : 석공사 설치용 비계가 설치된 상태에서 현장에 상주하는 전기업체에서 석공사 작업을 바로 따라가면서 라인조명 설치 혹은 별도 외부 업체를 선정하여 석공사 업체와 사전협의 후 석공사시 따라가면서 배선작업 실시</t>
  </si>
  <si>
    <t>해당현장에 국한된 내용이 아닐까 싶음.
석공사 시스템비계 설치되어있을때 작업하는게 일반적임.</t>
  </si>
  <si>
    <t>PR/P-ID/H-CE-4</t>
  </si>
  <si>
    <t>현장 쉘터차량 연간단가 반영을 통한 원가절감</t>
  </si>
  <si>
    <t>개선전 : 현재 현장 자체 지역 렌터카 업체를 통한 운영 시 혹한기/혹서기 기간이 1~3개월 계약으로 계약단가 높음
개선후 : 구매팀 공사차량 단가 계약업체에 쉘터용(9인승)차량 추가 시 원가절감 가능</t>
  </si>
  <si>
    <t>차량은 단가계약이 어려움. 지역/사용기간/발주시점에 따라 편차 큼</t>
  </si>
  <si>
    <t>PR/P-YY-CE-2</t>
  </si>
  <si>
    <t>현장발령 및 임용직원 Welcome Package 지급의 건</t>
  </si>
  <si>
    <t>현장전문식 신규입사 / 현장직 발령 시 Welcome Package(선글라스, 레이저포인터, 줄자 등) 잡자재 단가품 선정하여 현장발령 및 임용 시 지급</t>
  </si>
  <si>
    <t>현장 상황에 따라 개인별 필요물품, 호불호가 강하여 현장에서 니즈를 반영하여 사주는 것이 더 좋을것.
소속감 고취 차원에서 아이디어로는 인정</t>
  </si>
  <si>
    <t>CO/Z-PI-SNA-67</t>
  </si>
  <si>
    <t>E-Accounting Program 증빙문서 문서보안 적용</t>
  </si>
  <si>
    <t>경리, 회계를 다루는 실무자는 증빙문서에 대한 Lock이 있을 시 문서 열리지 않음을 인지하고 있으나, 개인경비의 경우 작성자가 직원 개개인이라 결재 반려의 빈도가 높음
개선후: 같은 네트워크를 이용하는 프로그램으로 문서 보안 적용은 회사 정보보안 정책도 부합.</t>
  </si>
  <si>
    <t>DT팀 검토. 단, 과제화는 불필요
 - 웹 상 첨부파일 열람시 파일 복호화에 대한 정보보호사무국 협의 필요
(현재는 개인정보 포함 파일의 기준이 모호하여 전체 파일의 암호화 저장 권고)
- 제안자가 언급한 그룹 사용 중인 문서보안(DRM) 내 웹링커 기능부재로, 웹서버 내 파일업로드 모듈(서비스링커) 개발 계획 수립</t>
  </si>
  <si>
    <t>CO/D-A/S-SNA-1</t>
  </si>
  <si>
    <t>공동주택 안방 발코니 분합 상부 인방 골조 시공</t>
  </si>
  <si>
    <t>배경 : 공동주택 안방 발코니 분합 부위 상부 인방을 조적 인방으로 시공하게 되면 2m 이상의 기성 인방재가 사용되며, 대부분 0.5B쌓 기이므로 인방의 처짐현상이 생기게 되고, 이를 방지하기 위해 별도 서포트를 설치해야하고 근로자들이 양생이 되기 전에 서포트를 건드리거나 서포트가 이탈 시 사고 발생의 우려도 있음.
개선전 : 분합 인방 조적인방 시공
개선후 : 분합 인방 공조인방 시공(수벽개념으로 철근 최소화)</t>
  </si>
  <si>
    <t>장단점이 명확하고,
현장별 시공방법이 다름</t>
  </si>
  <si>
    <t>D/PM-PI-BE-3</t>
  </si>
  <si>
    <t>수주심의 참고용 과거 DB구축</t>
  </si>
  <si>
    <t>개선전 : 20년간 당사 수주시 예측치와 정산 후 결과치의 괴리 이유를 분석한 자료 부재
개선후 : 20년간 당사 수주후 수행 완료한 PJ의 객관적 정보 수집(수주시 대외환경, 리스크 인식여부, 수주 결정 이유, 수행중 환경변화)</t>
  </si>
  <si>
    <t xml:space="preserve">(제안 미인정) 
Unifier 영업관리/심의관리/수주심의 시스템 있음  </t>
  </si>
  <si>
    <t>EN/EX-A/S-CE-15</t>
  </si>
  <si>
    <t>지붕 무근없는 BAPV 태양광 적용</t>
  </si>
  <si>
    <t>배경 : 제로에너지빌딩 의무화로 옥상면적 대부분 태양광 설치 필요
기존 PV방식처럼 무거운 콘크리트+트러스를 쓰지 않고, 베이스패널 위에 바로 PV 모듈설치</t>
  </si>
  <si>
    <t>26년 상반기까지 검토하여 가/부 결과를 내겠음
방수보호재를 겸하는 태양광 패널 고정용 복합패널로 트러스 삭제 가능
1) 다만, 패널을 평평하게 설치해야해서 옥탑 디자인 구조물 설치 제약
2) 이미 GS건설에서 특허출원 완료 및 실물 목업 실증 진행중
3) 당사 방수 표준(노출우레탄) 유지관리 관점에서는 저촉됨</t>
  </si>
  <si>
    <t>EN/I-PI-BE-1</t>
  </si>
  <si>
    <t>인허가 평가대상 축소에 대한 용역비 산정 기준 마련</t>
  </si>
  <si>
    <t>개선전 : 인허가 과정에서 각 평가기관과 협의를 통해 평가 대상 제외 또는 평가 범위 축소 시 용역비 산정 기준이 없어 용역사의 평가 축소를 위한 노력 부재
개선후 : 평가 대상 제외 또는 평가 범위 축소 시 용역비 산정 기준과 달성 비용을 마련하여 해당 업무에 대한 추진 독려</t>
  </si>
  <si>
    <t>(제안 인정, 과제화 미채택)
ex. 잠실PJ 소방 심의범위에서 야구장 등이 제외된 사례처럼, 용역사의 노력으로 용역범위가 축소된 경우, 용역비 조정과 동시에 업체 인센티브 제공이 가능토록 계약서에 관련 문구를 반영하자는 취지 
→ 용역 계약 시 PJ별 특성에 따라, 사업팀/법무팀/개발지원팀에서 반영할 수 있도록 협의 예정</t>
  </si>
  <si>
    <t>EN/I-PI-BE-2</t>
  </si>
  <si>
    <t>용역 수행 결과 DB화를 통한 우수협력사 실적 관리</t>
  </si>
  <si>
    <t>각종 영향평가, 심의 등에서 평가기관 협의 역량 및 평가 결과에 대한 DB를 마련하여 업체가 제공하는 자료 외 자체 보정 DB 구축이 필요</t>
  </si>
  <si>
    <t>(제안 인정, 과제화 미채택)
ex. 디자인팀에서 발주한 용역사는 디자인팀에서 실적 평가하여 외주팀으로 전달, 사업팀에서도 외주팀에 전달토록 프로세스 구축 
→ 외주팀과 협의하여 협력업체 관리 목록에 도시계획/교통/소방업체 추가 방안 협의 예정</t>
  </si>
  <si>
    <t>CO/Z-PI-CE-109</t>
  </si>
  <si>
    <t>2303383</t>
  </si>
  <si>
    <t>제3연륙교 1공구</t>
  </si>
  <si>
    <t>유승철</t>
  </si>
  <si>
    <t>현장 직원 간식 구독서비스 전환</t>
  </si>
  <si>
    <t>회사 간식 구독서비스를 전환하여 계약업체를 통해 인터넷으로 신청 및 월 누적관리를 통한 비용절감</t>
  </si>
  <si>
    <t>현장지원팀 검토 요청. 복리후생, 원가, 편의성 모두 장점이 있음
다만, 비싸서 실현 가능성 적음</t>
  </si>
  <si>
    <t>PR/C-Z-CE-9</t>
  </si>
  <si>
    <t>마감용 단열재 수장공사 일괄 시공</t>
  </si>
  <si>
    <t>개선 전 : 단열재 붙이기 여러 공종으로 분리(습식, 수장, 석공사 등) 
개선 후 : 단열재 붙이기 수장공사 일괄 시공</t>
  </si>
  <si>
    <t>공종별 시공부위가 다르고 
투입시기에 따라 장단점이 명확함</t>
  </si>
  <si>
    <t>CO/I-PI-CE-68</t>
  </si>
  <si>
    <t>현장 환경개선활동 확대</t>
  </si>
  <si>
    <t>환경의 날 캠페인 시행 / 당사 및 협력사 분리수거 철거 / 재활용가능한 플라스틱류 및 페드럼류 수거업체 발굴</t>
  </si>
  <si>
    <t>과제화한 내용과 유사한 부분이 많음</t>
  </si>
  <si>
    <t>CO/D-Z-CE-36</t>
  </si>
  <si>
    <t>2102485</t>
  </si>
  <si>
    <t>신정훈</t>
  </si>
  <si>
    <t>실외기실 전열교환장치 외부환기캡 시공사이클 변경의 건</t>
  </si>
  <si>
    <t>개선전 : 세대 내 실외기실 또는 비상대피실에 루버 설치 후 외부에서 로프나 비계를 이용해 환기캡을 철치
개선후 : 루버를 세대로 반입, 양중 후 환기캡을 먼저 조립 그 다음 루버 설치</t>
  </si>
  <si>
    <t>중복 아이디어도 있으며, 구체적인 제품에 대한 내용이 없음</t>
  </si>
  <si>
    <t>EN/M-M-CE-57</t>
  </si>
  <si>
    <t>공동주택 옥내소화전 연결송수구방수구 통합시공 건</t>
  </si>
  <si>
    <t>전제조건: 옥내소화전배관과 연결송수구배관 100A이상 겸용사용시 옥내소화전 방수구를 65mm로 시공시 연결송수구 별도설치 없이 통합사용가능</t>
  </si>
  <si>
    <t>분기티를 줄이는 아이디어이나, 소방서 및 감리단 협조가 어려울 것으로 예상됨</t>
  </si>
  <si>
    <t>CO/Z-PI-SNA-68</t>
  </si>
  <si>
    <t>도서후기(집필)관련 결제 전산화</t>
  </si>
  <si>
    <t xml:space="preserve">개선 전 : 출력 후 수기 결재, 교육시간 개별 확인 등 수작업 중심
개선 후 : LMS 또는 전자결재 시스템을 활용한 온라인 제출·전자결재·자동 집계로 전 과정 전산화
</t>
  </si>
  <si>
    <t>DT팀 검토 요청. 투입비 대비 실효성 검토. 단, 과제화는 불필요함
 - 시스템에 투입하는 비용 대비 효용성 검토 중. 전자결재화 방안 고민</t>
  </si>
  <si>
    <t>EN/S-A/F-CE-7</t>
  </si>
  <si>
    <t>비구조요소 내진설계 관리 Process 수립</t>
  </si>
  <si>
    <t>16차 과제승인위 상정예정</t>
  </si>
  <si>
    <t>16차(251219)</t>
  </si>
  <si>
    <t>PR/C-C-CE-2</t>
  </si>
  <si>
    <t>1103508</t>
  </si>
  <si>
    <t>인프라현장(턴키, 민자) 철근 고철 관리 기준 정립</t>
  </si>
  <si>
    <t>철근 고철을 단순 기계약 정산이 아니라 실제 수량, 단가로 정산하도록 시스템화하여 원가절감</t>
  </si>
  <si>
    <t>D/PM-PI-SA-2</t>
  </si>
  <si>
    <t>(주)에이치씨엔디</t>
  </si>
  <si>
    <t>조명특화 + 실링팬 옵션</t>
  </si>
  <si>
    <t>거실조명 특화 및 실링팬 오션을 통해 수요자의 선택을 확보하고 신규 수요 창출을 통한 매출 증대 효과</t>
  </si>
  <si>
    <t>(제안 미인정)
988번 제안과 중복</t>
  </si>
  <si>
    <t>EN/I-Z-CE-8</t>
  </si>
  <si>
    <t>공동주택 동출입구 자동문 Type 변경 및 스펙 표준화</t>
  </si>
  <si>
    <t>공동주택 동 출입구 자동문 Type(패닉 → 슬라이딩) 변경 및 설계기준 표준화를 통하여 원가절감, 시공 및 업무 Scope에 대해서 개선 하고자 함</t>
  </si>
  <si>
    <t>16차 과제승인위 상정 예정</t>
  </si>
  <si>
    <t>CO/I-YY-CE-23</t>
  </si>
  <si>
    <t>0500486</t>
  </si>
  <si>
    <t>김재광</t>
  </si>
  <si>
    <t>무전기 지급 기준 변경</t>
  </si>
  <si>
    <t>현장 전 직원 무전기 지급에서 신청자에 한하여 무전기 지급</t>
  </si>
  <si>
    <t>다양한 대안 고민이 필요함. 현장 통신 구축방안</t>
  </si>
  <si>
    <t>D/PM-PI-BE-4</t>
  </si>
  <si>
    <t>프로젝트 리츠 활용 프로세스 구축</t>
  </si>
  <si>
    <t xml:space="preserve">배경 : 국토부에서 부동산개발사업 선진화를 위해 향후 규제 강화, PFV 혜택 축소
제안 : "프로젝트 리츠" 활성화를 위해 규제 완화 세제 해택  선제적 활용 </t>
  </si>
  <si>
    <t>아이디어 인정, 과제화 미채택
유관부서에 동향 공유. 추후 PJ 추진과정에서 필요 시 CFT 구성 재검토</t>
  </si>
  <si>
    <t>CO/I-PI-SNA-6</t>
  </si>
  <si>
    <t>권역 PD 판관비 담당현장 원가배부</t>
  </si>
  <si>
    <t>판관비(거래선접대비, 사내경조사비, 업무추진식대) 담당 현장 원가 배부(1/N)</t>
  </si>
  <si>
    <t>소탐대실. 일이 너무 늘어남</t>
  </si>
  <si>
    <t>CO/I-PI-SNA-7</t>
  </si>
  <si>
    <t>대전역세권/잠실MICE TFT 투입원가 수주추진비(계약이행원가)집행</t>
  </si>
  <si>
    <t>개선전 : 대전역세권 / 잠실MICE TFT 투입 원가 판관비로 집행
개선후 : 해당 현장 수주추진비(계약이행원가)로 집행</t>
  </si>
  <si>
    <t>4월 과제승인위 발표</t>
  </si>
  <si>
    <t>EN/E-E-BE-1</t>
  </si>
  <si>
    <t xml:space="preserve">친환경 업무 Process 개선 (자동화 및 AI 도입)
(ZEB 제도에 따른 개산견적 정확도 향상 및 최적화 설계 Program 구축)
</t>
  </si>
  <si>
    <t>AI 기반 ZEB 최적설계 프로그램’ 구축 (
최소 원가로 인증 취득 가능하도록 설계 자동화)</t>
  </si>
  <si>
    <t>CO/Z-PI-SNA-69</t>
  </si>
  <si>
    <t>직급 통합 인사제도 시행의 건</t>
  </si>
  <si>
    <t>개선전 : 사원 / 대리 / 과장 / 차장 / 부장
개선후 – 단일화·폭 넓은 등급 체계 전환
안1) 주임(사원), 선임(대리~과장), 책임(차장~부장)
안2) 주임(사원), 매니저(대리~과장), 수석매니저(차장~부장)</t>
  </si>
  <si>
    <t>과거 신인사제도 추진 내용임. TOP부적합. 건의사항</t>
  </si>
  <si>
    <t>D/PM-PI-BE-5</t>
  </si>
  <si>
    <t>정비사업 조합 설계 인허가 용역 통합관리 추진</t>
  </si>
  <si>
    <t>배경 : 분야별 영향평가·심의 등을 개별 용역 발주하면서,
업체 간 이해관계 충돌로 인허가 접수 지연 발생.
개선후 : PJ별 TFT(디자인팀+기술혁신팀+사업팀)구성
조합대상 인허가 협의를 TFT가 직접 주관</t>
  </si>
  <si>
    <t>(제안 인정, 과제화 미채택)
정비PJ 인허가를 위한 TFT 구성은 부담. 현재 사업수행심층회의를 통해 진행 중</t>
  </si>
  <si>
    <t>EN/EX-A/S-CE-16</t>
  </si>
  <si>
    <t>지하층 동PIT 구조 표준화 및 GF+AF도입</t>
  </si>
  <si>
    <t xml:space="preserve">개선전 : 공동주택의 지하층 PIT는 기준층과 달리 재래식 거푸집을 이용한 시공 불가피 
개선후 : 지하층 동PIT 구조 표준화 : 합성수지판 + 트러스거더 = 공장제작 </t>
  </si>
  <si>
    <t>아이디어 인정, 과제 검토중
현재 기술혁신팀에서 설계 검토 및 갱폼업체와 협의중인 사안으로 구체화되면 본부장 보고 진행 후 과제발표 예정</t>
  </si>
  <si>
    <t>PR/P-A/F-CE-4</t>
  </si>
  <si>
    <t>단열재 종류별 업체 통일 제안의 건</t>
  </si>
  <si>
    <t>단열재 계약 시 공종별보다 동일 자재면 하나의 업체에서 계약을 진행해서 외부의뢰시험 비용 절감</t>
  </si>
  <si>
    <t>건의 하겠음. 같은 경질우레탄을....3개업체 발주 나가있음
단가가 떨어지는 시기라 파샬로 계속 발주함.</t>
  </si>
  <si>
    <t>PR/P-Z-CE-2</t>
  </si>
  <si>
    <t>경량기포콘크리트 성능기준에 따른 시멘트량 절감</t>
  </si>
  <si>
    <t>개선전 : 현장별 경량기포콘크리트 성능기준 상이, 도면과 바닥충격음차단구조 성능인정서가 불일치하는 사례 존재
개선후 : 착공도서 제출 전 도면·성능인정서를 사전 검토하여 표준 기준(0.5품)으로 통일 적용</t>
  </si>
  <si>
    <t>EN/E-E-CE-78</t>
  </si>
  <si>
    <t>Bus Duct 활용한 분전반 간선 통합</t>
  </si>
  <si>
    <t xml:space="preserve">개선전 : 전기실 저압반 ~LM, LEM, PM 분전반 구간 각각 케이블 포설
케이블트레이 경로 간섭 및 공사기간 필요, 케이블트레이 내 케이블포설시 위험요소 多
개선후 : 저압반 ~ LM, LEM, PM 분전반 : BUS DUCT 통합 설치, 타사 (현대산업개발) 적용 중 : 전문업체 확인시 전기안전공사 문제 없음
첨부 단선결선도와 같이 보조ACB를 적용하여 비상전원라인 정리 가능
</t>
  </si>
  <si>
    <t>PR/P-ID/H-CE-5</t>
  </si>
  <si>
    <t>2102414</t>
  </si>
  <si>
    <t>김정규</t>
  </si>
  <si>
    <t>안전난간대 구매 연간단가 반영</t>
  </si>
  <si>
    <t>안전난간대 구매 연간단가 체결</t>
  </si>
  <si>
    <t>인프라 현장 현황 확인
현재, 바이백 조건이나 구매 조건 검토. 수량/빈도가 적어 현장별 입찰이 더 저렴.</t>
  </si>
  <si>
    <t>CO/D-Z-CE-37</t>
  </si>
  <si>
    <t>양수기 호스 파손 구간 절단 후 카플링연결을 통한 재활용</t>
  </si>
  <si>
    <t>개선전 : 호스 파손시 전체 폐기
개선후 : 파손구간 절단 후 카플링(양쪽2개) 결합 재사용</t>
  </si>
  <si>
    <t>PR/P-ID/Z-CE-1</t>
  </si>
  <si>
    <t>휴대형 분진센서를 활용한 비산먼지 실시간 관리체계 도입</t>
  </si>
  <si>
    <t>개선전 : 비산먼지 발생 공정에서 작업자 주변의 실제 먼지농도 파악불가
개선후 : 작업자 1인이 휴대형 분진센서 착용</t>
  </si>
  <si>
    <t>안환실 의견
작업장 관리를 통해 현장의 미세먼지 발생 저감이라는 결과를 도출할 수도 있겠지만 환경적으로는 현장 외부의 피해저감을 위해 측정보다는 집진, 살수를 통한 저감활동 등이 연계되도록 해야하며 단순 측정 만으로는 실효성 있는 관리가 어려움. 
환경법규는 해당 작업시 살수, 집진 등 저감조치를 무조건 해야 하는 것이며 미시행시 벌금부과 대상임. 농도에 따른 조치대상이 아님. 실시간 특정과 살수가 되도록 하고자 한다면  포터블 장비를 휴대하는 것 보다 고정형으로 현장에 지정하여 설치하고 스프링 클러로 야외 자동 살수가 되도록 하는 정도가 효과 적일 것으로 보임.</t>
  </si>
  <si>
    <t>CO/D-Z-CE-38</t>
  </si>
  <si>
    <t>미술작품 설치비 절감 방안 제안 건</t>
  </si>
  <si>
    <t>개선전 : 건축물연면적 기준으로 단순 선정 후 설치
개선후 : 문화예술진흥법 제12조 적용하여 대체 조형물 등으로 변경하여 원가절감</t>
  </si>
  <si>
    <t>미술장식품 설치시, 세부 법령을 활용하여 원가를 절감하고
효율적 집행 할 수 있는 중요한 과제임
(과제화 했으면 좋겠음)</t>
  </si>
  <si>
    <t>D/PM-PI-BE-6</t>
  </si>
  <si>
    <t>1202936</t>
  </si>
  <si>
    <t>최하혁</t>
  </si>
  <si>
    <t>PF시 신탁사 선정(경쟁입찰)프로세스 수립 추진</t>
  </si>
  <si>
    <t>개선전 : 시행사가 임의로 선정한 신탁사와 계약 진행되어 당사 요구 반영 어려움
개선후 : 수주 단계에서 시행사 동의를 받아 당사가 신탁사 입찰 직접 진행, 당사 요구사항(자금집행, 대체위탁자 등) 반영</t>
  </si>
  <si>
    <t xml:space="preserve">(제안 인정, 과제화 미채택)
신탁계약이 당사 직발주가 아니라서 입찰을 진행하기는 어려우나, 시행사에 의견 제시할 수 있는 당사 pool 구축 관련 유관부서와 협의 중 </t>
  </si>
  <si>
    <t>PR/P-A/S-CE-4</t>
  </si>
  <si>
    <t>직속부서</t>
  </si>
  <si>
    <t>1904970</t>
  </si>
  <si>
    <t>박재보, 고한울, 박준용</t>
  </si>
  <si>
    <t>나사마디 철근&amp;커플러 활용</t>
  </si>
  <si>
    <t>배경 : 데이터 센터 층고가 높고 도심지 현장의 경우 지하외벽과 흙막이 띠장 간섭 구간에서 커플러 사용이 불가피함
개선전: 기둥 주근 D19~D32 혼재, 지하외벽 수직철근 D16~D25 혼재
개선후 : 기둥주근 D29, 지하외벽 수직철근 D25</t>
  </si>
  <si>
    <t>EN/I-Z-CE-9</t>
  </si>
  <si>
    <t>공동주택 게스트하우스 분양 / 임대 사업 제안 件</t>
  </si>
  <si>
    <t>개선전 : 지하층/커뮤니케이션 주변 게스트하우스 설계
개선후 : 수도권/지방 공동주택 게스트하우스 설계시 옥상층에 설치하여 야경/풍경 등의 VIEW 때문에 명소로 등극하여 게스트가 이용 할 수 있도록 설계</t>
  </si>
  <si>
    <t>단지 내 게스트하우스를 당사가 직접 소유 또는 임대하여
숙박 사업하자는 제안(수익이 있을지 여부를 떠나, 건설사 구분등기를 받아들일 아파트가 과연 있을까..)</t>
  </si>
  <si>
    <t>PR/C-Z-CE-10</t>
  </si>
  <si>
    <t>연간단가 의뢰시험 업체 종류별 제안의 건</t>
  </si>
  <si>
    <t>개선전 : 연간단가업체 확인 → 비교견적서 제출 → 업체선정 → 감리단 확인 → CSI등록 
개선후 : 연간단가업체 확인 → 감리단 확인 → CSI등록</t>
  </si>
  <si>
    <t>EN/EX-Z-CE-3</t>
  </si>
  <si>
    <t>공동주택 단지내 경계석 삭제(자재변경) 제안 件</t>
  </si>
  <si>
    <t>개선전 : 단지 지상 임시도로(소방차도) 보행구간에 도로경계석, 보차도경계석 설치
개선후 : 단지 지상 임시도로-보행구간 엘브엣지 L형 설치로 경계석 삭제</t>
  </si>
  <si>
    <t>1) 경계석 대비 단가가 우수하지만 버림 미타설에 따른 블록
포장면 품질 확보 불가(디자인팀 조경파트)
2) 소방차로는 소방점검 등 이슈 발생 우려로 적용 불가
(아웃리거 정착 관련 바닥면 평탄 불량 우려)
3) 그 외 작은 소형 보행자 산책로 등은 버림 타설 조건으로
가능여부 추가 검토 예정</t>
  </si>
  <si>
    <t>PR/C-Z-CE-11</t>
  </si>
  <si>
    <t>9711103</t>
  </si>
  <si>
    <t>건축지원실장</t>
  </si>
  <si>
    <t>박광호</t>
  </si>
  <si>
    <t>PET관련 유상옵션 패키지 보완을 통한 수익성 강화</t>
  </si>
  <si>
    <t>PET 관련 유상옵션 상품군 미흡으로 속익효과 미미 (당사 PET 세면대가 유일 단일 품목)
반려동물(영유아 포함)세대를 타켓으로 한 유상옵션 상품 다양화 필요함
(IOT기반 돌봄서비스, 미끄럼 방지 기능 바닥재 등)</t>
  </si>
  <si>
    <t>트랜트를 반영한 유상옵션 상품 전략 개선</t>
  </si>
  <si>
    <t>CO/I-YY-CE-24</t>
  </si>
  <si>
    <t>0300506</t>
  </si>
  <si>
    <t>경상/제주PD</t>
  </si>
  <si>
    <t>차상민</t>
  </si>
  <si>
    <t>현장 개인숙소 이용자 지원 안 개선</t>
  </si>
  <si>
    <t>개선전 : 당사 기준 보증금 500만원, 월세 지원 50~60만원/월, 최초 비품비 30~250만원
매월 숙소용품비 1.5만원, 관리비 15~20만원 별도 지원,지역별 임대료 차이 미반영
개선후 : 보증금·비품·관리비 등 개별 항목 지원 폐지, 지역별 임대료 수준을 반영한 월 숙소 지원비만 지급(예: 월 60~70만원 한도)</t>
  </si>
  <si>
    <t>EN/I-A/F-CE-102</t>
  </si>
  <si>
    <t>9606623</t>
  </si>
  <si>
    <t>서울/경기북부PD</t>
  </si>
  <si>
    <t>김창복</t>
  </si>
  <si>
    <t>공용화장실 벽체 타일공사 면적 절감</t>
  </si>
  <si>
    <t xml:space="preserve">적용 사유 : 공용화장실 청소 시 물을 사용하는 높이까지만 벽체 타일이 필요하고 그 이상은 타일 마감이 불필요하다는 점에서 착안 (최근 화장실 건식 청소 및 플로어 워싱)
적용범위 : 일반건축 공용화장실 및 아파트 주민공동시설(주거동 화장실 제외) 벽체 타일에 적용 가능 
당초 :벽체 2,700mm 벽체 타일 시공, 변경 : 벽체 2,100mm까지 벽체 타일 시공 + 600mm 수성페인트 마감(경량벽체 석고보드 바탕) [천정고 CH=2,700ｍm 기준]
</t>
  </si>
  <si>
    <t>보편적으로 많이 적용되는 사항이라 발주처 협의만 가능하면
적용 가능(서울역 실시설계 반영 가능여부 검토중)</t>
  </si>
  <si>
    <t>CO/Z-ID/Z-SNA-7</t>
  </si>
  <si>
    <t>바인더 다이어리 도입을 통한 비용절감 및 자원순환 체계 구축</t>
  </si>
  <si>
    <t>개선전 : 매년 다이어리 완성품을 신규 구매하여 전사 배포
개선후 : (1년차) 고품질 바인더 커버 및 속지 세트 최초 1회 지급 (이후) 매년, 희망자에 한해 해당 연도 "리필용 속지" 만 대량 구매하여 교체 지급</t>
  </si>
  <si>
    <t>EN/I-A/F-CE-103</t>
  </si>
  <si>
    <t>ELEV홀, 계단실(기준층) 바닥마감 축소건</t>
  </si>
  <si>
    <t>변경전 : ELEV홀, 계단실 바닥마감 60THK 
변경후 : ELEV홀 바닥마감 50THK 계단실 바닥마감 40THK</t>
  </si>
  <si>
    <t>EN/I-A/F-CE-104</t>
  </si>
  <si>
    <t>아파트 계단실 등 최상층 데크슬래브 적용</t>
  </si>
  <si>
    <t>변경전 : 협소 공간 동바리 설치로 인한 시공성 저하
변경후 : 데크슬래브로 변경하여 시공성 및 안전성 개선</t>
  </si>
  <si>
    <t>중복아이디어(325)</t>
  </si>
  <si>
    <t>EN/S-A/S-CE-78</t>
  </si>
  <si>
    <t>개선전 : 주차장 파라펫 높이가 H=940 / 1540 으로 2가지 타입으로 설계되어있으나 철근 배근상세가 동일함.
개선후 : 주차장 파라펫 높이가(H=1540)기준으로 설계되어 있는걸로 판단되어 파라펫 타입별 하중검토 하여 철근 배근간격 조정</t>
  </si>
  <si>
    <t>아이디어 인정, 과제 미채택
파라펫 높이에 따라 배근을 구분하는 설계변경을 현장에서
진행한 사항으로 적극성이 인정되나, 과제화는 불가함</t>
  </si>
  <si>
    <t>PR/C-ID/H-CE-2</t>
  </si>
  <si>
    <t>PVC 바닥스리브 안전커버 제품 적용의 건</t>
  </si>
  <si>
    <t>개선전 : PVC 바닥스리브 200A이상 규격부터 커버가 연질 상태로 생산되고 있음
개선후 : 바닥스리브 안전커버 제품을 장착(안전관리비 처리 가능)</t>
  </si>
  <si>
    <t>PR/P-Z-CE-3</t>
  </si>
  <si>
    <t>친환경 제설제 연간단가 계약을 통한 시공 품질 향상 및 비용 절감</t>
  </si>
  <si>
    <t>개선전 : 시중에 판매하는 제설제의 경우, 염화물 성분으로 인하여 레미콘 타설부위 품질 하락 우려
개선후 : 친환경 액상제설제를 사용하여 동절기 레미콘 품질확보 및 빠른 제설(연간단가 계약)</t>
  </si>
  <si>
    <t>CO/I-ID/H-CE-23</t>
  </si>
  <si>
    <t>2302818</t>
  </si>
  <si>
    <t>배병성</t>
  </si>
  <si>
    <t>안전조끼 벨크로 변경</t>
  </si>
  <si>
    <t>개선전 : 인쇄형 이름표로 인해 조끼 재구매 시 비용부담
개선후 : 벨크로식 안전조끼 구매시 인쇄(고정)된 조끼에 비해 이름표만 바꿔 부착 사용</t>
  </si>
  <si>
    <t>유사 아이디어 다수. 건의사항</t>
  </si>
  <si>
    <t>IN/C-C-CE-12</t>
  </si>
  <si>
    <t>고소교량 캔틸레버부 프리캐스트패널 적용</t>
  </si>
  <si>
    <t>개선전 : 교량 캔틸레버부 슬래브 시공을 위해 강제동바리 및 합판 거푸집이 설계 반영됨
개선후 : 캔틸레버부 슬래브 시공을 위한 바닥판에 프리캐스트패널 적용</t>
  </si>
  <si>
    <t>아이디어 인정, 과제 검토중
교량 캔틸레버부 슬래브 시공 시 당초 설계에 반영된 강제동바리, 합판거푸집을 프리캐스트패널을 적용하여 절감하자는 아이디어로 안전, 원가절감 개선이 가능할 것으로 보임,
유형효과 및 추가 적용 가능한 현장이 있는지 검토 예정</t>
  </si>
  <si>
    <t>CO/I-YY-CE-25</t>
  </si>
  <si>
    <t>업무차량 운행일지(차량)일자별 통합 취합 시스템</t>
  </si>
  <si>
    <t>개선전 : 공사차량 이용자가 다수다 보니 운행일지 작성부분 누락 발생
개선후 : 취합 가능 시스템이 있다면 차량등록 및 해당차량에 시스템 설치하여 관리</t>
  </si>
  <si>
    <t>또 다른 일을 만들 가능성.
AI 번호판 인식 기술 검토</t>
  </si>
  <si>
    <t>2303189</t>
  </si>
  <si>
    <t>플랫폼 기능추가하여 작업계획서 업무 효율화 및 비용절감</t>
  </si>
  <si>
    <t>개선 전 : 협력사에서 장비작업계획서 오프라인 작성후 출력하여 원청사제출≫ 관리감독자 검토 ≫ 안전관리자 검토 ≫ 현장소장승인 (서류 일부변경 또는 갱신시 불필요한 업무 절차 발생)
개선 후 : 안전플랫폼에 장비 작업계획서 작성양식을 생성하여 전자로 검토,승인 절차를 도입하여 출력 및 절차를 신속하게 처리하여 시간과 비용을 절감.</t>
  </si>
  <si>
    <t>안환실 검토 의견
Unifier 계약 종료('26.08월)에 따른 통합안전보건플랫폼으로 경영정보시스템 기능 이관 시 작업계획서 관리는 미포함 예정.
안전환경경영실 및 현장 의견 검토 결과 대다수는 작업계획서 파트는 오프라인 문서 관리 방식이 더 효율적이라 판단. 물론, 워크플로우 등 기록 관리 절차가 전산화될 경우 장점(신속한 처리)도 있지만, 단점(사용 미숙, 매뉴얼 사전 숙지 등)도 있음.</t>
  </si>
  <si>
    <t>변경계약 시 공수 상한 기준 확립을 통한 정산 리스크 관리</t>
  </si>
  <si>
    <t>개선전 : 공사  중간에 변경계약 시 현장 상황에 맞춰 정산기준 산정(분쟁발생)
개선후 : 공수기준, 적용범위, 최대상환 미리 정해 정산 시 분쟁발생 최소</t>
  </si>
  <si>
    <t>하도급 변경계약시, 인원공수에 대한 정확한 기준을 산정하여
정산 리스크를 관리. 하도급법 상 문제가 될 부분은 없는지 확인 필요함</t>
  </si>
  <si>
    <t>갱폼 외부고정형 전도방지 와이어로프 적용</t>
  </si>
  <si>
    <t>갱폼 외부에 고정형 전도방지 와이어로프를 설치함. 매층마다 설치해야 하는 와이어로프 작업 필요없음. (구조검토서 검토 결과 보완이 필요한 구간이 있어 현재 보완 요청하여 수정 中)</t>
  </si>
  <si>
    <t>아이디어 인정, 과제 검토중
해당기술은 현재 상용화된 것이 아니며, 기술혁신팀에서 관련 업체와 협의중인 사안으로 과제 검토중</t>
  </si>
  <si>
    <t>안전</t>
  </si>
  <si>
    <t>기술개발</t>
  </si>
  <si>
    <t>중복아이디어(아이디어 미인정)
해당 내용은 이전에 접수된 아이디어와 중복되며, 돌출 철근에 대한 기준이 모호하며, 밴딩에 따른 철근 loss 증가, 배근량이 많은 구간(간격이 촘촘한 경우)에 타설불량 등을 초래 할 수 있다고 판단함</t>
  </si>
  <si>
    <t>상용화된 기술</t>
  </si>
  <si>
    <t>고한울
(오정화)</t>
  </si>
  <si>
    <t>통신 3사(SKT,KT,LG U+) 기지국 안전시설물 설치 협약 件</t>
  </si>
  <si>
    <t xml:space="preserve">개선 前
근로자 모바일 통신 상태 불량으로 안전보건 활동 및 위급 시 대처능력 저하
개선 後
이동통신 3사와 기지국(중계기) 설치로 안전보건 활동 극대화 (안전신문고,모바일재해 등
</t>
  </si>
  <si>
    <t>중복아이디어
실제 통신3사에서 공사현장에 중계기를 설치해 주는지 확인 필요
통상 준공 후, 설치
(첨언 : 안전과제로 과제화 예정(w/건축전기팀,안환실))</t>
  </si>
  <si>
    <t>갱폼 상부 가설그늘막 적용 근로자 온열질환 보호</t>
  </si>
  <si>
    <t xml:space="preserve">• 갱폼 상부에 임시 가설 그늘막 설치하여 근로자들에게 차광막을 제공한다. 
• 온열질환 위험에서 근로자를 보호 하고, 응급 상황 대처 시 응급처치 공간으로 활용하여, 온열질환 사고를 방지 
• 가설구조물로, 설치, 해체가 용이하여야 하며, 갱폼 인상과 철근 하역, 타설 등 간섭이 없도록 접이식 구조물로 설치하여 간섭작업 시 접고, 휴식 시, 펼침이 용이하여야 함. 
</t>
  </si>
  <si>
    <t>중복아이디어(1417)</t>
  </si>
  <si>
    <t>데크보 안전난간대 설치 홀 적용</t>
  </si>
  <si>
    <t>데크보 설치 작업 시 안전난간 설치가 힘들며 데크보 제작 시 난간대 설치를 위한 각파이프 용접 후 납품으로 난간대 설치 용이함.</t>
  </si>
  <si>
    <t>전체회의때 논의 필요</t>
  </si>
  <si>
    <t>도로공사시 필요부지 매입</t>
  </si>
  <si>
    <t xml:space="preserve">1. 공사개시 후 공사에 필요한 토지를 당사가 구매 및 사용
(발주처에 수용되는 토지를 제외하고도 야적장부지 상당수 필요)후 공사종료 4~6개월전 매각추진
2. 공사수행기간중 각종 대관업무시 협의 및 그에 따르는 비용절감 효과 기대
</t>
  </si>
  <si>
    <t>아이디어 인정, 과제 X
현재 진행중인 도로공사 현장 수의 감소와 토지 매입 시 발생하는
비용, 취득세 발생, 향 후 준공 4~6개월 전 매각 시도 시 부동산 경기에
따라 매각 불가능 등 Risk가 더 클것으로 판단됨</t>
  </si>
  <si>
    <t>2401381</t>
  </si>
  <si>
    <t>밀폐공간 스마트볼 활용</t>
  </si>
  <si>
    <t xml:space="preserve">개선 전 : 실시간 밀폐농도 확인이 불가능하고, 측정자가 시간대 
별 밀폐공간 출입하여 측정 
개선 후 : 스마트 앱에 연동 되어 밀폐/질식에 위험이 있는 작업 
전, 중, 후 언제든 모니터링이 가능하며 가스 농도 
기준치 넘어갈 경우 계측기 자체 경고와 동시에 앱에 
접속하고 있는 관리자에게 통보가 됨으로 즉시 조치 
가능함
</t>
  </si>
  <si>
    <t>과제화 없이 안환실 주관 개선 의견
25년 하반기에 스마트 안전 담당(방민석 GJ)이 기검토한 사항.
당시 실효성(기능 정확도, 배터리, 내구도 등) 검토 결과 도입 시기 부적절로 판단했으며, 현재 박람회, 세미나 등 관련 시장 동향 모니터링 中.
('26년 하반기 이후 구체화 예정)</t>
  </si>
  <si>
    <t>비상사태 시 비상대피로 확보</t>
  </si>
  <si>
    <t>개선 전 : 비상대피로 비상구 표시 표지로만 되어 있어 실제 
상황 발생시 비상대피로 표지 인지 힘듬
개선 후 : 비상대피로 비상구 표지 외 추가 라이트 패널 설치 
하여 동표시 및 시인성 좋은 화살표 삽입 
정전 시에도 임시 소방 시설 전원 사용으로 라이트 
패널은 전원이 작동되어 LED등 확인됨</t>
  </si>
  <si>
    <t>안환실 검토 의견
현재 임시소방시설(소방안전관리자 역무)로
분류되어 간이피난유도선 필수 설치되고 있고
기능 보완된 제품설치에  대한 의견 임. 
현장 적용에 문제 없음</t>
  </si>
  <si>
    <t>주차장 기둥 안전시설물 설치 방법 개선</t>
  </si>
  <si>
    <t xml:space="preserve">개선 전 : 기둥 안전시설물 설치 시 테이프 또는 앙카로 고정
개선 후 : 기둥 안전시설물을 벨크로(찍찍이) 타입으로 고정하여 
탈부착 시 후속 작업 피해 없음
</t>
  </si>
  <si>
    <t>안환실 검토 의견
이미, 많은 현장에 적용된 제품
본인은 잘 몰랐을 수 있으니 제안은 인정. 다만, 별도 조치는 필요 없음
현장별 도입 운영 중으로
현장여건에 맞춰 도입/적용 문제 없음</t>
  </si>
  <si>
    <t>2102488</t>
  </si>
  <si>
    <t>내부환기캡 시공</t>
  </si>
  <si>
    <t xml:space="preserve">개선 전
-	외부 환기캡 적용
-	외벽에서 달비계 또는 고소작업대를 이용한 시공
-	고소작업 위험 및 공정·품질 리스크 상존
개선 후
-	실내에서 시공 가능한 내부 환기캡 적용
-	외부 고소작업 없이 세대 내부에서 환기캡 설치
-	외벽 관통부는 마감 단계에서 일괄 처리하여 시공
</t>
  </si>
  <si>
    <t>구체적인 내부설치용 환기캡 개발진행중 과제화 검토</t>
  </si>
  <si>
    <t>신호수 깃발 일체형 조끼 착용 안</t>
  </si>
  <si>
    <t xml:space="preserve">신호수 깃발 일체형 조끼 착용
-	신호수가 착용하는 깃발 일체형으로 신호수의 위치가 확실히 두각되며 신호 기능을 유지되도록 하는 장비
</t>
  </si>
  <si>
    <t>구매팀 연간단가 추가 가능여부 확인
안전분야 적용가능 아이디어
중복 아이디어 로 생각이 드는데...
서치해 보니 중복아이디어 없음 ㅡ.ㅡ;</t>
  </si>
  <si>
    <t>2502202</t>
  </si>
  <si>
    <t>플라잉넷 반자동 사다리 도입</t>
  </si>
  <si>
    <t xml:space="preserve">플라잉넷 반자동 사다리 도입시 건물 내부 조작(설치 및 해제)으로 안전망을 설치 / 설치 작업자 외부 작업X </t>
  </si>
  <si>
    <t xml:space="preserve">
중복
안전분야 적용가능 아이디어
플라잉넷 반자동 설치 제품 활용. 원가투입에 대한 검토 필요</t>
  </si>
  <si>
    <t>비계 승강발판 슬라이드형 발판 적용 개선</t>
  </si>
  <si>
    <t xml:space="preserve">개선 전
1)개폐식 발판 사용
2)발판 개폐 시 작업자가 직접 손으로 조작
3)협착·끼임 위험 상존, 안전사고 발생 가능성 높음
개선 후
1) 슬라이드형 승강발판 적용
2)	발판 개폐 시 손 개입 최소화로 손가락 협착 및 끼임 사고 예방
3) 발판 이동 및 고정이 안정적으로 이루어져 작업 안전성 향상
</t>
  </si>
  <si>
    <t>안전분야 적용가능 아이디어
슬라이드형 발판의 사용법을 잘 모르겠음</t>
  </si>
  <si>
    <t>안전 철근지지대개선</t>
  </si>
  <si>
    <t xml:space="preserve">개선 전
1) 각파이프, 폼타이 등을 활용한 임시 지지 방식 적용
2) 설치 기준 및 고정 방법이 명확하지 않아 현장별 편차 발생
개선 후
1)벽체 철근 전용 지지대(기성제품)를 적용하여 표준화된 
방식으로 설치
2) 벽체 철근과 지지대 간 정확한 고정 및 지지력 확보를 통해 
철근 전도 예방
3) 반복 사용 가능한 구조로 현장 적용성 및 효율성 향상
</t>
  </si>
  <si>
    <t>상층부 장식탑 시공 안전성 확보</t>
  </si>
  <si>
    <t xml:space="preserve">장식탑 구간 중간에 갱폼인양을 위한 중간보 설치 및 입면 루버
디자인을 음각이 아닌 양각 형태 또는 다른 디자인으로 설치
설치된 보에 장식루버 고정 가능
또는 갱폼 시공이 가능한 최대 높이내에서 디자인 변경
</t>
  </si>
  <si>
    <t>파라펫부분을 왜 갱폼으로 벽체를 치는지 모르겠음
주객전도?</t>
  </si>
  <si>
    <t>근접사고 데이터 기반 인센티브 제도</t>
  </si>
  <si>
    <t xml:space="preserve">안전 설계, 안전 기술, 안전 공법 등 다양한 방법을 적용하더라도 정작 공사 인부는 외국인이 많고 고령화 되어있어 신기술을 100% 활용하기 어려움. 결국은 사람이 공사하는 것이기 때문에 안전을 바라보는 시선자체를 바꿔야한다고 판단함.
단순히 안전 교육, 켐페인, 체험센터를 강조하기보다 사고로 이어질 수 있는 단순 사고도 신고(양과 질, 사진, 원인분석)를 KPI로 두고, 일정 수준 이상이면 협력사 평가 및 추가 보상하는 제도 도입.
</t>
  </si>
  <si>
    <t>안전분야 적용가능 아이디어
안전에 대한 근원적인 마인드셋 및 제도화 방안이나,
실효성 부분에 대한 챌린지가 큰 아이디어임</t>
  </si>
  <si>
    <t>개인 PC 현금지급</t>
  </si>
  <si>
    <t xml:space="preserve">현 LG 그램 38,500원(月) 36개월 기준 1,386,000원 발생 
개선 후 : 
동급 사양 네이버 최저가 구매시 600,000원
사양 높을시 1,000,000원으로 구매가능
</t>
  </si>
  <si>
    <t>노트북 렌탈 비용이 과대함을 착안하여
대인을 제시하였으나, 개인구매 보다는
다른 대안에 대한 검토가 필요해보임</t>
  </si>
  <si>
    <t>기준층 EV Hall 슬래브 철근배근 변경 적용 제안</t>
  </si>
  <si>
    <t>당초 HD10+13@300 배근을 HD13@280으로 변경하여 적용시 시공성을 확보할 수 있고 소량이나마 철근량 감소할 것으로 예상 됨</t>
  </si>
  <si>
    <t>아이디어 인정, 과제 미채택
TOP_Day 현장 VE로 적용
경미한 수준이지만 철근의 수량절감과 시공성 개선한 사례
일반적인 경우가 아니므로 과제화는 불가함</t>
  </si>
  <si>
    <t>PL창호 외부코킹시공범위 변경건</t>
  </si>
  <si>
    <t>-	PL창호 창틀주변 외부코킹 시공시 골조 인코너부위까지 코킹연장하여 시공</t>
  </si>
  <si>
    <t>인코너 부위에 대한 수량 확인 불가.
외주팀과 충분한 협의가 필요함</t>
  </si>
  <si>
    <t>2501551</t>
  </si>
  <si>
    <t>안전시설물 업체 미장 및 사춤 계약 추가의 건</t>
  </si>
  <si>
    <t xml:space="preserve">개선전:안전시설물 설치,해체에 대한 계약만 되어있어 하자에 대한 건축팀과의 불화 발생
개선후:안전시설물 업체에 미장,사춤 내역을 추가하거나 안전관리자가 관리할 수 있는 미장,사춤 업체를 추가 계약, 이후 안전관리자가 직접 안전시설물로 인해 발생한 하자 관리
</t>
  </si>
  <si>
    <t>안전분야 적용가능 아이디어
안전시설물 설치 후, 복구에 대한 아이디어.</t>
  </si>
  <si>
    <t>갱폼 케이지 제작시 압송관 배관라인 제작도면 선반영 제작</t>
  </si>
  <si>
    <t xml:space="preserve">갱폼제작 업체 선정후 갱폼 제작시 압송관 배관 위치를 명확히
제작도면에 반영 갱폼제작시 구조적 강도가 확보된 작업발판 및
개구부 사전 방호조치 반영을 통해 현장에서의 절단재단시 위험
성 및 이후 작업자에 대한 실족,추락에 대한 위험성 사전제거. 
</t>
  </si>
  <si>
    <t>안전분야 적용가능 아이디어
압송관 위치 제작에 대한 정확성 요구 및 안전 시설 설치</t>
  </si>
  <si>
    <t>2101029</t>
  </si>
  <si>
    <t>타워 기초10cm 내리고 배수구 설치하여 주차장 우수유입 방지</t>
  </si>
  <si>
    <t xml:space="preserve">타워 기초 10cm 내려서 시공하고-&gt; 배수구 배관을 동 피트 연결
집수정에 연결 -&gt; 기존 우수관 막고 주차장 무근 타설 시
컬링구간으로 대체
</t>
  </si>
  <si>
    <t>아이디어 인정, 과제 검토중
전체회의때 논의 필요</t>
  </si>
  <si>
    <t>가구 팬트리 도어 스토퍼 설치</t>
  </si>
  <si>
    <t xml:space="preserve">개선전 – 문틀쪽 경첩만 설치
개선후 – 도어 스토퍼 설치
</t>
  </si>
  <si>
    <t>품질 향상 및 하자 방지에 대한 아이디어
스토퍼 설치에 대한 원가 투입</t>
  </si>
  <si>
    <t>2201492</t>
  </si>
  <si>
    <t>빙과류 단일업체 선정 제안</t>
  </si>
  <si>
    <t>동일 조건(500명 기준)으로 쮸쮸바를 지급할 경우, 소매업체 대비 롯데웰푸드 이용 시 회당 109,500원의 비용 절감 효과가 있어 가장 효율적인 선택으로 판단됨.</t>
  </si>
  <si>
    <t>안전분야 적용가능 아이디어
롯데유통과 생수 직계약과 만찬가지로 여름철 빙과류에 대한
직계약 검토 필요함</t>
  </si>
  <si>
    <t>승강기 공사 안전난간대 개선 건</t>
  </si>
  <si>
    <t>공동주택 승강기 수직개구부의 안전난간대를 출입문 형식으로 설치하여 안전 및 시공의 편의성 도모</t>
  </si>
  <si>
    <t>안전분야 적용가능 아이디어
엘레베이터 수직개구부 안전난간대에 대한 아이디어
엘레베이터 작업에 따른 개폐 가능 여부 및 안전사항 고려</t>
  </si>
  <si>
    <t>주간 예방중심 현황 신설 운영(안)</t>
  </si>
  <si>
    <t xml:space="preserve">1. 현장별 정보(공정률, 인원, 장비, 고위험현황 등)를 한번에 찾아
볼 수 있도록 종합/집약시킨 현황자료(가칭:주간예방중심) 신설 및
(전산화) 하여
2. 현장 잠재적 위험요소를 지표 기반으로 가시화하여 데이터 
분석하고 고위험현장을 집중지원하는 사고예방 관리(안)으로 활용
3. 개선 전: 고위험 현장이 어디인가? (기준 모호)
타워가 전 현장 총 몇 대가 운영 중인가? (별도 확인)
고령자는 전체 몇 명 정도 투입되고 있나? (별도 확인)
타 사 클람쉘 중대재해 발생했는데 우리 해당 현장은? 
(별도 확인) 
-&gt; 별도 확인 빈번, 본사 및 현장 피로도 증가  
4. 개선 후: 전국 현장에 대한 정보를 통합/집약한 현황 자료 운영
  각 데이터 활용, 위험요인 비교/분석에 실시간 활용 
</t>
  </si>
  <si>
    <t>안전분야 적용가능 아이디어
현장별 현황에 대한 데이터를 통합 및 집약하여
AI 판단할 수 있도록 구현</t>
  </si>
  <si>
    <t>2302660</t>
  </si>
  <si>
    <t>기본 안전보호구 지급자재화 추진(案)</t>
  </si>
  <si>
    <t>-개선안 : 기본 보호구 (안전화, 안전모, 안전벨트) 지급자재화
                                                                                                                                                                                                                                                                (개선전) 협력업체별 안전용품업체 사용하여 개인보호구 구매진행
                                                                                                                                                                                                                                                                (개선후) ① 당사 지급으로 연간단가 적용하여 저가에 구매
        ② 차별없는 개인보호구 품질 확보 (만족도 상승요인)
        ③ 근로자 개인보호구 일회성 인식 개선</t>
  </si>
  <si>
    <t>안전분야 적용가능 아이디어
협력사 작업자들에게 당사가 구입하여 개인 안전용품을 지급하자
는 의견임
당사, 해당현장에 일회성으로 오는 작업자들도 있으며,
안전용품에 대한 주인의식이 아직까지 높지 않은 상태에
현실적으로 어려운 아이디어임</t>
  </si>
  <si>
    <t>안전화 및 근무복 대여실 운영</t>
  </si>
  <si>
    <t xml:space="preserve">예전과 달리 요즘은 대내.외 점검 時 점검자분들(임원,팀장,팀원)이 대부분 직접 안전모 및 안전화를 준비하여 방문하는 추세이다. 그러나 당사의 현장근무자가 아닌 본사 근무자의 경우 안전화를 지급 받은적이 없으므로 현장에서 안전화를 준비하는 경우가 일반적이다. 
[개선방향]
☞ 본사 안전화 및 근무복 대여실 운영 
-	현장별 안전화 준비(사이즈별)가 아닌 본사에서 일괄 대여실 운영
Ex) 스크린골프의 하우스 골프화, 골프티셔츠
☞ 택배 발송.회수 서비스 운영
-	차량 출장시 대여 및 반납이 용이하나. 대중교통 이용시 안전화 및 복장을 직접 운반하여야 하는 번거로움이 있어 현장에 택배 발송 및 반납 서비스 운영 필요
☞ 현장 대표이사, 본부장 안전모-&gt;솔선수범 직접 챙김-&gt;귀감
-	Ex)건축사업본부 현장 40개 + 토목사업본부 20개 -&gt; 총60개 
</t>
  </si>
  <si>
    <t>안전분야 적용가능 아이디어
택배비용에 따른 원가 투입 증가 및 본사의 관리부서의 관리비
에 대한 검토가 부족함</t>
  </si>
  <si>
    <t>인사기록카드 연계</t>
  </si>
  <si>
    <t xml:space="preserve">개선 전 : 신규 사번 생성 후 노트북 초기화(사비)
          인사기록 카드 재작성(기타 서류 필요)
개선 후 : 보안프로그램 구, 신사번 입력으로 노트북 포맷 불필요
          인사기록 카드 이전(구 사번 기록-&gt;신 사번 기록 이전)
</t>
  </si>
  <si>
    <t>계약직 연속근로에 대한 노무 리스크 해소에 따른 시행</t>
  </si>
  <si>
    <t>박재보
(고한울)</t>
  </si>
  <si>
    <t>PC 렌탈/자체조달 선택제도</t>
  </si>
  <si>
    <t>개선전 : PC 렌탈 방식으로 일괄 운영하여 사양 선택에 한계가 있고, 비용 부담 및 관리 비효율 발생
개선후 : PC 렌탈, 자제조달 선택제를 도입하고 자체 조달 시 비용을 지원하여 사양 선택 유연성 확보 및 비용 절감</t>
  </si>
  <si>
    <t>아이디어(1732번)과 유사한 아이디어 이나,
해결방법이 일부 상이함
(개인별 PC를 구매하여, 렌탈비의 70% 지원함)</t>
  </si>
  <si>
    <t>9623692</t>
  </si>
  <si>
    <t>이수빈</t>
  </si>
  <si>
    <t>全 근로자(직원) 휴대용 녹화 장치(Body cam)운영</t>
  </si>
  <si>
    <t>개선전 : 관리자 순찰 및 점검 중심의 간헐적 안전관리
개선후 : 전 근로자(직원 포함) 바디캠 착용을 통한 모든 작업 과정 가시화</t>
  </si>
  <si>
    <t>현장 적용 사례 검토예정</t>
  </si>
  <si>
    <t>산업안전보건법 및 건설기술진흥법 적용시 발생하는 현장안전관리 사각지대 해소 및 연계 강화 방안</t>
  </si>
  <si>
    <t>산안법과 건진법을 분리 관리하던 기존 방식에서 벗어나, 시설물 구조 안전과 근로자 안전을 연계한 통합 안전관리 체계를 구축하여 현장 안전 사각지대를 최소화하고자 함.</t>
  </si>
  <si>
    <t>미래지향적 중요한 제안이나,
현실적 방안에 대한 논의가 필요함</t>
  </si>
  <si>
    <t>수축줄눈 철물제작(재사용 인서트)으로 줄눈 커팅 최소화</t>
  </si>
  <si>
    <t>개선전 : 콘크리트 양생 후 수축줄눈 그라인더 컷팅
개선후 : 수축줄눈 규격에 맞는 철물 제작</t>
  </si>
  <si>
    <t>아이디어 인정, 과제 X
배수구조물(측구, 암거 등) 구조물 종류별 사전제작물(철물)
크기가 다양하게 발생할 것으로 생각되며, 타설 시 해당 철물을구간별 강력하게 고정해야 하는 작업이 추가로 발생될 것이며,
작업 후 Con'C 압력으로 변형 등 하자 요인이 되는 등 문제점
발생 가능성이 커 보임</t>
  </si>
  <si>
    <t>월하천교 P1 가시설 형식 변경</t>
  </si>
  <si>
    <t xml:space="preserve">개선전 : 폐합형 가시설(ㅁ자) 가시설 벽면으로 근로자 승하차시 추락위험, 가시설 설치 후 터파기 시 클램쉘 추가 투입이 필요하므로 작업효율 저하 및 공사원가 과다 투입 우려
개선후 : 오픈형 가시설(ㄴ자) 장비 및 인력 진출입로 확보로 이동 시 추락위험 제거, 가시설 작업량 축소 및 작업효율 증가로 공기단축 약 2개월 </t>
  </si>
  <si>
    <t>아이디어 인정, 과제 X
현장 여건을 반영한 공법변경(폐합형 가시설--&gt;오픈형 가시설)
건으로 현장 VE에 적합함</t>
  </si>
  <si>
    <t>안전 간판 모듈화(문구 교체형)적용</t>
  </si>
  <si>
    <t>개선전 : 문구 고정형 안전 간판 제작 및 폐기 반복(피스에 의한 고정으로 계속 반복작업 시 피스 구멍에 의한 고정 분리)
개선후 : 간판 프레임 고정 후 문구 패널 슬라이드 교체 방식 적용</t>
  </si>
  <si>
    <t>아이디어 인정, 과제 검토중
공정 변경이 많은 인프라 현장의 경우 공정 변경에 따라
안전 간판 문구 변경 시 추가 비용 발생을 최소화 하자는 아이디어로 안전환경실에 해당 내용 전달 및 검토요청
첨부 파일 확인 시 플라스틱 자재로 보여지는데, 철재 제작도 가능한지 확인 필요</t>
  </si>
  <si>
    <t>2303109</t>
  </si>
  <si>
    <t>전기안전컨설팅을 통한 현장 감전 사고 예방</t>
  </si>
  <si>
    <t>개선전 : 현재 안전관리자, 관리감독자 등 전기기구들 점검 실시하고 있지만 전기 관련 자격증이 없어 감전사고 예방이 어려움
개선후 : 전기안전컨설팅 월 1회 점검 실시 (전기 관련 자격자의 점검을 통해 감전사고 예방에 도움이 됨)</t>
  </si>
  <si>
    <t>인프라현장 전기안전관리대행업체 용역계약여부 등 
기타 운영현황에 대한 내용파악필요.</t>
  </si>
  <si>
    <t>2203314</t>
  </si>
  <si>
    <t>매몰사고 예방 경량 흙막이용 가시설</t>
  </si>
  <si>
    <t>개선전 : 기존 흙막이(SK판넬)적용으로 설치 시간 장기화 및 중장비 투입 필요
개선후 : 협소 굴착 구간에 경량 모듈식 가시설 흙막이 적용</t>
  </si>
  <si>
    <t>아이디어 인정, 과제 검토중
해당 현장에서 발주처(국가철도공단) 수상 과제로 기존 사용하는
흙막이(SK판넬) 대비 설치 시간 개선, 시공성 향상, 장비 사용 불필요 등 원가절감, 안전사고 발생 감소 등 이점이 확실한 아이디어로 과제화 검토 중</t>
  </si>
  <si>
    <t>다짐장비 협착방지 시설 개선</t>
  </si>
  <si>
    <t>개선 전 : 짧은 협착방지봉으로 작업자 안전거리 확보 어려움
개선 후 : 협착방지시설의 길이를 충분히 확보하여 장비 접근 시 
작업자가 안전거리 유지 및 대피 시간을 확보 할 수 있도록 함</t>
  </si>
  <si>
    <t>아이디어 불인정
현장에서 토공 작업(다짐_진동Roller) 진행 후 협착사고 방지를
위하서 설치하는 협착방지봉(주로 시선 유도봉 활용)을 길이가
긴 낚시대 등으로 교체하자는 아이디어로 실용성은 있어보이기에 현장 자체적으로 시행 및 안환실 전달 적합</t>
  </si>
  <si>
    <t>이동형 난간대(모듈형) 제작 운용</t>
  </si>
  <si>
    <t xml:space="preserve">개선 전 : 난간 설치 곤란구간에서 라바콘 등 “경고” 위주 관리, 작업 진행 중 구간 이동/형상 변경 시 즉시 대응이 어려워 방치 구간 발생
개선 후 :이동형 난간대(바퀴+브레이크/아웃트리거)를 제작하여 작업구간 형상에 맞게 즉시 배치 공정 이동 시 안전난간도 함께 이동·연결하여 물리적 추락방지 시설을 확보
</t>
  </si>
  <si>
    <t>아이디어 인정, 과제 검토중
현장 내 난간설치가 어려운 구간(ex. 고속도로 중앙분리대 등)에  
이동형 난간대를 제작하여 추락사고를 방지하자는 아이디어로 안전 Package로 과제화 검토, 안전사고 감소와 업무 효율성도 높아질 것으로 기대</t>
  </si>
  <si>
    <t>혹한/혹서기 대응 이동식 휴게소(쿨링&amp;온풍카)운영</t>
  </si>
  <si>
    <t>개선전 : 구간별 임시 쉼터 (컨테이너, 그늘막, 파라솔)에 의존
개선후 : 현장 내에 냉 난방이 가능한 이동식 쉼카를 운영</t>
  </si>
  <si>
    <t>중복아이디어(1664)</t>
  </si>
  <si>
    <t>천공 작업전용 작업대 제작으로 근골격계 부담 저감</t>
  </si>
  <si>
    <t>개선 전 : 작업자가 함마드릴을 직접 지지하며 반복 작업
개선 후 : 작업대 제작으로 인한 진동과 반동을 잡아줘 근로자에게 직접적인 부담을 덤.</t>
  </si>
  <si>
    <t>아이디어 인정, 과제 검토중
현장에서 다수의 천공작업 진행 시 작업자가 고중량의 함마드릴을
지지하며 작업중인데, 작업대를 제작하여 업무 효율성, 작업품질을 향상 시키고 작업자 피로에 의한 안전 사고도 예방할 수 있는 아이디어로 안전 Package로 과제화 검토</t>
  </si>
  <si>
    <t>항타기 부상토 제거 장치 설치로 낙하물 예방</t>
  </si>
  <si>
    <t xml:space="preserve">개선 전 : 로드에 토사가 계속 올라오며, 떨어지기 전까지 사전제거가 어려움
개선 후 : 로드 상승 경로에 부상토 제거장치 설치하여 토사가 상부로 이동하기 전에 털어 낙하물 위험 감소 및 통제구역 설정이 명확해짐
</t>
  </si>
  <si>
    <t>아이디어 인정, 과제 검토중
말뚝기초 작업 시 점성토 재질의 굴착 및 장심도 말뚝의 시공 시 해당 시설물 설치 시 부상토 낙하위험이 감소하며, 안전관리비 정산 가능항목에 따른 발생비용 없음</t>
  </si>
  <si>
    <t>SAP 전표 처리 프로세스 일원화를 통한 업무 효율성 제고 방안</t>
  </si>
  <si>
    <t>결제 상신 전 단계의 임시 저장 전표에 대해 현업 수정, 삭제 권한을 부여하여, 불필요한 회계팀 업무를 줄이고 전사 회계 처리 효율과 데이터 정확도를 개선하고자 함.</t>
  </si>
  <si>
    <t>SAP 전표 처리 과정에서 발생하는 문제점을 해결하는 방법으로
해당 부서와 논의가 필요함</t>
  </si>
  <si>
    <t>갱폼수직망 펌프카 운전원 시야 확보 관리 방안</t>
  </si>
  <si>
    <t>배경 : 타설시 펌프카 운전원이 레미콘 차량 확인을 위해 갱폼 난간을 밟고 올라가는 불안전한 행동 발생
개선후 : 갱폼수직망 펌프카 운전원 시야 확보를 위해 별도의 PVC 수직보호망 설치하여 불안전한 행동 방지</t>
  </si>
  <si>
    <t>시야 확보에 대한 안전관리 제안이나,
해결방안 부분도 낙하의 위험성이 있어 보임</t>
  </si>
  <si>
    <t>피난사다리 양중오픈부위 제작 및 외주발주 개선</t>
  </si>
  <si>
    <t>당초 : 직하층 자재 양중 시 피난사다리함 덮개를 해체·개방하여 작업함에 따라 덮개 미복구로 인한 추락사고 위험이 상존하고, 피난사다리 설치공사가 별도 외주로 운영되어 골조매립 시 안전·품질 관리에 공백 발생.
변경 : 피난사다리함 중앙에 여닫이형 자재 인양 발판을 설치하여 덮개 해체 없이 자재 양중이 가능하도록 개선하고, 피난사다리 설치공사를 골조공사 내역에 포함하여 시공 일원화 및 안전·하자 리스크를 예방.</t>
  </si>
  <si>
    <t>기존에 하향식 피난구 덮개에 대한 아이디어는 중복되나,
해결방법이 조금 상이함(200x200 자재인양구 제작)</t>
  </si>
  <si>
    <t>2400301</t>
  </si>
  <si>
    <t>고소음 공종 근로자 귀마개 의무화 제안</t>
  </si>
  <si>
    <t>고소음 공종 신규 근로자는 협력사에서 안전모를 지급할 때 안전모에 부착형 귀마개를 부착한 상태로 지급</t>
  </si>
  <si>
    <t>아이디어 인정, 과제 X
터널, 구조물 내부 소음이 심한구간에 작업 시 필요한 아이템이나, 개별 현장 특성을 반영하여 현장별 적용이 필요하다고 판단 됨</t>
  </si>
  <si>
    <t>샘플세대 시공 중 공종별 소통을 위한 창구(게시판)만들기</t>
  </si>
  <si>
    <t>개선 전 : 각 공종별로 전달사항, 공지 등 카톡, 메시지 등으로 연락 받은 사람들만 알 수 있음. 
개선 후 : 샘플세대 계단전실에 게시판을 부착하여 전달사항 또는 공지 등 공유되어야 할 정보를 게시. 예를 들어 도면, 연락처, 진행도 등을 작성 또는 자석 등으로 부착</t>
  </si>
  <si>
    <t>샘플세대 시공시 관련 협력사의 연락처 및 관련 자료를 
공유하자는 의견(과제화 하기에는 다소 마이너함. 현장 자체적으로
수행가능함</t>
  </si>
  <si>
    <t>현장 공사용차량 운영 개선의 건</t>
  </si>
  <si>
    <t xml:space="preserve">개선전 : 현장소장(고급형), 공사용차량(일반형)으로 구분 발주
개선후 : 공사용차량 동일 차량 발주로 통일 </t>
  </si>
  <si>
    <t>아이디어 인정, 과제 X
고급형 jeep(중형SUV)의 경우 현장소장이 발주처(단장, 팀장)
상대로 점검 및 행사, 현장 패트롤 등을 목적으로 사용하는
차량으로 대외 이미지 등 절감효과 대비 손실이 크다고 판단됨
타사의 경우에도 최소 중형 SUV 운영중</t>
  </si>
  <si>
    <t>건식PD 외 6건 공사공정간 업무 SCOPE 개선</t>
  </si>
  <si>
    <t>기존 업무 SCOPE 변경 요청(1. 건식 PD설치, 2.옥상 RD설치, 3.자동폐쇄장치, 4.주방후드, 5. 주방배수관련, 6.자동문)</t>
  </si>
  <si>
    <t>주요 담당과 논의가 필요함.
3.자동폐쇄장치 : 소방전기공종으로 변경시, 현재 건축 연간단가대비 약 2배▲
6.자동문 : 연간단가 갱신시기 도래시, 재협의 예정</t>
  </si>
  <si>
    <t>혈압상자 ZERO! 스마트 혈압 측정 솔루션</t>
  </si>
  <si>
    <t>개선전 : 자동 혈압계 이용하여 용지발생, 정보 분실 및 혼동의 문제 발생, 추적관리 어려움
개선후 : 키오스크형 혈압체크 기기 도입</t>
  </si>
  <si>
    <t>자동 데이터 저장용 협압측정장치 사용(생산성 향상)</t>
  </si>
  <si>
    <t>정규직 외 직원 근로의식 고취의 건</t>
  </si>
  <si>
    <t>당초 : 현장 인력이 정규직·PJ/계약직·현전직으로 혼재되어 있으나, 정규직 중심의 진급·동기부여 구조로 인해 비정규 인력은 성장 경로에 대한 기대가 부족하고 급여 중심의 근무 인식이 형성됨.
변경 : 정규직 외 직원 대상 전환 트랙을 명문화하여 근속·평가·현장 추천·TOP 제안 성과 등을 기준으로 정기적인 공식 검토 절차를 운영함으로써, 도전 가능한 성장 경로를 제시하고 조직 몰입도 및 장기 근속 동기를 강화함.</t>
  </si>
  <si>
    <t>해당 제도 존재하며,
회사의 계획에 따라 탄력적으로 운영됨.</t>
  </si>
  <si>
    <t>아파트 외벽면 수성페인트 재질변경</t>
  </si>
  <si>
    <t>아파트 외벽도장 재질 수성페인트 →실리콘 페인트 변경</t>
  </si>
  <si>
    <t>피난사다리실 액체방수 삭제</t>
  </si>
  <si>
    <t>개선전 : 품질팀 기준상 피난사다리실 바닥에 액체방수가 있으나, 당 현장과 같은 구조는 피난사다리실과 실외기가 분리되어있고, 물을 사용하지 않고 드레인도 없는 구조이기 때문에, 불필요한 방수를 시공해야하는 문제발생
개선후 : 현장 개설시 피난사다리실에 액체방수 있으면 삭제</t>
  </si>
  <si>
    <t>실외기겸용 피난사다리실이 아닌 경우에 한해 검토 예정
(디자인, 품질, 기술 의견청취)</t>
  </si>
  <si>
    <t>세대 실외기그릴창 방충망 타입 변경 건</t>
  </si>
  <si>
    <t>변경전 : 실외기그릴 롤 방충망 설치
변경후 : 실외기그릴 고정형 방충망 설치</t>
  </si>
  <si>
    <t>17차 과제 발표 완료</t>
  </si>
  <si>
    <t>1105002</t>
  </si>
  <si>
    <t>일일근로자 표식 위한 안전모 색상 변경 및 ‘일일근로자’ 표식</t>
  </si>
  <si>
    <t xml:space="preserve">개선 전 : 용역은 자재를 가지러 혼자 이동하며, 현장의 안전통로를 인지 못함. 또한 개인의 판단에 의한 행동이 지배적이여서 위험물 인지 목함.
개선 후 : 직원 또는 감시단에 눈에 띄게 안전모 색상을 변경하여 개개인의 활동을 감시할 수 있음.
</t>
  </si>
  <si>
    <t>일일 근로자 표시 아이디어
중복 확인 필</t>
  </si>
  <si>
    <t>공동주택 현관 옆 택배 및 배달음식 보관틀 제작</t>
  </si>
  <si>
    <t xml:space="preserve">개선 전 : 택배,음식배달시 현관 앞 또는 현관 옆에 마구잡이로 던져져 있거나 바닥에 놓인 택배,음식을 그대로 집안으로 가지고 들어가는 경우 바닥의 이물질등이 집안으로 유입되고, 위생적으로 심리적으로 거부감이 발생하며 이로 인한 사회적 갈등이 유발되는 경우가 많음.
개선 후 : 현관옆에 스테인레스(STS)로 보관 받침대를 설치하면 입주자들의 만족도가 상승되고 특히 음식배달시 위생적으로 접근할 수 있을 것으로 판단되며, 당 사 이미지 및 브렌드 이미지도 향상시킬수 있을 것으로 보임.
</t>
  </si>
  <si>
    <t>1) 소방법 상 공용공간을 공간적으로 점유하는 개별 입주자
   품목 설치 및 적치 불가능
2) 건설사 입장에서 실체적 이득이 없는 행위
   단, 현대건설이 브랜드 홍보용 별도 개발은 진행(2023년)</t>
  </si>
  <si>
    <t>2102322</t>
  </si>
  <si>
    <t>동출입구 및 호이스트 탑승구간 통제시설 제안</t>
  </si>
  <si>
    <t xml:space="preserve">개선 전 : 간판 및 위험표지 테이프 설치시 근로자 인지성 저하, 매번 재설치로 인한 추가 인력투입 및 작업시간 손실 발생
개선 후 : 고정형 출입금지 블라인드설치로 근로자가 위험구간을 즉시 인지할 수 있으며, 추가 인력투입 및 작업시간 손실 미발생  
</t>
  </si>
  <si>
    <t>가시성 좋은 안전시설물 설치에 따른 안전성 높아짐</t>
  </si>
  <si>
    <t>근로자 그네식 안전대 자동릴 쥠줄 변경 지급 제안</t>
  </si>
  <si>
    <t xml:space="preserve">개선 전 : 낮은 높이 작업 시 그네실 안전대의 죔줄 전개 길이로 인해 최하사점이 확보되지 않아 추락방지 효과가 제한됨.
개선 후 : 전 공정 자동릴 쥠줄을 교체 지급하여 최하사점이 확보 되어 추락사고 예방 효과가 기대됨.  
</t>
  </si>
  <si>
    <t>단순 안전용품 교체의 건</t>
  </si>
  <si>
    <t>갱폼 이동통로 추가 설치를 통한 이동 편의성 확보 
및 추락사고 방지</t>
  </si>
  <si>
    <t xml:space="preserve">1.	승하강 사다리는 기존안대로 설치
2.	승하강 계단 추가 설치를 통한 근로자 이동 편의성 확보
3.	발디딤 부위 미끄러짐 방지로 인한 추락 사고 방지
</t>
  </si>
  <si>
    <t>1202925</t>
  </si>
  <si>
    <t>품질시험계획 기준 수립</t>
  </si>
  <si>
    <t xml:space="preserve">(개선 전) 일반적으로 현장에서 착공 시 제출하는 품질시험계획서에 따라 품질시험을 의뢰하고 있으나, 해당자료는 현장의 품질시험담당 및 공무담당 직원에 의해 작성 후 교차검증하는 프로세스가 부재하여 현장별 공종 및 물량에 따라 반영되는 시험항목/횟수 등이 상이함.
(개선 후) 자재별로 의뢰하는 시험항목에 대한 회사의 기준을 수립하고, 해당기준 외 시험의뢰가 필요한 경우 타당성에 대한 교차검증 절차 수립
</t>
  </si>
  <si>
    <t>김기태</t>
  </si>
  <si>
    <t>일일공정회의 데이터 기반 AI 지원형 협력사 안전관리 자동화 시스템 구축</t>
  </si>
  <si>
    <t xml:space="preserve">[개선 전]
•	일일공정회의 자료는 작업 공유용으로만 활용
•	현장 점검 결과 및 부적합 사항은 개별 관리
•	협력사별 지적 사항 누적 관리 어려움
•	특별위험성평가 미이행 여부 확인 및 공문 발송을 수기로 처리
[개선 후]
•	일일공정회의 엑셀 또는 PDF 자료를 AI에 업로드하여
협력사명, 작업 장소, 작업내용을 자동 추출·분류
•	AI가 협력사별 작업 현황을 자동 정리하여 점검 대상 관리
•	현장 점검 시 발생한 부적합 사항을 해당 협력사
 및 작업내용과 자동 연계하여 등록
•	부적합 사항을 협력사별로 누적 관리하고,
기존 위험성평가 내용과 비교하여 신규 위험요인 여부 판단
•	신규 위험요인 발견 시 특별위험성평가 등록 요청 자동 생성
•	기한 내 미이행 시 협력사 대상 공문 자동 생성·발송
※ AI는 자료 분류·누적·연계를 지원하며, 
최종 판단 및 조치는 관리자가 수행함.
</t>
  </si>
  <si>
    <t xml:space="preserve">PC·모바일(APP) 연동형 협력사 자율 입력 기반
일일공정회의 전산화 및 안전관리 자동 연계 시스템 구축
</t>
  </si>
  <si>
    <t xml:space="preserve">[개선 전]
•	협력사 명일 작업내용을 전화·메신저 등으로 수기 취합
•	안전팀이 엑셀로 일일공정회의 자료 작성
•	회의 종료 후 별도 회의록 정리
•	작업 변경 발생 시 사유 관리 및 이력 관리 어려움
•	PC 환경 위주 운영으로 현장 즉시 입력·확인 한계
[개선 후]
•	PC·모바일(APP)에서 모두 사용 가능한 전산 시스템 구축
•	협력사가 모바일(APP) 또는 PC를 통해
일일공정회의 자료를 회의 시작 최소 30분 전까지 직접 입력
•	입력된 자료는 자동으로 일일공정회의 양식에 반영
•	회의 중에는 PC 기반 실시간 수정 가능
•	회의 종료 시 회의록 자동 생성 및 이력 저장
•	현장 점검 및 부적합 사항은 모바일(APP)에서 즉시 등록 가능
•	점검 결과와 위험성평가 내용을 자동 연계하여
신규 위험요인 발생 시 특별위험성평가 관리까지 연결
</t>
  </si>
  <si>
    <t>1205328</t>
  </si>
  <si>
    <t xml:space="preserve">보도부 표지판 기초 및 지주 시공 최소화를 통한 원가 절감안
</t>
  </si>
  <si>
    <t xml:space="preserve">가로등에 표지판을 부착하는 형식으로 변경
개선전) 가로등(기초-전주) 설치 / 표지판(기초-지주-표지판) 설치
개선후) 가르등(기초-전주) 설치 / 표지판(표지판) 설치
</t>
  </si>
  <si>
    <t>아이디어 인정, 과제 미채택
표지판 협의 시 필요한 사항이며, 담당자 개인의 역량에 기반하여 진행되야 되는
특성을 고려할 때, 현재 현장들의 상황을 볼 때 유형효과가 크지않은 실정이며,
현재 주요 수행현장들이 종심제 현장들이 많은 특성을 고려할 때 도급을 수반한
시행금액의 감소가 발생할 것으로 예상 됨
(인프라VE팀 택지담당에게 해당사항에 대해 공지될 수 있게 조치예정)</t>
  </si>
  <si>
    <t>다국적 근로자 혼재 현장의 ‘긴급 작업 중지’수신호 표준화</t>
  </si>
  <si>
    <t xml:space="preserve">1.직관적 수신호 적립 : 국적과 언어에 관계없이 누구나 즉시 인지할 수 있는 단일화된 “작업중지”동작 확립
2.반응 속도 개선 : 위험상황 발견시 생각할 필요없이 즉각적으로 전팔할 수있는 “반사적 안전 문화” 조성
3.개선 방안
 (1)공통 수신호 제정 : 예를들어 “양팔을 위로 크게 교차하여 ‘x’자를 만드는 동작”으로 통일
 (2)시작화, 행동화 교육
   -tbm활용 : 안전구호와 함께 해당 동작을 전원이 실시하여 몸이 기억하도록 습관화
   -그림 제작하여 조회대, 휴게실, 장비 등에 부착
   -신규자 필수 교육
</t>
  </si>
  <si>
    <t>안환실 검토의견
좋은 취지이나, 다음과 같은 단점이 예상되어 지속 검토 필요.
제스처 통일에 대한 이질감을 느끼거나 낯설어 하는 현장 및 근로자가 있어 초기 도입 시 일정한 저항이 예상됨.
또한, 현장마다 다양한 근무 환경 및 작업 형태에 따라 제스처 실효성이 떨어질 수도 있어
시각 자료 부착 및 교육에 따른 추가 비용 및 시간 투입이 불가피하며, 기존에 사용 중에 있던 안전구호·동작의 전달력이 저하될 위험이 있음.</t>
  </si>
  <si>
    <t>2502527</t>
  </si>
  <si>
    <t>무재해 보탬 시스템 구축</t>
  </si>
  <si>
    <t xml:space="preserve">[개선전] 옥외작업이 갖는 위험성에 대한 전파는 기본이고, 전파한 내용 들을 근로자가 충분히 인지하고 있는지에 대한 여부와 안전 보건 정보 전달 실효성의 수준이 주요 점검사항으로 부각되고 있는 반면, 현재 적용 중인 관리 방식은 의무사항에 부합하는 기본적인 수준만 유지. 관리의 효율성에서는 추가적인 개선 여지가 존재함.
[개선후] 현재 관리의 구조적인 한계를 보완하고 점검 대응 시 전반적인 부분에서 보조 역할을 이행함.
1명의 보건관리자가 시간과 체력을 효율적으로 활용하게 되어 더 넓은 반경에서 보다 발전적인 활동 창출 가능
</t>
  </si>
  <si>
    <t>해결방안이 모호함. 다만, 문제 의식에 대한 공감</t>
  </si>
  <si>
    <t>단위세대 목창호 가틀 하부씰 설치개선</t>
  </si>
  <si>
    <t>가틀 jamb 하부에서 70mm 이격 하여 앙카 시공하여 밴딩 현상을 방지하고 가틀 설치 완료 후 하부 SILL제거함</t>
  </si>
  <si>
    <t>앙카 시공 개수 증가 등으로 원가상승 요인 발생
문제로 제시한 바닥 꿀렁임 등 방지하려면 차라리 씰 상단에
공극 방지를 위한 원형 개구부 두 개 정도 뚫는 대체 방법 가능
원가절감 효과보다는 품질 향상을 통해 후속공정 및 하자비용 절감에 촛점이 맞춰있음
품질 기준 및 시공 기준 검토가 용이해 보임</t>
  </si>
  <si>
    <t xml:space="preserve">외부 인입구간 조립식 가설흙막이 선택 적용 및 계약 내역 반영(안전 TOP)
</t>
  </si>
  <si>
    <t xml:space="preserve">
(개선 전)
○ 내부 관로 및 외부 인입구간 안식각 확보 굴착을 원칙으로 시공
○ 외부 인입 구간은 맨홀 심도 증가로 인한 안식각 확보에 따른 절개폭 확대, 아스콘 훼손 및 복구 범위 증가, 공정 및 비용 부담 증가 등의 구조적 비효율 발생
○ 외부 인입구간에 대한 시공 방식 선택 기준이 계약 단계에서 명확히 규정되지 않음
(개선 후)
○	기존의 안식각 확보 원칙과 안전관리 수준은 유지
○	외부 도로 인입 구간에 한하여 맨홀 심도 증가, 절개폭 최소화, 공정 효율 및 복구비 절감 필요성을 고려하여 조립식 가설 흙막이를 적용한 방식으로 시공 방식 전환
○	해당 안전조치를 현장설명서 특수조건으로 명시 및 계약내역서 반영하여 시공 중 선택 사항이 아닌 계약상 필수 이행 사항으로 관리 
</t>
  </si>
  <si>
    <t>외부 인입구간에 대한 시공방법 명확화 및 예산편성, 집행에 대한 종합적 개선사항으로
과제화 검토 필요함(과제화 위해 구체적으로 검토 중)</t>
  </si>
  <si>
    <t>2403187</t>
  </si>
  <si>
    <t>안전자산 생애주기 관리 시스템</t>
  </si>
  <si>
    <t>안전시설물 교통시설물 구매시 전산입력하고 현장 수량으로 자산등록 후 해당 시설물의 생애주기 추적을 시행함</t>
  </si>
  <si>
    <t>중복아이디어(소액자산 관리시스템에 입력대상 항목)</t>
  </si>
  <si>
    <t>현장 안전조끼 일원화</t>
  </si>
  <si>
    <t>현장 안전조끼 일원화를 통한 현장별 별도 안전조끼 구매로 인한 구매소요 방지</t>
  </si>
  <si>
    <t>중복아이디어(1742)</t>
  </si>
  <si>
    <t>2500265</t>
  </si>
  <si>
    <t>현장 안전화 일원화</t>
  </si>
  <si>
    <t>현장 안전화 일원화를 통한 현장별 별도 안전조끼 구매로 인한 구매소요 방지</t>
  </si>
  <si>
    <t>현장별 특성 고려, 갱폼 하이브리드 시스템 적용</t>
  </si>
  <si>
    <t xml:space="preserve">35F 이상 R.C.S 적용기준에서 30F~40F 사이 현장별 특성을 고려 하이브리드 시스템 적용으로 변경하여 원가절감  </t>
  </si>
  <si>
    <t>좋은 아이디어로서, 갱폼 추락방지 레일 시스템 적용 이후, 추가 진행 논의하기로 함</t>
  </si>
  <si>
    <t>갱폼 추락방지 레일시스템 개발</t>
  </si>
  <si>
    <t>기존 G/F 추락방지 레일시스템의 단점을 보완한 레일시스템 개발</t>
  </si>
  <si>
    <t>좋은 아이디어 이나, 개발비용 및  현실적 난이도 높음
갱폼 추락방지 시스템 19차 과제발표 예정</t>
  </si>
  <si>
    <t>외부 곤돌라 와이어, 구명줄 지지 BLOCK 적용방안 제안서</t>
  </si>
  <si>
    <t>곤도라 풍하중에 의한 횡력을 산정, 콘크리트 BLOCK의 자중을 검토해 곤도라 지지에 충분한 자중을 가진 콘크리트 BLOCK을 제작/ 활용. 콘크리트 BLOCK은 지게차등으로 이동이 용이하여 충분한 거리 이격, 충분한 자중으로 난간 파손, 외장마감재 손상, 외부 휀스기초에 영향을 주지 않고 곤도라 와이어, 구명줄의 충분한 장력 확보가 가능하며, 적정한 장력으로 와이어와 구명줄의 꼬임 등을 방지 할 수 있습니다.</t>
  </si>
  <si>
    <t>기술 안전 사항으로 좋은 아이디어로 구체적인 과제화 논의 중
(19차 또는 20차 발표 목표로 진행 중)</t>
  </si>
  <si>
    <t>공사용 차량 과태료 납부 프로세스 변경</t>
  </si>
  <si>
    <t>과태료 고지서 발급 및 수령 프로세스 간소화 정립으로 고지서 연체금 미발생 기대</t>
  </si>
  <si>
    <t>하이노트 하자접수 개선</t>
  </si>
  <si>
    <t>파손된 마감부위에 묶여있는 3~4가지의 공종을 최초 하자 입력시 복합공종건 체크란을 만들어 체크하면 추가공종 [입력+순서] 정함. 그리고 순서대로 완료처리시 다음 순번 공종으로 자동 연계.</t>
  </si>
  <si>
    <t>갱폼 특이 관리 부위 ('ㄷ자 형태, 평면 변화, 이형발생 등)
발주 기준 수립</t>
  </si>
  <si>
    <t>발판 연장 및 보강대 기준 변경을 통한 캔틸레버 삭제로 추락 위험 요소 제거
일부 구간 발판 모따기를 통한 해체 및 인양 시 보강대 간섭 개선</t>
  </si>
  <si>
    <t>기술 안전 관련하여 의미 있는 사항이나,
과제화에 대한 부분은 논의가 필요함</t>
  </si>
  <si>
    <t>드라이몰탈 실행 기준 변경(미장용(포)→방통용)에 의한 절감안</t>
  </si>
  <si>
    <t>당 현장 부대시설 및 아파트 코어 등 바닥미장 일부의 실행 기준은 미장용 레미탈(포)로 되어 있음. 미장용 레미탈(포) → 방통용 레미탈(TON) 으로 변경한다면 자재비, 습식공사 외주비에 대한 원가 절감이 가능함</t>
  </si>
  <si>
    <t>견적지침상 시공과 자재가 분리되어 산출되면서
부대시설 및 아파트 코어 부분이 미장용 레미탈로 산출되어 있음
관련사항은 견적팀에 전달하여 실행시 반영 요청</t>
  </si>
  <si>
    <t>공동주택 기준층 바닥 PC슬래브, 구조체 분리, 층간소음 저감</t>
  </si>
  <si>
    <t>기준층 이후 바닥 PC SLAB를 적용, 각 실별 내력벽에 헌치구조를 형성하여 받침면에 저감재 깔고 SLAB 설치. SLAB에서 벽체로 전해지는 사운드 브릿지 차단, 바닥 평탄성 향상. 단, 벽체는 콘크리트 타설로 형성, CPB 타설.</t>
  </si>
  <si>
    <t>여러 사례 검토결과 PC슬라브 적용에 따른 기준층 높이
최소 3,000 세팅 필요 등 물량 및 계획 전반에 비효율 발생</t>
  </si>
  <si>
    <t>양수기 취급작업시 보호구 비치용 안전표지판 설치</t>
  </si>
  <si>
    <t>간헐적 작업일 수 밖에 없는 양수기 취급 작업으로 안전보호구 미착용에 따른 감전사고 방지를 위해 절연보호구 보관이 가능한 안전표지판을 양수기 주변에 설치하고 보호구를 비치하여 양수기 관리 작업 시 감전사고 예방</t>
  </si>
  <si>
    <t>아이디어 인정, 과제 검토중
적용가능한 현장이 다수 있을것으로 판단되며, 과제화 진행이 필요한지 여부 또는 과제화 없이 진행여부 검토예정</t>
  </si>
  <si>
    <t>DA 추락방지망 → 난간 변경 제안</t>
  </si>
  <si>
    <t>(당초) DA 그릴 창 뒤 추락방지망 or 난간
(변경) DA 그릴 창 뒤 난간 적용</t>
  </si>
  <si>
    <t>DA 그릴창 추락사고 이후에 추락방지망 설치한 프로세스로서 혹시 모를 안전에 대한 리스크 차원에서 당초 안이 더 안전하다고 생각됨</t>
  </si>
  <si>
    <t>층고 4.2m 초과 RC구조물 시스템 동바리를 이용한 작업발판 활용</t>
  </si>
  <si>
    <t>시스템 동바리 계획 시 벽체의 작업을 위한 발판, 수평대(난간) 구조계산을 사전검토 하면, 시스템 비계 설치 구간을 축소하여, 위험 작업의 감소 및 금액적 절감이 가능하다.</t>
  </si>
  <si>
    <t>아이디어 741번과 중복, 그 당시에도 합법적인 방법이 아닌것으로 확인 하였으나
현실적인 대안이 없어서 과제화 진행이 어려운 사항 구조계산을 사전 검토 하</t>
  </si>
  <si>
    <t>IOT센서 활용 안전시설물 관리</t>
  </si>
  <si>
    <t>개선전 : 각종 개구부 막이 등의 임의 이탈시 관리 어려움
개선후 : IOT 센서 설치(도어센서 활용) 이탈시 관리자 알림</t>
  </si>
  <si>
    <t>스터디 할것.</t>
  </si>
  <si>
    <t>직원건강검진(사무직 종사자) 횟수 변경 및 선택 검진폭 확대</t>
  </si>
  <si>
    <t>• (본사 인원 2년 1회/ 검진 선택폭 확대 적용) 법규상, *사무직 종사 근로자에 해당 하는 본사 근로자에 한해 2년 1회 건강검진을 적용하되, 무조건 적인 검진 횟수 축소가 아닌 2년에 상응하는 비용으로, 개인 검진의 선택 폭을 확대하여 1) 개인 만족도 제고 2) 근무 연속성 확보를 하고자 함.</t>
  </si>
  <si>
    <t>복리후생 건의 사항</t>
  </si>
  <si>
    <t>공동주택 필로티 개선을 통한 분양 촉진 제안 件</t>
  </si>
  <si>
    <t>개선 前 ① 필로티 하부층 개방으로 난방비 ▲ ② 보행자 상시 이동 소음 ▲ 
개선 後 ① 동절기 난방비 절감을 위한 개방(OPEN)부위 전동 투명 천막 설치(동절기) ② 필로티 바닥 마감 석재/인터로킹블록 → 고무칩(놀이터) 변경</t>
  </si>
  <si>
    <t>필로티 상부층에 어필할 수 있는 (작은)아이디어
개폐가능한 천막 등은 바닥면적에 산입될 수 있는 Risk 사항으로 적용 불가</t>
  </si>
  <si>
    <t>2201243</t>
  </si>
  <si>
    <t>하자보수보증증권 수수료 절감 (불필요한 보증범위 삭제)</t>
  </si>
  <si>
    <t>도급 하자보수보증증권 수수료에 대한 절감방안으로
공동주택은 쉽지 않지만, 복합개발 및 도급공사시 활용하는 함
(과제화 하기 위해 스터디 중)</t>
  </si>
  <si>
    <t>2400566</t>
  </si>
  <si>
    <t>개인건강관리 미흡으로 인한 재해 예방</t>
  </si>
  <si>
    <t>신규근로자 채용 시 고령자(60세 이상), 기저질환자, 유소견자, 신규 출력 당일 수축기압 150mmHg 이상 시 건강검진 결과지+소견서 제출 기준 강화</t>
  </si>
  <si>
    <t>당사 고령근로자 관리 방안에 포함되어있는 내용(안전 확인 완료)</t>
  </si>
  <si>
    <t>전사 알림방법 통일 (카카오톡_알림톡)</t>
  </si>
  <si>
    <t>신규 시스템 활용, 알림방법 일원화(안전사고+환경, 대외점검)
카카오톡 알림톡으로 일괄변경</t>
  </si>
  <si>
    <t>잘 사용하지 않은 유니파이어 문자 시슽템을 삭제하고
올사이드 알림 시스템으로 통합하여 운영 / 중복확인 필요</t>
  </si>
  <si>
    <t>타워크레인 슬링벨트 구매비용 도급내역 반영 건</t>
  </si>
  <si>
    <t>협력사(골조)에 원가압박 없이 일정주기로 슬링벨트를 교체 할 수 있도록 도급내역상에 비용을 책정,삽입하여 협력사의 원가절감의 부담감 해소 및 인양 안전성 확보.</t>
  </si>
  <si>
    <t>슬링벨트를 주기적으로 교체하여 안전성을 높이는 아이디어</t>
  </si>
  <si>
    <t>코레일 이용(승차권) 기업할인 적용 구매</t>
  </si>
  <si>
    <t>코레일 기업회원 예매를 통한 할인 혜택 적용 * 업무 출장, 교육 출장 등 장거리 이동 전체 적용</t>
  </si>
  <si>
    <t>중복확인 필요</t>
  </si>
  <si>
    <t>1105668</t>
  </si>
  <si>
    <t>하자보수보증금 산정 대상 공종 제외 적용을 통한 하자보증증권 보증한도 및 발급 수수료 절감</t>
  </si>
  <si>
    <t>• 하자보수보증금 대상 공종을 하자가 발생하는 ‘시설공사’ 로 한정하여 보증증권 발급, 이에 따른 보증한도 및 수수료 절감</t>
  </si>
  <si>
    <t>1800번 아이디어와 중복
과제화시, CFT 멤버로 같이 수행 / 접수일 확인</t>
  </si>
  <si>
    <t>노트북 등 지급 기준 개인 할당제 변경</t>
  </si>
  <si>
    <t>1. (3년) 1,600,000원/인 지원으로 개인의 업무 환경에 맞는 PC 및 노트북 구매 후 활용 2. 교체주기 종료 후 개인별 구매 PC는 중고 PC 매입사를 통해 반납 진행. 이에 따른 수입 금액은 당사 계좌로 환수 처리</t>
  </si>
  <si>
    <t>보안 문제로 실행 어려움 &amp; 관리 비용 증가. 현재 렌탈로 진행중</t>
  </si>
  <si>
    <t>토목현장 중 건축공정 현장에 대한 안전 인건비 실행반영</t>
  </si>
  <si>
    <t>배경 : * 현장 특성상 자원회수시설(소각장) 건설 현장의 경우 건축에 가까운 공정이 대다수 차지(전기,기계,건축 등) * 모든 토목 현장에 안전반장 / 일용직 근로자 인건비 실행 미반영
개선안 : * 모든 토목현장 일괄 안전반장/일용직 근로자 인건비 미반영에 따른 실행 변경 요청 및 품의 진행</t>
  </si>
  <si>
    <t>아이디어 불인정
현장 최초실행 편성 시 현장의 요청이 있을 경우 안전반장은 실행(현장관리비 중 인건비)에 편성이
가능하며 일용직의 경우에는 따로 편성하는 경우는 없음
교통정리 신호수나 기타 청소비 등 수행을 위한 일용직 비용의 경우에는 보상복구비 편성으로
사전 품의 후 집행이 가능하며, 인프라 전현장 해당 업무가 필요할 경우 사전 품의 후 진행 중</t>
  </si>
  <si>
    <t>KS정기구독 해지 등 유효성 재검토</t>
  </si>
  <si>
    <t xml:space="preserve">KS규격이 필요한 자료는, 계약 업체(외주/구매 등)에 함께 납품토록 현설 등 반영
    → 공정, 자재 투입전 수령 및 비치
- (‘25년 갱신분 종료시점: ’26.06.22) 全 현장 공통/사용가능 KS는 다운로드 비치
</t>
  </si>
  <si>
    <t>특정부서에서만 활용하는 자료에 대한 최적화 방안
(열람 및 출력 가능 또는 열람만 가능)</t>
  </si>
  <si>
    <t>갱폼 추락방지 시스템 도입</t>
  </si>
  <si>
    <t>기존 갱폼 잠금장치는 볼트 선해체 방지로 갱폼 추락 방지/갱폼 상부에 추락방지용 앙카를 설치하여 타설 전 매립, 양생 후 갱폼 인상 전 해당 장치 볼트 고정 상태 확인 -&gt; 갱폼 와이어로프 체결 -&gt; 앙카볼트 해체 -&gt; 상부에서 해당 장치 볼트 해체 순으로 작업 진행하여 안전상 확인 용이 및 작업 간소화</t>
  </si>
  <si>
    <t>갱폼 상부에 추락방지용 앙카 설치하는 해결 방법</t>
  </si>
  <si>
    <t>2502414</t>
  </si>
  <si>
    <t>고소작업대 하부 사고 방지를 위한 레이져 세이프티 존 설정</t>
  </si>
  <si>
    <t>(전) 경보음과 작업자 주의에만 의존하여 하부 진입 통제 불가 → (후) 장비 하강 및 주행 경로 바닥에 사방 레이저 빔을 투사하여 실시간 시각적 진입 금지 구역(Red-Zone)을 자동 생성.</t>
  </si>
  <si>
    <t>고소작업대에 레이저 발생기를 설치하여 시각적으로 안전공간을 확보할 수 있도록 함
다만, 신호수 삭제에 대한 절감은 무관함(레이저 존이 있더라도 신호수는 필요함), 중복확인 필요</t>
  </si>
  <si>
    <t>융설시스템(염수분사) 외주입찰 업체 다각화로 원가절감</t>
  </si>
  <si>
    <t xml:space="preserve"> 염수분사와 같이 일부 업체가 과독점 상태인 공종의 경우 경쟁입찰시에도 높은 단가가 형성되어 원가절감이 어려운 실정임. 염수분사시설의 경우 큰 기술력이 필요한 공법이 아니므로 안전사고 및 하자에 대한 난이도가 낮아 당사 등록업체 외 참여가 가능한 공종임</t>
  </si>
  <si>
    <t>18차 과제승인위원회 상정</t>
  </si>
  <si>
    <t>U형측구 덮개 거푸집 철물제작으로 공정 최소화</t>
  </si>
  <si>
    <t>개선전 : 합판 등 현장 제작으로 투입 多, 공기 지연
개선후 : 부정형 형상에 맞는 철물 제작으로 공정 단순화
→ 목공 작업 최소화 및 철물 재사용 가능</t>
  </si>
  <si>
    <t>아이디어 인정, 과제 미채택
현장별 측구 덮개가 필요한 구간은 많으나, 중분대 집수정과 같이 제작 집수정 처럼
수요가 많은 구간은 적습니다.(농기구, 트럭 등 일부차량 통행이 주요 목적)
또한 제작장에서 덮개 인양 시 파손우려로 인해 현장인근 제작 중이며, 목수 인원이
실질적으로 수행하는데 큰 시간이 소요되지 않은 실정을 고려할 때,
특별히 필요량이 많은 경우는 제한적이라 과제화 채택은 어려운 실정입니다.</t>
  </si>
  <si>
    <t>방음벽 기초 시공을 위한 비계 설치비 반영</t>
  </si>
  <si>
    <t xml:space="preserve">(제안안)
방음벽 기초 시스템비계 도급 반영(설계변경)
(개선 전)
• 시스템비계 도급 미반영
  - 근로자 안전 및 작업효율을 위해 도급에 미반영된
    비계 설치 필요 → 원가 손실 발생
</t>
  </si>
  <si>
    <t>아이디어 인정
현 과제 추진중인 소형구조물 안전시설물 도급반영 건과 연계가능
4월 과제승인위원회 진행 시 발표 예정</t>
  </si>
  <si>
    <t>현장 특수검진시 임직원 일반검진 항목 제외(회사 건강검진 중복)</t>
  </si>
  <si>
    <t>개선 전 : 일반검진비용 이중발생
개선 후 : 회사지원 건강검진으로 일반검진포함하여 진행</t>
  </si>
  <si>
    <t>공동주택 등 건축물 계단실 난간 선설치(프리셋)공법 적용</t>
  </si>
  <si>
    <t xml:space="preserve">개선 전
1. 임시 안전망, 로프, 가설물 위주의 불안전한 안전시설물
2. 안전망 설치-&gt;해체-&gt;난간 설치로 인한 반복 작업 발생으로 위험성 증가
3. 공정 간섭 발생으로 공정 지연 가능성 증대
4. 사고 발생 시 중대재해처벌법, 산업안전보건법 상 지적 가능
5. 안전망 등 불확실한 시설로 인한 근로자의 사고 위험 증가
개선 후
1. 구조체로 된 고정형 난간 설치로 인하여 안전성 증가
2. 절차가 복잡하지 않고 즉시 난간 설치 가능
3. 공정 간섭 최소화로 공기 단축 가능
4. 사고 발생 시 중대재해처벌법, 산업안전보건법 상 법규 충족
5. 확실한 난간 설치로 인한 근로자의 사고 위험 감소
</t>
  </si>
  <si>
    <t>2400294</t>
  </si>
  <si>
    <t>평판재하시험 시 JACK 헤드받침 개선</t>
  </si>
  <si>
    <t xml:space="preserve">덤프트럭의 다양한 범퍼가드 형상에 가능한 JACK 헤드받침 도입
• 구조: 평평한 고강도 강판과 앵글 용접으로 구성 
• 재질: 고강도 강재로 제작하여 반복 하중에 견딜 수 있도록 설계 
• 특징: 헤드받침 상부면에 미끄럼 방지 고무패드를 적용하여 유압잭의 안정적 접촉 확보
</t>
  </si>
  <si>
    <t>아이디어 인정, 과제 미채택
해당제품을 사용하여 평판재하시험 수행자 및 장비안전 향상에 기여할 수 있으나,
덤프트럭, B/H는 회사보유 자산이 아닌 상황으로 강제성을 부여하기 어려운 실정이라
과제로 진행은 어려운 상황입니다.</t>
  </si>
  <si>
    <t>1700067</t>
  </si>
  <si>
    <t>정기안전점검비용 절감</t>
  </si>
  <si>
    <t>배경 : 안전관리계획서상 안전점검비용의 과편성
개선 : 1.정기안전점검비용 변경기준적용을 통한 정기안전점검 비용 절감, 2.기타점검 항목 및 점검 횟수 기준 적용, 최초 실행편성 시 반영</t>
  </si>
  <si>
    <t>시스템 비계 안전 난간 선행 공법 적용</t>
  </si>
  <si>
    <t>개선사항 : 하부 작업발판에서 상부 작업발판 단부에 안전난간을 설치할 수 있고, 해체 시에도 하부의 안전난간이 설치된 작업발판에서 작업할 수 있어 추락사고의 근원적 예방 가능, 시스템비계의 수평재를 대신하여 선행안전난간대(신기술)를 설치하므로 해체 시까지 존치되어 별도의 안전난간을 설치할 필요가 없음.</t>
  </si>
  <si>
    <t>사다리 QR 기반 사용이력 관리 시스템 적용</t>
  </si>
  <si>
    <t>사다리 사용전 QR 스캔을 의무화 스캔 시 1. 사용자 인증 2. 소속 팀 자동 기록 3. 사용 시간 저장 4. 안전 수칙 팝업 노출 간단한 정보들을 저장하고 노출시켜서 안전에 한번더 유의를 주고 사용함에 있서서 추적관리할 수 있도록 시스템 구축</t>
  </si>
  <si>
    <t>0700259</t>
  </si>
  <si>
    <t>공용부(실내)바닥 석재 두께 30T→20T 변경</t>
  </si>
  <si>
    <t>중량물 이동이 적은 공용부 중 실내 바닥 석재 두께를 기존 30T에서 20T로 변경하여 자재비를 절감하고, 평면 특성상 절단이 많기 때문에 노무비 절감도 가능함.</t>
  </si>
  <si>
    <t>바닥 석재 구간 : 지하층~1층 ELEV홀
준공 전, 입주 시 상당 하중 이동 공간으로 기준 두께 유지
(장기적으로 석재 or 타일 여부 검토 예정)</t>
  </si>
  <si>
    <t>이동식 자동확산소화기 제작 설치</t>
  </si>
  <si>
    <t>개선전 : 야적장 내 이동식소화기 또는 자동확산소화기 설치
개선후 : 이동식 자동확산 소화기설치</t>
  </si>
  <si>
    <t>2202073</t>
  </si>
  <si>
    <t>지하주차장 조적, 블록구간 공법 통일</t>
  </si>
  <si>
    <t>개선전 : 로비(전실) 조적, 지하주차장 블록 시공구간
조적의 경우 시공성, 공정추가(미장), 공기 지연
블록의 경우 6인치, 8인치 혼용 -&gt; 원가 상승
개선후 :일부 조적조를 블록조로 변경하고, 6, 8인치 혼용되어 있는 블록조를 6인치 보강블록조로 통일하여 원가 절감</t>
  </si>
  <si>
    <t>직접 외기구간 부착 단열재 종류 변경</t>
  </si>
  <si>
    <t>형별성능관계내역(공동주택, 비주거) 도면 상
외기 직접구간에 PF보드(준불연)으로 표현</t>
  </si>
  <si>
    <t>실제 단가차이 발생(약 30%)
다만 열관류율 차이에 의한 두께 증가 감안하여 검토 예정</t>
  </si>
  <si>
    <t>실내공기질, 바닥충격음, 준공소음 측정 용역 연간단가 시행</t>
  </si>
  <si>
    <t>개선전 : 실내공기질, 바닥충격음, 준공소음 측정 용역 Package화 하여
현장에서 3사 견적 후, 최저가 계약 진행 중
개선후 : 3개 용역 연간단가 계약 체결하여, 현장 업무 Process간소화 및 원가절감 효과 기대</t>
  </si>
  <si>
    <t>SRC구조의 기둥띠철근과 철골보 웨브 간섭구간 철골 선타공</t>
  </si>
  <si>
    <t>배경 : SRC구조의 기둥 띠철근 배근 시 기둥 주변 4면 보가 없는 경우 보춤 부위도 기둥 띠철근을 배근하여야 하고 띠철근과 철골웨브 접합면을에 커플러를 용접함으로써 화재 및 고소작업 위험이 있어 개선이 필요하다. 
개선 : 커플러 설치 부위의 철골 웨브를 선타공 하여 커플러 설치 공정을 삭제하여, 위험공정을 축소시키고, 원가절감도 가능하다.</t>
  </si>
  <si>
    <t>복합개발 현장 경비용역 단가갱신 기준안 개선</t>
  </si>
  <si>
    <t>• 서울역 현장의 특화 경비용역 연단가 인상율 일반현장과 동일 금액 적용 
- 최저시급 변동에 따른 일반 경비용역 갱신 ‘금액’을 동일하게 적용 : 26년 +10만원 - 실질적으로 최저시급의 영향을 받는 급여가 아니므로 협의 조정 가능 
- 건축지원팀 경비용역 연간단가 인상 품의시 해당내용 포함 진행 • 향후 복합개발 현장(수서, 잠실) 경비용역은 입찰 진행 및 ESC 조건 미반영 
- 최저시급 미해당 사항이므로 연간 계약단가 갱신 미반영 가능</t>
  </si>
  <si>
    <t>아파트 코어 옥상층 전실 FSD 삭제</t>
  </si>
  <si>
    <t>1. 옥상층 전실(계단실~전실)에 설치되는 FSD 방화문 삭제건
 * 옥상층 계단실~전실 사이 불필요한 방화문(FSD) 설계로 공사비 상승 및 관리포인트 증가</t>
  </si>
  <si>
    <t>중복
(TOP 기 승인 과제_주거동 옥탑 규모 축소)</t>
  </si>
  <si>
    <t>현장 paperless 제안_clean office</t>
  </si>
  <si>
    <t>1. 현장 paperless 제안 안 - (개선 전)종이 점검 -&gt; (개선 후)네이버 폼 등 온라인 설문을 활용한 개인별 모바일/PC 점검으로 전환
2. 데이터 취합 및 관리 주체 변경 - 각 팀별(현장별) 취합 방식에서 본사 담당 부서 일괄 종합 및 관리 방식으로 변경하여 업무 단계를 간소화</t>
  </si>
  <si>
    <t>2501549</t>
  </si>
  <si>
    <t>근로자 소속, 유소견자 식별</t>
  </si>
  <si>
    <t xml:space="preserve">근로자,차량 (업체,유소견자,고령근로자 )을 식별할 수 있게 업체별 색상을 정하여 관리 
 EX) A업체 : 주황 /  B업체 : 녹색 / C업체 : 파랑 
</t>
  </si>
  <si>
    <t>안전모 LED 식별시스템</t>
  </si>
  <si>
    <t xml:space="preserve">전 : 안전모 식별띠, 스티커가 전부였음, 시인성 확보에 어려움
후 : 안전모 LED를 부착하여 시인성 확보에 탁월
(고령근로자, 유소견자는 색상 빨강색 등 구별)
</t>
  </si>
  <si>
    <t>아이디어 인정, 과제 X
이전까지 제안되었던 안전모 관련 아이디어는 색상, 스티커, 실별띠에 한하여 아이디어 제안이 있었느나, 해당 아이디어들은 시인성 확보에 한계가 있고(터널 등)
LED를 활용하면 시인성은 확실히 개선 가능성이 큼</t>
  </si>
  <si>
    <t>보건관리자 투입</t>
  </si>
  <si>
    <t xml:space="preserve">전 : 매뉴얼 상에는 관리감독자로 되어 있지만, 안전업무 특성상  보건관리 업무는 안전관리자가 업무를 하고 있음
후 : 보건관리자를 채용함으로써 업무적 스트레스, 근로자의 사고예방 등 관리체계가 잡힘
</t>
  </si>
  <si>
    <t>아이디어 불인정
법적 보건관리자 선임기준 : 800억 이상, 토목공사 1,000억이상, 상시 근로자 600명 이상의 경우
보건관리자 1명 선임하게 되어있으며 법적 기준 이하의 경우 당사의 경우 실행 편성시 고려하지 않음
26년 준공현장 제외 1,000억 이하 현장은 인프라 3개 현장으로 그중 1개 현장은 품의 후 보건관리자
선임, 안전이 우선이나 TO외 추가 인력 채용은 현장관리비 추가, 실행에 영향을 줄 수 있는 부분이라
과제화는 어려울 것으로 판단됨</t>
  </si>
  <si>
    <t>온열조끼 및 핫팩</t>
  </si>
  <si>
    <t>배경 : 토목현장은 현장 특성상 전기를 쓸수가 없어 난방기구를 설치 할수 없는 특성이 있음, 옥외 근로자 한랭질환에 취약함.근로자 온열조끼,핫팩 지급간 단가가 높아 부담스러움
개선 : 기존 연간단가 금액 46,000원, 인터넷에서 잘 찾아보면 2~3만원도 가능하며 핫팩도 250~300원도 가능함(혹한기 칠성처럼 연간단가 계약을 찾으면 좋을 것 같음)
고로 산업안전보건관리비 절감에 도움이 될 것 으로 사료됨</t>
  </si>
  <si>
    <t>핫팩 대형유통사 직계약 가능할수도(롯데칠성 처럼)</t>
  </si>
  <si>
    <t>안전모 방한용 내피 연간단가 추가의 건</t>
  </si>
  <si>
    <t xml:space="preserve">배경: 건설현장의 특성상 날씨에 취약함, 특히 방한대책 연간단가에 보면 귀덮개, 핫팩, 발열조끼 등이 있지만, 방한용 안전모 덮개는 없음, 귀덮개 및 워머의 기능이 동시에 있는 방한용 안전모 내피가 있으면 해결이 됨
당초 : 기존 연간단가 항목이 없음, 따로 현장구매 요청서를 해야함과 동시에 비싼 값을 지불해야 구매가 가능함
변경: 연간단가 항목을 추가해 가격과 품질이 좋은걸 추가하여 근로자의 방한대책 강구와 심혈관질환, 동상에 예방할 수 있는 직접영향을 줄수 있을거라 사료됨
</t>
  </si>
  <si>
    <t>안전환경실, 구매팀 건의</t>
  </si>
  <si>
    <t>현장 개설시 피난사다리실에 액체방수가 있으면 삭제</t>
  </si>
  <si>
    <t>동일인 중복 제출
(1768번 아이디어 인정 후 검토중)</t>
  </si>
  <si>
    <t>2600258</t>
  </si>
  <si>
    <t>현장 활력 충전을 위한 카페형 감성 쉼터 조성</t>
  </si>
  <si>
    <t xml:space="preserve">배경 :  기존 가설사무실 휴게실은 창고 같은 삭막한 분위기로 인해 정서적 피로 회복이 불가능함.
딱딱한 가구와 눈이 피로한 형광등 아래에서 직원들이 충분한 휴식을 취하지 못해 오후 집중력 저하 발생.
개선 전(냉소적환경) : 백색 형광등, 수납장 없는 노출된 탕비 공간, 식당용 롱테이블.
개선 후(따뜻한 카페) : 전구색 조명으로 아늑함 조성, 조립식 가구를 활용한 정돈된 키친존, 카페테이블 중심의 라운지 조성.
</t>
  </si>
  <si>
    <t>건의사항. 현장소장 권한으로 가능함</t>
  </si>
  <si>
    <t>계단실 안전난간대 시설물 설치 변경 제안</t>
  </si>
  <si>
    <t xml:space="preserve">개선 전  :
1. 안전난간대 설치 및 해체로 자재비, 설치비, 해체비 발생 
2. 본 난간 속대 설치 시 자재비, 설치비 발생
3. 본 난간 속대 설치로 인하여 안전 난간대 해체로 추락 위험 발생
개선 후 : 본 난간대 업체 우선 선정 후 본 난간 속대 자재를 선 발주 하여 안전시설물팀으로 지급하여 안전 시설물팀이 설치
</t>
  </si>
  <si>
    <t>0703042</t>
  </si>
  <si>
    <t>탑다운 현장 지하 방습벽 內 배수 pipe 재질 변경</t>
  </si>
  <si>
    <t>배경 : 탑다운 현장 지하 차수벽(ex:슬러리월)의 벽면 평활도가 고르지 않아 방습벽 시공 전 내부 누수 or 결로수 배출용 pipe를 벽면에 고정하기 난해함 (수직도 확보 어려움)
개선전 : 일반 PVC pipe
개선후 : 연질의 pipe (ex:전기 CD관, 편사호스 등)</t>
  </si>
  <si>
    <t>(DFS)공동주택 지하외벽 구간 내민기초 삭제를 통한 합벽 시공</t>
  </si>
  <si>
    <t xml:space="preserve">배경 : 지하외벽 구간을 비합벽으로 시공할 경우 외부 비계 설치 및 해체 작업이 수반되며 되메움 작업을 위한 장비 진입이 필요함.
협소한 공간 내에 작업인원이 투입되어 다음과 같은 안전 RISK 발생 우려 있음
1) 협소 공간 되메우기 작업 시 안전사고 발생 위험 증가
2) 협소 공간 비계 설치ㆍ해체 작업 중 사고 발생 가능성 증가
적용사항 : 1) 지내력기초는 작용하중과 기초 저면의 지지면적에 의해 허용 지내력 이내로 되는지 확인하여 안전성을 검토하는 기초 형식.
2) 파일기초는 작용하중과 파일의 지지력에 의해 허용 지지력 이내로 되는지 확인하여 안전성을 검토하는 기초형식.
</t>
  </si>
  <si>
    <t>아이디어 인정, 과제 검토중
설계단계에서 안전성 및 부가적으로 원가도 개선할 수 있는 아이디어로 과제화 진행예정</t>
  </si>
  <si>
    <t>HI-Note v2.0 개발</t>
  </si>
  <si>
    <t xml:space="preserve">1. 펀치리스트 기능 개선 및 신규 기능 추가 개발
- 협력사 用 PC 버전 개발/엑셀 내보내기 시 부적합 사진 포함/부적합 사진 內 조치 필요내용 자막 자동 생성(cf. 동산보드판 앱)
2. 검측 사진 관리 자동화
- Hi-Note(앱) 활용 검측 사진 촬영 → Hi-Note(웹) 서버 자동 저장 → 간편 다운로드
3. 구조/품질 점검, 관리 업무 체계화 및 데이터化(Hi-Note 통합관리)
- 점검실시 → Hi-Note 內 보고서 작성 및 피드백 관리 → 이력관리 및 데이터化 → DB분석
4. 현장별/공종별 소송 필요 자료 기록관리 시스템 구축
- (현장) 시공 中 각 단계별 필요 자료 Hi-Note(웹) 업로드 → CS팀 업로드 여부 모니터링 및 자료 관리(인덱싱 체계 구축)
</t>
  </si>
  <si>
    <t xml:space="preserve">아이디어 인정, 과제 검토중
</t>
  </si>
  <si>
    <t>터파기 전 EV PIT 제조사 선정</t>
  </si>
  <si>
    <t>배경 : 현장에 터파기 공사는 진행중이나, 아직 E/V 제조사 결정이 되지 않았습니다. 
당현장 35층 기준, 설계 2,250mm, 현대 2,250mm, 오티스, TK: 1,800mm, 미쯔비시: 1,950mm로 제조사 마다 크게는 450mm 단차이가 발생합니다. 이로 인해 불필요한 터파기, 기초 벽면 RC 물량 증가, 단차로 인해 안전 위험성 증가
제안 : E/V 제조사 빠른 결정으로 터파기 및 골조 반영</t>
  </si>
  <si>
    <t>아이디어 인정, 과제 검토중
불합리한 부분은 맞으나 E/V 제조사 결정을 당기는 것은 현실적으로 어려우므로
현행 공사방식(보수적인 굴착) 유지가 불가피하다고 판단하였습니다.</t>
  </si>
  <si>
    <t>2501499</t>
  </si>
  <si>
    <t>BIM 기반 MEP 수량(내역) 및 시공관리</t>
  </si>
  <si>
    <t xml:space="preserve">배경 : 설계변경 시 물량 증감 추적관리 어려움, 2D 기반 복합 공종 간섭 검토 한계 (재시공 발생 리스크 ↑)
제안 : 주요 자재(배관, 덕트 등)의 BIM 활용 '수량 검증' 체계 도입, 설계변경 및 수량 관리(기성, 정산) / 시공 중 간섭 리스크 관리
</t>
  </si>
  <si>
    <t xml:space="preserve">배관이나 덕트의 2D도면 기반 수량산출이 어렵지 않음. 또한 BIM 작업을 위하여 2D도면이 필요하고 2D도면 기반으로 제작되는 점에 비추어 단순 수량산출을 위한 BIM적용보단 공종 간섭 및 검토를 위함이 더 필요할 것으로 사료된. </t>
  </si>
  <si>
    <t>혹한기 대응 내한콘크리트 개발</t>
  </si>
  <si>
    <t xml:space="preserve">개발 목표  및 콘크리트 구성
 [목표 성능 및 콘크리트 구성]
1)	(열풍기 삭제조건) -10℃양생(최저)기준, 48시간 內 
(열풍기 18~24시간) 4℃양생 유지, 18시간 내
	5MPa 발현 콘크리트 
(참고. 일반콘크리트의 경우, 초기동해에 의한 강도 미발현 및 재시공 우려)
2)	Hi-MENT(조강형시멘트) 및 개선형 내한혼화제 구성
(참고. 내한혼화제 : 저온에서 시멘트의 반응을 촉진하는 나노혼화제)
</t>
  </si>
  <si>
    <t>아이디어 인정, 과제 검토중
고양원당 현장에서 동절기 Mock-up 진행하였으며, 제품개발을 연내완료하여
26년 동절기에 실제 현장적용 목표로 연구 개발 진행중인 사안으로
연구개발 담당자 확인결과 5월 과제발표(4월 특허출원) 가능한 것으로 회신
특허 출원 등 구체화 된 시점에서 과제화 하면 될것으로 판단함</t>
  </si>
  <si>
    <t>2202078</t>
  </si>
  <si>
    <t>공동주택 대피실 바닥 마감 변경안</t>
  </si>
  <si>
    <t>대피실 바닥 마감을 타일에서 에폭시 코팅으로 변경을 제안</t>
  </si>
  <si>
    <t>대피공간 : 불연 또는 준불연 마감 의무(발코니 등의 구조변경절차 및 설치기준 제3조의 2)
인허가청 : 하향식피난구실(대피공간X) 이더라도 대피공간에 준하게 간주</t>
  </si>
  <si>
    <t>MSDS 물질 취급자 조끼(착용형 경고표시)</t>
  </si>
  <si>
    <t xml:space="preserve">근로자가 착용하는 경고표지
개선사항 : 이동이 잦은 공종(용접 등)에도 경고표지가 근로자 이동 동선에 따라 
자동적으로 비치되는 구조 &gt; 경고표지 부착 위치 한계 개선
A형 간판 비치로 인한 작업동선 간섭 및 통로 방해 요소, 훼손 및 오염에 
대한 개선
MSDS 경고표지 누락 최소화로 점검 시 대응력 강화
</t>
  </si>
  <si>
    <t>임피제 적용 기준 세분화</t>
  </si>
  <si>
    <t xml:space="preserve">세부사항
1.	임피제 적용 시 연봉에 따른 차등 %지 적용
2.	또는 연봉 하한선 기준 정립
-	예) 연봉 8천만원 미만 임피제 미적용 등
3.	연봉 1억넘는 직원과 연봉 8천만원 직원에 대한 세부기준 마련 필요
</t>
  </si>
  <si>
    <t>건의 사항</t>
  </si>
  <si>
    <t>임차숙소 가구 연간단가 업체 지정</t>
  </si>
  <si>
    <t>문제점 : 
-	보통 현장 별 원룸 임차 숙소는 최소 15개 ~ 30개예상
-	현장 인근 가구업체 이용 시 단가 상승 및 준공 후 처리 시 별도 비용 발생(중고 재판매 제한)
-	현장 준공 시 잔여 직원으로는 가구 처리 불가
  (보통 관리팀 / 공무팀만으로 현장 운영)
개선방안 :
1.	최초 임차숙소 계약 시 설치 용이(지역 가구업체 확인불필요)
2.	준공 후 별도 비용 없이 처리 가능
3.	추가적인 처리 비용 미 발생(매트리스 등 수거비용)</t>
  </si>
  <si>
    <t>현장지원팀 유사 내용 준비 중(비품류 연간단가)</t>
  </si>
  <si>
    <t>옥내공사 배관, 배선, 접속구 일체형 시스템 제안</t>
  </si>
  <si>
    <t xml:space="preserve">배관(PVC, 후렉시블 등), 배선(전선), 접속구를 하나로 통합, 시공간소화에 따른 효율 증대.
1. 개선 전 
: 설계 미확정에도 골조공사 진행에 따른 선시공 필요.
(설계 변경 시 불필요한 선시공 공사분 많고 변경 어려움 증가)
2. 개선 후  
(1)골조공사 간섭최소화로 설계확정까지 시간 확보.
(2)배관,배선,접속구 일체형에 따른 시공 간소화.
(3)공장에서 모듈생산, 현장에서 조립하여 공기단축, 인건비절감.
(4)기존 매입배관 대비 보수비 저렴, 배선 변경, 증설이 간편함
</t>
  </si>
  <si>
    <t>1400237</t>
  </si>
  <si>
    <t>소형평형 세대특화를 통한 분양율 개선</t>
  </si>
  <si>
    <t xml:space="preserve">제안근거
1. 세컨드홈 정책 활용(수도권 외 지방별장의 개념)
2. 2인(딩크) 가구, 1인(비혼), 1인(은퇴,노후) 가구의 증가함에
따른 소형평형 수요증가
개선안
1. 1~2룸 소형 아파트 기본분양 당 아파트 옵션 최고사양 반영
2. 워시타워,냉장고 등 가전 빌트인 시공
3. 붙박이장, 냉장고장, 세탁실장, 소파거실장 등 수납력 초점MAX
4. 반려동물 친화적 옵션 선택반영 적용
-&gt; 소형 럭셔리 아파트 이미지 구축
</t>
  </si>
  <si>
    <t xml:space="preserve">지방 소형아파트에 최고사양 옵션을 반영하면 분양가가 상승되므로, 분양성 역효과 우려. 마케팅팀 의견 협의 예정 </t>
  </si>
  <si>
    <t>2202071</t>
  </si>
  <si>
    <t>준공도서 작성 및 전산화용역 연간단가 시행 검토</t>
  </si>
  <si>
    <t>준공도서 용역 업무 시행 범위 
준공도서 작성 : 준공도서 검토용역 결과(지적사항)에 대한 수정작업 진행 (일부현장 경미 변경 건 수정 포함 진행)
준공도서 전산화 : 준공서류 전산화 및 세움터/FMS 자료 업로드, 건축물대장 작성 등 (일부현장 인허가기관 컨설팅 진행)
개선방향 
∙ 준공도서 작성 및 전산화 용역의 연간단가 계약 체결 → 유형별/규모별 단가 산정
- 3사 비교견적에 의존한 발주가 아닌, 연간단가 체결을 통한 금액기준 수립 및 원가절감 기대
- 전문업체의 준공도서 작성관리(경미변경 건 포함) 일체화를 통한 현장 업무 부담 경감 및 향후 도서관련 소송 RISK 예방
- 준공인허가 관련 일정, 인허가기관 협의, 컨설팅을 통한 준공인가 RISK 예방 및 공무 업무 지원효과 기대</t>
  </si>
  <si>
    <t>지하용수 개발 용역 연간단가 시행</t>
  </si>
  <si>
    <t>현황 : 현재 지하용수 개발 용역은 현장 계약 체결로 현장 별 내역, 금액 상이함. 
GS 건설 등 타사 연간단가 체결하여 전체 현장 시공 관리 중
절차 상 번거로움 등으로 지하용수 미개발 현장 발생
제안안 : 경쟁입찰을 통해 지하용수 개발용역 연간단가 계약 체결(현장제안)</t>
  </si>
  <si>
    <t>학자금 지급 제도 개선의 건</t>
  </si>
  <si>
    <t xml:space="preserve">1.	학자금 수급자 범위 확대 또는 선택
-	본인, 처, 부모형제자매, 자녀 중 선택을 통한 지원
-	이혼으로 아이들 양육권이 넘어갔을 경우도 지원
★	이혼 및 혼자 사는 독신세대 증가, 결혼 적령기 늦어져 실질적인 지원제도 개선이 필요함.
2.	학자금 지급 기준 개선
-	현전직 연속근무 인정 기준 확립
  A현장 종료 후 B현장 1개월이내 재근무시 연속근무 인정 등(사규 문서화 필요)
</t>
  </si>
  <si>
    <t>건의 사항. TOP아이디어 부적합</t>
  </si>
  <si>
    <t>지하주차장 바닥 강도 일체타설</t>
  </si>
  <si>
    <t>문제점 : 독립기초와 내수압 슬래브의 강도차이로 분리타설 할 경우 경계부에서는 27MPa를 기초측으로 넘어서 타설해야 하고 이로 인해 시공성도 떨어지는 상황
제안 : 강도 일체화 검토 (동일 강도 타설 시 시공성 향상)</t>
  </si>
  <si>
    <t>아이디어 인정, 과제 미채택
해당 건은 단순 도면 오표기건으로 본사 구조 담당자와 협의하여 실제 시공시 동일강도 24MPa로 타설하면 되는 사안입니다.</t>
  </si>
  <si>
    <t>QR 코드 위험성평가 교육시스템 활용 방안</t>
  </si>
  <si>
    <t>배경 : 위험성평가 궁극적 목표는 관리자의 예측위험사항을 작업자의 숙지 및 실행임(작업자 실제 교육 참여도 확인 불명확)
제안 : 관리자가 예측한 위험성평가 자료의 QR코드화를 통해서 작업자 개별 휴대폰 접속 및 교육실시(실질적인 교육실시 확인 가능)</t>
  </si>
  <si>
    <t>조립식 케이블트레이 적용을 통한 인건비 절감(개정품셈적용)</t>
  </si>
  <si>
    <t>배경 : 대부분 현장 조립식 케이블트레이 적용 중이나 표준 품셈은 기존 사다리형(용접형) 품셈 적용(실행예산기준)
제안 : 조립식 케이블트레이 '24년 표준품셈' 추가에 따른 변경품셈 적용가능(기존 품셈 대비 대략 15% 인건비 절감 효과)</t>
  </si>
  <si>
    <t>타워크레인 텔레스코핑 케이지에 추락방지망 설치 반영 件</t>
  </si>
  <si>
    <t>타워크레인 인상작업의 대부분 작업이 텔레스코핑 케이지에서 이루어짐으로 케이지 외부에 추락방지망 설치를 통해 휴먼에러 발생시(안전벨트 미체결) 추락사고 예방</t>
  </si>
  <si>
    <t>케이블 공드럼 수거 온라인 플랫폼 이용 활성화</t>
  </si>
  <si>
    <t>배경 : 1. 케이블 시공후 발생 공 드럼 반출시기 지연으로 인한 현장정리 및 반출에 따른 불필요한 소모 비용 발생 2. 수거업체 감소로 인한 처리시 폐기물로 반출되어지는 경우 잦음
제안안 : 1. LS전선에서 운영중인 온라인 플랫폼”온드럼(ON DRUM)”을 이용한 공드럼 반출 활성화</t>
  </si>
  <si>
    <t>PC보, 기둥 조인트 몰탈 삭제</t>
  </si>
  <si>
    <t>문제점 : 공동주택 지하 주차장 PC공사중 보, 기중 조인트에 무수축 몰탈 타설이 설계. 시공 시 보, 기둥 조인트 부위는 탑핑 콘크리트 채움. 
제안 : PC보, 기중 조인트 상세에서 무수축 몰탈을 현장콘크리트 채움으로 변경</t>
  </si>
  <si>
    <t>커튼윌록 비노출 브라켓 사용 제안 건</t>
  </si>
  <si>
    <t>개선 전: 커튼월룩 고정철물(ST’L,도장) 시공 후 별도 현장 도장처리 진행 중. 
개선 후: 비노출 브라켓타입(고강도ALUM) 적용하여 고정철물이 노출시키지 않을 수 있음.</t>
  </si>
  <si>
    <t>내한 콘크리트 제안의 건</t>
  </si>
  <si>
    <t>문제점 : 동절기 콘크리트 타설 후 천막 보양 및 가열 장치 사용
개선안 : 내한 콘크리트  적용 시 보양 및 가열장치 사용 안하고 작업 가능</t>
  </si>
  <si>
    <t>"아이디어 미인정
중복(246번, 580번, 832번)"</t>
  </si>
  <si>
    <t>통상등기우편' 발송 프로세스 변경을 통한 원가절감</t>
  </si>
  <si>
    <t>문제점 : • 업무상 필요 서류에 대해, 각 현장/팀별로 통상등기우편을 접수 발송하고있으나, 1) 직접방문 대면접수 2) 무인접수기 이용한 접수 방법으로 시간 소요가 과다함
제안 : • (즉시: 접수방법 변경) PC 활용, ‘간편사전접수(2% 할인)’+’등기라벨 부착(1% 할인)’ 
* (시간단축) 익숙한 PC 환경 활용하여, 사전접수/부착으로 작성/대기시간 대폭감축
* (비용절감) 일반요금 대비, 최대 3% 요금 즉시 할인적용 가능</t>
  </si>
  <si>
    <t>소프트하게 과제화 한번 해서 발표?. 누군가 공지 한번 하면 좋을 내용
https://blog.naver.com/life198308/221188242531</t>
  </si>
  <si>
    <t>화재예방을 위한 '전동공구 충전함(가설판넬)' 도입 또는 현장제작</t>
  </si>
  <si>
    <t>배경 : 건설현장에서 전동공구 충전기로 인한 화재는 매년 꾸준히 발생하는 사고 유형임. 좁은 공간에 많은 배터리를 모아 충전하거나, 먼지. 분진, 습기 등의 환경에 노출되어 있어, 화재 발생 가능성 존재
제안 : “전용 충전 구역 설정”으로 주변 인화성 시설과 분리하여 화재 연속성 차단하고 “전동공구 충전함(가설판넬)”을 기성품 도입 또는 현장 제작하여 통합 관리(함+도어+알람 설치로 분진 또는 습기 방어 및 화재 사전감지)</t>
  </si>
  <si>
    <t xml:space="preserve">안환실 주관 도입현장 확인 후 우수사례로 발굴하여 게시 중(25년 12월 사례)
현장여건에 맞춰 도입/적용 문제 없음
단, 단가 비쌈(국산 대당 약 300만원)
</t>
  </si>
  <si>
    <t>초기 임시전력 저압(일정기간사용_이후 고압 또는 승압 변경 必) 사용에 따른 비용 절감 방안</t>
  </si>
  <si>
    <t>문제점 : 현장 초기 임시전력 수전 시 공사 초기 전력 사용량이 크지 않음에도 불구하고 통상 고압수전 방식을 적용하고 있음
제안점 : 현장 착공 전·후 단계에서 저압 공급 가능 여부를 검토하여 적용 가능한 현장을 선별 운영함으로써 수전설비 설치비, 전기요금 기본요금, 전기안전관리자 대행비 등 초기 전력 관련 부대비용을 효율적으로 절감하고자 함.</t>
  </si>
  <si>
    <t>1300248</t>
  </si>
  <si>
    <t>잠실 MICE TFT 투입원가 공도사 원가안분</t>
  </si>
  <si>
    <t>문제점 : 잠실MICE TFT 투입 원가에 대한 향후 방향성 無
제안 : 실시협약/공동도급운영협약서 체결 시 TFT 인건비 안분 조항 협의 후 삽입</t>
  </si>
  <si>
    <t>HS2E 근로자안전보건플랫폼에 ‘건강관리 모듈’ 추가를 통한 디지털 보건관리 체계 구축 (고령·유소견 근로자 혈압·심전도 결과지 사진 업로드 + AI 자동 분석 + 전산 상담일지 작성)</t>
  </si>
  <si>
    <t xml:space="preserve">개선 전
1.종이 결과지 출력 → 상담 → 수기 일지 작성 → 스캔·PC 저장·파일철
2.건강자료(혈압·ECG) 추적 어려움, 반복 상담 시 이전 데이터 비교 불편
3.보건관리자 업무 과중 (스캔·철·보관 시간 다수 소요)
개선 후 
1.태블릿으로 혈압측정지 및  K30 결과지 즉시 사진 업로드
2.AI 자동 분석 요약 (혈압·ECG 결과 + 권고사항 출력)-&gt;담당자에게 알림(신규근로자 투입 시 투입가능 여부, 상담 시에는 종합 분석하여 어떤 부분에 대한 상담을 해야 하는지 알리는 기능)
3.태블릿에서 전산 상담일지 작성 + 전자서명·자동 저장 (이전 데이터 비교 가능)
</t>
  </si>
  <si>
    <t>과제화 없이 안환실 주관 개선 예정
검토의견: 통합 안전보건플랫폼 내 보건관리 파트는 지속해서 기능이 확장되고 있음.
(근로자 관리대장에서 취약근로자 및 고령자 정보, 지오펜스 상 고위험군 정보 표출 등) 
현장 보건관리자 의견 참고한 결과, 대부분이 단계적이고 체계적인 전산화 추진 희망함.
'26년 하반기에는 스마트 혈압계 측정 기록 및 유소견자 면담 기록을 플랫폼에서 통합 관리할 수 있는 기능을 추가로 구현할 예정.</t>
  </si>
  <si>
    <t>개거 및 집수정 점검계단 자재변경(철근→매립형 PE스텝)을 통한 원가 절감 및 유지관리성 향상</t>
  </si>
  <si>
    <t xml:space="preserve">개선전 : 현장 가공용 D19 계단 철근 시공 및 방청도장 실시
개선후 : 공장 제작 기성품인 '매립형 PE 스텝'으로 자재 변경.
→ 철근 가공 및 방청도장 공정을 삭제하여 시공성을 개선하고 
향후 유지관리 효율을 극대화함.
</t>
  </si>
  <si>
    <t>아이디어 인정, 과제 검토 중
현장 내 개거에 적용 시 시공성 개선은 가능하나 원가 개선에 효과는 검토가 필요하며,
실질적 절감효과는 "토공 및 구조물공사" 미발주 현장에 적용 시 효과적이라고 판단됩니다.</t>
  </si>
  <si>
    <t>2301152</t>
  </si>
  <si>
    <t>시험실 업무용 차량 리프트(특장) 설치</t>
  </si>
  <si>
    <t>개선 전 : 인력 2명 이상 직접 들어서 적재함 상하차
개선 후 : 리프트 컨트롤러 조작을 통한 자동 승강</t>
  </si>
  <si>
    <t>현장 이동식 스마트 알림판 제안</t>
  </si>
  <si>
    <t xml:space="preserve">(개선 전)
-안전수칙 등 구두 전파 또는 고정 A형 표지판 설치.
(개선 후)
-관리자가 직접 입력한 주요 안전수칙 또는 전파사항 등을 영상 및 문자로 표출하여 근로자에게 시각적 집중효과와 조회 참석 근로자 반복 인지학습, 외국인 근로자를 위한 통시통역 문자 표출로 모든근로자 집중도 및 이해도 향상(스마트 TV / LED전광판 등)
-전기시설 불가한 현장을 개선하기 위한 고용량 베터리 활용하여 운영성 확보. 
</t>
  </si>
  <si>
    <t>2500795</t>
  </si>
  <si>
    <t>비계 수량산출 기준 개선 반영</t>
  </si>
  <si>
    <t>개선전 : 비계수량 산출 기초 상단선 기준(실제 시공 기초 하단부터 시공)
개선후 : 비계수량 산출 기초 하단선 기준(실제 시공과 일치)</t>
  </si>
  <si>
    <t xml:space="preserve">아이디어 인정, 과제 검토 중
비계 시공 시 뒤채움의 단계적 성토, 비계상부 지반의 안정성을 위해 기초하단선 부터 비계시공을 시행(현장별 장비투입 최소공간 미확보되어 다짐도 확보 어려움)하나,
발주처 담당자의 성향을 고려하여 설계변경 가능여부를 판단할 수 있을것으로 판단됩니다. 과제화 진행여부는 유사공종 수행현장 의견을 참고하여 과제화 여부 결정토록 하겠습니다. </t>
  </si>
  <si>
    <t>2503149</t>
  </si>
  <si>
    <t>GFRP(Glass Fiber Reinforced Polymer) 활용방안 유리섬유와 
폴리우레탄, 에폭시수지등의 열경화성 수지를 결합한 복합소재</t>
  </si>
  <si>
    <t>배경 : 기존 자재보다 인장강도, 시공의 간편성, 안전성이 월등하나 신소재로 인한 사용 기피
제안 : - 건축 : 배근용 철근 → GFRP 철근 
- 전기통신 : IP주, 서스CCTV폴대 → GFRP포스트 
※국가건설기준(KDS142068) 참조 
*현장 여건에 맞는 규격 및 필요 사이즈 제작가능 *민간시설에 설치되는 CCTV폴등을 활용한 마케팅 활용 가능</t>
  </si>
  <si>
    <t>2103033</t>
  </si>
  <si>
    <t>시스템동바리 내 작업발판, 안전난간, 승강시설 등 내역화</t>
  </si>
  <si>
    <t>계약 단계에서 시스템동바리 최상단 작업에 따른 작업발판 및 안전난간 등 설치 전반적인 부분을 내역화하며, 기능공이 최초 시스템 동바리 설치 시 작업발판, 수직이동통로, 안전난간 등을 설치하는 등 내역을 기재.</t>
  </si>
  <si>
    <t>간식대 실행편성기준 개정의 건</t>
  </si>
  <si>
    <t>배경 : *본 실행 편성시 현장관리비 검토 中 간식대비 기준을 확인 - 1~2월 :1식, 3~12월 : 2식 기준 적용됨 - 과거 기준으로 적용하면서, 동절기 기간에 보수적 반영 -휴게실 운영비 (인당 15,000원/월) 추가 반영하여 개선(22.04) 하였지만, 편성시 예외기준을 적용하는 명확한 근거는 없음
개선후 : 
- 기준 통일화 
- 예산비용은 소폭 증가하지만 형평성, 만족도 향상</t>
  </si>
  <si>
    <t>현장관리비 실행 중 간식대 편성기준 현실화</t>
  </si>
  <si>
    <t>배경 : 1.현장관리비 실행내역 중 간식대 편성기준(2022년 기준) -단가 : 1,000원/식 -수량 : 아래 기준으로 월당 24일로 적용 * 1~2월 : 1식, 3~12월 : 2식/일로 계상함 2.1월 2월에 1식을 제공하는 의미 모호 -현실적으로 직원들 설득 불가
개선후
-단가 : 1,000원/식 -수량 : 아래 기준으로 월당 24일로 적용 *1~12월 : 2식/일</t>
  </si>
  <si>
    <t>MSDS QR코드 스티커 제작 및 운영 건</t>
  </si>
  <si>
    <t>개선전 : 현장 내 MSDS 표지 부착 건(소분된 물질)에 대해 경고표지를 출력물 코팅 수작업으로 부착중인 현장 多
개선후 : 인화성물질, 도장방수자재, 세척용품, 시멘트 등 대표적 MSDS 부착물질에 대하여 QR코드 스티커 제작/ 단가화하여 현장 유해물질 관리 *안전용품(단가) 중 안전교육필 스티커 /30Φ 양식 변형제작 - 작은사이즈 스티커 QR코드를 통해 내용 전달목적</t>
  </si>
  <si>
    <t>UF 대체 시스템 개발 추가기능 요청</t>
  </si>
  <si>
    <t>개선전 - 서클품의 완료 후 정산합의서, 긴급자금신청 등 추가활동에 시간 소요
개선후 -1) 변경계약시 정산합의서 자동작성, 업체 변경계약 승인시, 자동생성(변경계약 상신시 소장님, 팀장님 결재선 포함) 2) UF에 준공일자 기입 기능을 추가하여 기성 지급일 설정, 최종기성 지급시 지연이자 자동계산 및 지급요청서 자동 작성</t>
  </si>
  <si>
    <t>0201259</t>
  </si>
  <si>
    <t>구내가설전기 관리방안 개선</t>
  </si>
  <si>
    <t>배경 : 1. 현상 – CASE1: 전공에 의한 구내가설전기 유지보수 및 관리 
- CASE2: 전공 없는 현장은 전기 협력업체에 의한 관리 
2. 문제점 – CASE1: 전공 운영 비용 과다 발생 (인건비 外) 토요일 2번 공석 (주6일 휴무시) 전공 구인 및 전공 관리의 어려움 
- CASE2: 협력업체의 지원의 한계 (계약사항 X)
제안 : 1. 전공에 의한 구내가설 관리 (전공 준공까지 운용) à 협력업체 별도 인원 투입 관리 (준공 -4개월까지만 운용)</t>
  </si>
  <si>
    <t>저수조 오버플로우 배관(강관→PVC) 재질 변경의 건</t>
  </si>
  <si>
    <t>배경 : 하 저수조 오버플로우배관 시공은 공급배관의 1~2단계 큰구경의
배관으로 설치해야함, 강관배관 시공시 구경이 크므로 하중도 커서 설치시 배관인양 및 설치가 어려움.
개선후 : 강관배관 → PVC (동등한 기능으로 안전한 시공성 및 원가개선)</t>
  </si>
  <si>
    <t>공동주택의 시스템 에어컨 응축수 드레인 배관 개선 표준화</t>
  </si>
  <si>
    <t>배경 : 공동주택 시스템에어컨 실내기 응축수 드레인 배관이 실외기실 ONE라인 입상이라 좁은 천정내부 공간에서 구배 배관하기가 어려움이 있음.
제안 : 입상 배관을 공용욕실PD &amp;부부욕실 PD(주방PD)를 이용하여 별도 입상배관 시공 (최상층 벤트배관 연결, 최하층 각세대 묶어 집수정유도 ) _ 공종구분 : 세대배관 / 입상 및 지하횡주배관</t>
  </si>
  <si>
    <t>감리사무실(현장)축조 비용 및 전기 사용료 청구</t>
  </si>
  <si>
    <t>배경:  1. 도급계약서 계약특수조건 기준 감리비는 공사범위 제외 (“감리비”로 표현되어 감리용역비용만 제외 항목으로 판단, 사무실축조비용, 시간외근무수당 지급 주체 관련 발주처와 의견 대립) 2. 현장사무실 축조시 발주처 요구, 감리와 관계개선 사유로 통상적으로 시공사에서 감리사무실 일괄 축조 진행
개선안 : 1. 도급계약서 감리비 세부항목 기재 (EX. 감리용역비, 감리시간외근무수당, 감리사무실 등) 2. 현장내 감리사무실 축조전 발주처 사전 협의(회의록, 공문) - 현장 축조 or 외부사무실 임대 - 현장 축조시 _ 축조비용 및 전기료 납입 방법 협의 3. 감리사무실 도면, 금액 발주처 승인 후 축조 4. 축조비용 발주처 직접 계산서 발행 또는 도급변경시 반영</t>
  </si>
  <si>
    <t>통로바닥 전선 손상 방지 조치</t>
  </si>
  <si>
    <t>배경 : 산업안전보건기준규칙 제315조 – 통로바닥에서의 전선 등 사용 금지 : 차량이나 그 밖의 물체 통과 등으로 인하여 해당 전선의 절연 피복이 손상될 우려가 없도록 조치하여 사용해야 함. ⇒ 통로 건너편에 분전함 등 전원이 있을 경우, 각각의 작업자가 대부분 임기응변 식으로 조치(각목 덧댐 등)하여 부실한 경우가 많음 / 관리감독자 및 안전관리자는 작업 중지 등 소극적 대응
제안 : ‘분전함(or 콘센트) + 전선보호 가능한 케이블 커버 방지턱(시제품 있음) + 기존 전원(분전함 등)에 연결할 수 있는 전선 및 플러그’의 조합을 통하여 각각의 작업자가 안전하게 전원에 연결할 수 있도록 조치</t>
  </si>
  <si>
    <t>2600526</t>
  </si>
  <si>
    <t>산업안전보건관리비 및 안전보건강화비 원가코드 일원화</t>
  </si>
  <si>
    <t>배경 : 안전강화비에 따른 발주 시 8개의 코드 항목으로 발주/ 월말 기성 마감 시 원가코드 기준으로 거래명세표+마감장 따로 만들어야 함. 이에 발주 코드와 회계상 등록 코드가 맞지않는 문제발생
제안 : 산업안전보건관리비, 안전보건강화비 2개의 코드로 간소화해서 관리제안</t>
  </si>
  <si>
    <t>지하주차장 전기차 충전구역 자동 소화</t>
  </si>
  <si>
    <t>개선전 – 지하주차장 전기차 주차구역 개선후 – 지하주차장 전기차 주차구역 방화셔터, 열감지센서 설치</t>
  </si>
  <si>
    <t>공동주택 기준층 골조 슬라브 폭염대비 접이식 차광막 설치</t>
  </si>
  <si>
    <t xml:space="preserve">(개선전) ① 휴게시간에 하부층으로 내려가거나 필요시 상부에 임시 차광막 설치 -&gt; 하부층은 동바리로 인해 공간 부족하고 임시 차광막은 매번 설치해체 번거로움.
(개선후) ① 접이식 갱폼일체형 차광막 설치(어닝시스템 이용) ② 어닝 손잡이를 이용해 펼치고 접기 가능(강풍시, 갱폼인양시) ③ 갱폼에 어닝용 포스트를 용접(또는 볼팅)하여 일체화하여 갱폼인양시 차광막 동시 인양가능 ④ 안전관리비 처리 가능
</t>
  </si>
  <si>
    <t xml:space="preserve">엘리베이터 음싱인식 시스템 적용 제안 </t>
  </si>
  <si>
    <t>개선 前 버튼 조작으로 엘리베이터 작동 
개선 後 1층 승강장에서 풋버튼을 사용하여 엘리베이터 호출 및 음성인식을 통해 버튼 조작없이 원하는 층 이동</t>
  </si>
  <si>
    <t>화재 예방을 위한 드렌처 설치 적용 제안</t>
  </si>
  <si>
    <t>개선 前 화재 발생시 확산으로 인한 피해규모 증가 
개선 後 건물 외벽이나 창 주변에 물을 미세하게 분사하여 외벽 온도를 낮추고 화염 확산 억제</t>
  </si>
  <si>
    <t>각종 배수펌핑 배관 재질 통일</t>
  </si>
  <si>
    <t>제안 : 우수,중수,정화조 배수 펌핑배관 일체 IPVC로 관재질 통일</t>
  </si>
  <si>
    <t>BIM기반 MEP설계 프로세스 적용</t>
  </si>
  <si>
    <t>1. 개선 전 : 기존 캐드방식 사용 시 평면도, 단면도 전부 직접 수정하여 반영 (도면 불일치 발생 및 공정별로 미반영 되는 경우가 많음)
2. 개선 후 : 설계 변경 시 하나를 고치면 모든 도면이 자동 반영되어 설계오차 최소화</t>
  </si>
  <si>
    <t>비산먼지 저감을 위한 청소차(재형) 한시적 투입</t>
  </si>
  <si>
    <t>배경: 지하주차장 완료 후 상부로 장비운행으로 힌해 레이턴스 지속적으로 발생하며 비산먼지 저감을 위한 청소비용 지속적으로 투입
개선방향 : 대형청소차 운행(콘크리트 상부 레이턴스 다량 제거 가능)</t>
  </si>
  <si>
    <t>SRC구조의 비내력 RC벽체 건식화</t>
  </si>
  <si>
    <t>SRC구조 건물 내의 비내력 RC벽체를 건식벽체로 변경하여 골조공사 시 거푸집 상부 데크플레이트 고정 등 위험공정을 축소시키고, 원가절감</t>
  </si>
  <si>
    <t>갱폼 앵커볼트 색상 변경_Human Error 보완</t>
  </si>
  <si>
    <t>개선전 : * 갱폼 해체시 앵커볼트 임의 해체로 인한 안전사고 발생.
개선후 : * 갱폼 앵커볼트 해체순서 기준 : 2~7단 앵커볼트 선 해체 후 1,8단 앵커볼트 해체 
* 갱폼 해체시 마지막에 해체되는 1,8단의 앵커볼트에 별도 색상을 칠해 구분(8단은 형태가 다르므로 상관없음) 
* 1단 앵커볼트 색상은 노란색으로 도장 : 식별용이함.</t>
  </si>
  <si>
    <t>스마트 헬스케어 메디터치 키오스크 도입</t>
  </si>
  <si>
    <t>개선 전 : 수기 대장 작성 및 보관, 직접 확인하지 않으면 어떤 사람의 혈압 수치인지 확인 불가능. 
개선 후 : 개인정보 등록 후 실명 측정, 자동 서버 저장 및 통계화, 개인 혈압 관리 가능, 유소견자 알림서비스 가능</t>
  </si>
  <si>
    <t>옥외 휴게시설 쿨링포그 시스템 도입</t>
  </si>
  <si>
    <t>개선 전 : 단순 그늘막 및 산업용 선풍기 배치
개선 후 : 옥외 휴게시설 입구 및 내부에 고압 미세 안개 분사 시스템 설치</t>
  </si>
  <si>
    <t>굴착기 붐대 하방 광각 카메라 설치</t>
  </si>
  <si>
    <t>굴착기 붐대 하향 광각 카메라 부착 
1. 운전원의 시야 확보로 작업 중 사각지대 감소 
2. 굴착기 운전원 신호수에 대한 일방적 의존성 감소, 운전원의 직접적 시야 확보 
3. 사고 발생 요인 조기 인지 및 즉각 대응 가능</t>
  </si>
  <si>
    <t>공사비 변동 세부내역 및 사유서 제공을 통한 경쟁우위 확보</t>
  </si>
  <si>
    <t>배경 : 정비사업 현실에 뒤쳐지는 공사비 증액 내역 제공으로 인한 사업지연
- 합의 지연에 따른 착공일정 지연 → 매출지연 → 현금흐름악화
- 고객과의 갈등 증가로 인한 생산성 하락
  (법무검토 증가, 민원 대응에 따른 시간 낭비등)
개선전 : 개산견적, 분양경비 증감 내역 수령 후 조합에 전달. 도급인정 받기에 불충분하여 조합과 갈등 유발(모든 시공사 공통 사항)
개선후 : 개산견적,분양경비 증감사항 상세 기술(전후비교) 및 사유 기입</t>
  </si>
  <si>
    <t>제안 인정, 과제화 미채택 (필요한 업무지만 유형효과가 모호함)
견적팀으로 내용 전달</t>
  </si>
  <si>
    <t>초고층 건축물 용도별 승강기 산정기준 안</t>
  </si>
  <si>
    <t>▶관련 법규별 승강기 설치기준 구분 적용 * 건축법 : 높이31M이상 초과 건축물로 승객용승강기 외 비상용승강기 추가설치 * 주택법 : 10층 이상의 공동주택 승용승강기를 비상용승강기 구조로 설치 
▶대전역세권 A구역은 공동주택으로 주택법 적용 * 모든 승강기 비상용으로 적용 (비상전용승강기 삭제)</t>
  </si>
  <si>
    <t>단위세대 외기접점 CD관 마감 시공 개선 안</t>
  </si>
  <si>
    <t>▶개선 전 * 우레탄 폼 충진+실리콘 마감 * 경화형 재료 특성상 재변형 불가 * 전선간 틈 및 미세균열 발생 시 기밀 성능 저하 
▶개선 후 * 우레탄 폼 충진 + 덕트 씰(Duct Seal) 마감 * 내부는 폼으로 체적 밀폐, 외부는 비경화형 Duct Seal로 기밀 유지. * 전선 형상 및 이동에 따라 지속 밀착 (가변 기밀 구조)</t>
  </si>
  <si>
    <t>CAD 3D기반 철근공사관리 스마트 솔루션</t>
  </si>
  <si>
    <t>배경 : 현재 철근 샾업체를 통해 철근샾 및 발주, 현장 반입 관리 중이나, 샾의 오류 및 직관적 해석 불가, 과다 loss 발생, 시공성 미고려, 정산수량 추적 불가 등 실질적 관리 부실로 물적, 시간적 손실 발생
제안 : 자동화 시스템을 통해 CAD 기반 철근 3D모델링으로 설계오류 사전발취, 시공성 향상, 내역 대비 실제수량 실시간 체크 및 정산업무 효율화, 철근수량 절감 및 오시공 방지를 통한 원가절감, 추가적 서비스인 디지털 검측 기능 적용 가능</t>
  </si>
  <si>
    <t>아파트 다용도실 천정몰딩 코너 브라켓 기반 PS 발포몰딩 방식 자재 변경의 건</t>
  </si>
  <si>
    <t xml:space="preserve">배경 : 1.	다용도실 AL몰딩 적용으로 공사비 상승
2.	장비(콤프레셔, 컷팅기) 이동, 다양한 공구사용으로 작업능률 저하
3.	45도 컷팅방식으로 정밀실측필요 및 틈새과다, 코너 벌어짐 등의 하자발생 요인 많음
제안 : 1 코너 브라켓 도입 (45도 컷팅 불필요)
2. PS 발포몰딩 적용 (자재비 절감 및 시공 용이)
3. 품질개선 (모서리 틈새 없음, 코너 브라켓 사용으로 구조적 안정성 확보
</t>
  </si>
  <si>
    <t>2203397</t>
  </si>
  <si>
    <t>(소방)무선통신보조설비와 (통신)FM, DMB 통합설계적용</t>
  </si>
  <si>
    <t xml:space="preserve">개선전 : (통신공사)FM/DMB 장비 및 안테나와 
(소방공사) 무선통신보조설비 장비와 안테나를 각각 설치
개선후 : 통신공사에 통합하여 예산작성 및 발주진행
단, 도급증액 등이 불가한 PJ의 경우 기존대로 분리발주
</t>
  </si>
  <si>
    <t>성명</t>
  </si>
  <si>
    <t>본부</t>
  </si>
  <si>
    <t>사업장</t>
  </si>
  <si>
    <t>직급</t>
  </si>
  <si>
    <t>직무</t>
    <phoneticPr fontId="1" type="noConversion"/>
  </si>
  <si>
    <t>구분</t>
    <phoneticPr fontId="1" type="noConversion"/>
  </si>
  <si>
    <t>제안건수</t>
  </si>
  <si>
    <t>9207446</t>
  </si>
  <si>
    <t>김우석</t>
  </si>
  <si>
    <t>대표이사</t>
  </si>
  <si>
    <t>사장</t>
  </si>
  <si>
    <t>경영</t>
  </si>
  <si>
    <t>일반직</t>
    <phoneticPr fontId="1" type="noConversion"/>
  </si>
  <si>
    <t>경영전략실</t>
  </si>
  <si>
    <t>9623972</t>
  </si>
  <si>
    <t>박철광</t>
  </si>
  <si>
    <t>감사팀</t>
  </si>
  <si>
    <t>0011256</t>
  </si>
  <si>
    <t>김민석</t>
  </si>
  <si>
    <t>건축사업본부장</t>
  </si>
  <si>
    <t>경영기획</t>
  </si>
  <si>
    <t>0301116</t>
  </si>
  <si>
    <t>이준명</t>
  </si>
  <si>
    <t>인프라사업본부장</t>
  </si>
  <si>
    <t>계</t>
  </si>
  <si>
    <t>0010846</t>
  </si>
  <si>
    <t>여성진</t>
  </si>
  <si>
    <t>기획실</t>
  </si>
  <si>
    <t>9606450</t>
  </si>
  <si>
    <t>이종훈</t>
  </si>
  <si>
    <t>사업관리</t>
  </si>
  <si>
    <t>0110760</t>
  </si>
  <si>
    <t>커뮤니케이션담당</t>
  </si>
  <si>
    <t>홍보</t>
  </si>
  <si>
    <t>기획관리팀</t>
  </si>
  <si>
    <t>0702370</t>
  </si>
  <si>
    <t>윤성호</t>
  </si>
  <si>
    <t>개발사업본부장</t>
  </si>
  <si>
    <t>0011259</t>
  </si>
  <si>
    <t>장우성</t>
  </si>
  <si>
    <t>전략사업실장</t>
  </si>
  <si>
    <t>건설영업</t>
  </si>
  <si>
    <t>원가효율화팀</t>
  </si>
  <si>
    <t>0110914</t>
  </si>
  <si>
    <t>오용근</t>
  </si>
  <si>
    <t>기획실장</t>
  </si>
  <si>
    <t>0200581</t>
  </si>
  <si>
    <t>임진규</t>
  </si>
  <si>
    <t>외주구매실장</t>
  </si>
  <si>
    <t>품질</t>
  </si>
  <si>
    <t>0300616</t>
  </si>
  <si>
    <t>박영재</t>
  </si>
  <si>
    <t>이라크사업실장</t>
  </si>
  <si>
    <t>0500077</t>
  </si>
  <si>
    <t>이정수</t>
  </si>
  <si>
    <t>수행혁신실장</t>
  </si>
  <si>
    <t>안전환경경영실</t>
  </si>
  <si>
    <t>0500681</t>
  </si>
  <si>
    <t>황율남</t>
  </si>
  <si>
    <t>개발사업실장</t>
  </si>
  <si>
    <t>0500765</t>
  </si>
  <si>
    <t>김주돈</t>
  </si>
  <si>
    <t>토목사업실장</t>
  </si>
  <si>
    <t>0903441</t>
  </si>
  <si>
    <t>전창수</t>
  </si>
  <si>
    <t>인사지원실장</t>
  </si>
  <si>
    <t>9710188</t>
  </si>
  <si>
    <t>송태을</t>
  </si>
  <si>
    <t>환경사업실장</t>
  </si>
  <si>
    <t>경영지원본부</t>
  </si>
  <si>
    <t>인사지원실</t>
  </si>
  <si>
    <t>0900062</t>
  </si>
  <si>
    <t>김태형</t>
  </si>
  <si>
    <t>법무</t>
  </si>
  <si>
    <t>0010487</t>
  </si>
  <si>
    <t>김윤석</t>
  </si>
  <si>
    <t>환경사업PD</t>
  </si>
  <si>
    <t>서울역세권PD</t>
  </si>
  <si>
    <t>외주구매실</t>
  </si>
  <si>
    <t>0500782</t>
  </si>
  <si>
    <t>최은국</t>
  </si>
  <si>
    <t>충청/전라PD</t>
  </si>
  <si>
    <t>9623751</t>
  </si>
  <si>
    <t>황인성</t>
  </si>
  <si>
    <t>토목사업PD</t>
  </si>
  <si>
    <t>시공</t>
  </si>
  <si>
    <t>개발사업본부</t>
  </si>
  <si>
    <t>개발기획팀</t>
  </si>
  <si>
    <t>0201023</t>
  </si>
  <si>
    <t>김윤해</t>
  </si>
  <si>
    <t>안전환경경영실장(CSO)</t>
  </si>
  <si>
    <t>ESH</t>
  </si>
  <si>
    <t>0800028</t>
  </si>
  <si>
    <t>강진혁</t>
  </si>
  <si>
    <t>주택마케팅</t>
  </si>
  <si>
    <t>0400915</t>
  </si>
  <si>
    <t>김성수</t>
  </si>
  <si>
    <t>전략사업팀</t>
  </si>
  <si>
    <t>9606413</t>
  </si>
  <si>
    <t>이은원</t>
  </si>
  <si>
    <t>9624731</t>
  </si>
  <si>
    <t>최원균</t>
  </si>
  <si>
    <t>9604733</t>
  </si>
  <si>
    <t>최광호</t>
  </si>
  <si>
    <t>임원실</t>
  </si>
  <si>
    <t>고문</t>
  </si>
  <si>
    <t>0010692</t>
  </si>
  <si>
    <t>한상범</t>
  </si>
  <si>
    <t>0200563</t>
  </si>
  <si>
    <t>박홍진</t>
  </si>
  <si>
    <t>0300619</t>
  </si>
  <si>
    <t>황광섭</t>
  </si>
  <si>
    <t>마켓솔루션TFT</t>
  </si>
  <si>
    <t>0301111</t>
  </si>
  <si>
    <t>건축사업부</t>
  </si>
  <si>
    <t>0500425</t>
  </si>
  <si>
    <t>김재원</t>
  </si>
  <si>
    <t>0701977</t>
  </si>
  <si>
    <t>이창현</t>
  </si>
  <si>
    <t>1300006</t>
  </si>
  <si>
    <t>김태완</t>
  </si>
  <si>
    <t>0500781</t>
  </si>
  <si>
    <t>최우석</t>
  </si>
  <si>
    <t>운영혁신실장</t>
  </si>
  <si>
    <t>0500545</t>
  </si>
  <si>
    <t>김동식</t>
  </si>
  <si>
    <t>사업기획</t>
  </si>
  <si>
    <t>1300611</t>
  </si>
  <si>
    <t>이상재</t>
  </si>
  <si>
    <t>9606693</t>
  </si>
  <si>
    <t>김상호</t>
  </si>
  <si>
    <t>0010683</t>
  </si>
  <si>
    <t>김명수</t>
  </si>
  <si>
    <t>진주이현 재건축</t>
  </si>
  <si>
    <t>AS지방사업소(창원)</t>
  </si>
  <si>
    <t>AS지방사업소(중부)</t>
  </si>
  <si>
    <t>천안청수(2013)하자</t>
  </si>
  <si>
    <t>S-ONE 프로젝트 하자</t>
  </si>
  <si>
    <t>0201224</t>
  </si>
  <si>
    <t>김대환</t>
  </si>
  <si>
    <t>청주국사산업단지 조성공사</t>
  </si>
  <si>
    <t>S-ONE 프로젝트(증설) 하자</t>
  </si>
  <si>
    <t>수원권선 APT 하자</t>
  </si>
  <si>
    <t>0301112</t>
  </si>
  <si>
    <t>연주봉</t>
  </si>
  <si>
    <t>예천 비행시설 신축공사</t>
  </si>
  <si>
    <t>문정지구 오피스텔 하자</t>
  </si>
  <si>
    <t>0400374</t>
  </si>
  <si>
    <t>황영석</t>
  </si>
  <si>
    <t>울산 무거동 공동주택 현장</t>
  </si>
  <si>
    <t>63 면세점 리모델링 하자</t>
  </si>
  <si>
    <t>0500771</t>
  </si>
  <si>
    <t>양승철</t>
  </si>
  <si>
    <t>제주헬스타운 2단계 1차 하자</t>
  </si>
  <si>
    <t>연지1-2 재개발 APT하자</t>
  </si>
  <si>
    <t>인천서창 뉴스테이 하자</t>
  </si>
  <si>
    <t>0600062</t>
  </si>
  <si>
    <t>오인균</t>
  </si>
  <si>
    <t>일산킨텍스 C2 하자</t>
  </si>
  <si>
    <t>0700213</t>
  </si>
  <si>
    <t>최길재</t>
  </si>
  <si>
    <t>제주 연동 OT 하자</t>
  </si>
  <si>
    <t>0700268</t>
  </si>
  <si>
    <t>김수홍</t>
  </si>
  <si>
    <t>천안두정 공동주택 하자</t>
  </si>
  <si>
    <t>0700384</t>
  </si>
  <si>
    <t>김재영</t>
  </si>
  <si>
    <t>도마변동8 재개발 하자</t>
  </si>
  <si>
    <t>0700389</t>
  </si>
  <si>
    <t>배규안</t>
  </si>
  <si>
    <t>도봉산-옥정 광역철도 2공구</t>
  </si>
  <si>
    <t>덕천2-1 재건축 하자</t>
  </si>
  <si>
    <t>0700695</t>
  </si>
  <si>
    <t>이석희</t>
  </si>
  <si>
    <t>검단택지조성 3-2공구</t>
  </si>
  <si>
    <t>인천 여성병원 복합 하자</t>
  </si>
  <si>
    <t>0701976</t>
  </si>
  <si>
    <t>이진태</t>
  </si>
  <si>
    <t>루원시티 2BL 하자</t>
  </si>
  <si>
    <t>0702824</t>
  </si>
  <si>
    <t>변성문</t>
  </si>
  <si>
    <t>사상하단도시철도</t>
  </si>
  <si>
    <t>전남 순천 공동주택 하자</t>
  </si>
  <si>
    <t>0800063</t>
  </si>
  <si>
    <t>송하중</t>
  </si>
  <si>
    <t>수원 장안 공동주택 하자</t>
  </si>
  <si>
    <t>0801598</t>
  </si>
  <si>
    <t>전형진</t>
  </si>
  <si>
    <t>대전하수처리장 현대화(처리장)</t>
  </si>
  <si>
    <t>인천 무주골 아파트 하자</t>
  </si>
  <si>
    <t>0801602</t>
  </si>
  <si>
    <t>이원경</t>
  </si>
  <si>
    <t>서충주신도시 APT 하자</t>
  </si>
  <si>
    <t>0803874</t>
  </si>
  <si>
    <t>원준연</t>
  </si>
  <si>
    <t>서오창테크노밸리</t>
  </si>
  <si>
    <t>인천다목마을 재개발 하자</t>
  </si>
  <si>
    <t>0803896</t>
  </si>
  <si>
    <t>엄지용</t>
  </si>
  <si>
    <t>포항 이인 공동주택 하자</t>
  </si>
  <si>
    <t>0803927</t>
  </si>
  <si>
    <t>홍정호</t>
  </si>
  <si>
    <t>속초 반얀트리 하자</t>
  </si>
  <si>
    <t>0803928</t>
  </si>
  <si>
    <t>허상영</t>
  </si>
  <si>
    <t>1000159</t>
  </si>
  <si>
    <t>박성용</t>
  </si>
  <si>
    <t>하남교산 부지조성공사 1공구</t>
  </si>
  <si>
    <t>1000488</t>
  </si>
  <si>
    <t>이민호</t>
  </si>
  <si>
    <t>서울역북부역세권TFT</t>
  </si>
  <si>
    <t>1104126</t>
  </si>
  <si>
    <t>김천길</t>
  </si>
  <si>
    <t>울산KTX 역세권 단지조성</t>
  </si>
  <si>
    <t>서울역북부역세권TFT(현장)</t>
  </si>
  <si>
    <t>1203987</t>
  </si>
  <si>
    <t>윤용록</t>
  </si>
  <si>
    <t>1301362</t>
  </si>
  <si>
    <t>강상찬</t>
  </si>
  <si>
    <t>2100784</t>
  </si>
  <si>
    <t>문혁</t>
  </si>
  <si>
    <t>광주도시철도2-5공구</t>
  </si>
  <si>
    <t>영종도 인스파이어 CM</t>
  </si>
  <si>
    <t>진종만</t>
  </si>
  <si>
    <t>과천 펄어비스 사옥</t>
  </si>
  <si>
    <t>9623714</t>
  </si>
  <si>
    <t>백승열</t>
  </si>
  <si>
    <t>속초 반얀트리</t>
  </si>
  <si>
    <t>9711094</t>
  </si>
  <si>
    <t>김진아</t>
  </si>
  <si>
    <t>9711124</t>
  </si>
  <si>
    <t>장용국</t>
  </si>
  <si>
    <t>인천공항 제2터미널 확장(이전개선)</t>
  </si>
  <si>
    <t>정비사업실장</t>
  </si>
  <si>
    <t>포항 이인 공동주택</t>
  </si>
  <si>
    <t>0011257</t>
  </si>
  <si>
    <t>송원영</t>
  </si>
  <si>
    <t>0110964</t>
  </si>
  <si>
    <t>권지혁</t>
  </si>
  <si>
    <t>0201235</t>
  </si>
  <si>
    <t>문희근</t>
  </si>
  <si>
    <t>해외지원팀</t>
  </si>
  <si>
    <t>판교  PSK 캠퍼스 사옥</t>
  </si>
  <si>
    <t>0201250</t>
  </si>
  <si>
    <t>공사팀</t>
  </si>
  <si>
    <t>인사</t>
  </si>
  <si>
    <t>CJ라이브 아레나</t>
  </si>
  <si>
    <t>기전</t>
  </si>
  <si>
    <t>디자인설계</t>
  </si>
  <si>
    <t>0500424</t>
  </si>
  <si>
    <t>이대표</t>
  </si>
  <si>
    <t>고객지원</t>
  </si>
  <si>
    <t>기술지원</t>
  </si>
  <si>
    <t>대전 학하 기반조성공사</t>
  </si>
  <si>
    <t>0600767</t>
  </si>
  <si>
    <t>안성구</t>
  </si>
  <si>
    <t>대외협력</t>
  </si>
  <si>
    <t>포항 학천리 공동주택</t>
  </si>
  <si>
    <t>광교상현 지산 2차</t>
  </si>
  <si>
    <t>0700410</t>
  </si>
  <si>
    <t>강정규</t>
  </si>
  <si>
    <t>0703083</t>
  </si>
  <si>
    <t>장경호</t>
  </si>
  <si>
    <t>0802288</t>
  </si>
  <si>
    <t>현석원</t>
  </si>
  <si>
    <t>1000489</t>
  </si>
  <si>
    <t>장혁</t>
  </si>
  <si>
    <t>1701645</t>
  </si>
  <si>
    <t>경영정보</t>
  </si>
  <si>
    <t>0600011</t>
  </si>
  <si>
    <t>김관준</t>
  </si>
  <si>
    <t>여의도 Y-eDC 개발사업</t>
  </si>
  <si>
    <t>0601364</t>
  </si>
  <si>
    <t>김성곤</t>
  </si>
  <si>
    <t>0601366</t>
  </si>
  <si>
    <t>김창욱</t>
  </si>
  <si>
    <t>1002346</t>
  </si>
  <si>
    <t>최규천</t>
  </si>
  <si>
    <t>H-테크노밸리 부지조성공사</t>
  </si>
  <si>
    <t>xk</t>
  </si>
  <si>
    <t>9711134</t>
  </si>
  <si>
    <t>최광식</t>
  </si>
  <si>
    <t>1001794</t>
  </si>
  <si>
    <t>양진호</t>
  </si>
  <si>
    <t>이라크지사</t>
  </si>
  <si>
    <t>해외영업</t>
  </si>
  <si>
    <t>0010685</t>
  </si>
  <si>
    <t>문지용</t>
  </si>
  <si>
    <t>0200218</t>
  </si>
  <si>
    <t>0600095</t>
  </si>
  <si>
    <t>홍승수</t>
  </si>
  <si>
    <t>영종도 인스파이어 하자</t>
  </si>
  <si>
    <t>총계</t>
  </si>
  <si>
    <t>PA</t>
  </si>
  <si>
    <t>0601376</t>
  </si>
  <si>
    <t>1300806</t>
  </si>
  <si>
    <t>김제명</t>
  </si>
  <si>
    <t>공무</t>
  </si>
  <si>
    <t>9611302</t>
  </si>
  <si>
    <t>진정일</t>
  </si>
  <si>
    <t>0200994</t>
  </si>
  <si>
    <t>신동호</t>
  </si>
  <si>
    <t>0300312</t>
  </si>
  <si>
    <t>노호성</t>
  </si>
  <si>
    <t>0300543</t>
  </si>
  <si>
    <t>0400520</t>
  </si>
  <si>
    <t>성훈</t>
  </si>
  <si>
    <t>0700728</t>
  </si>
  <si>
    <t>0801599</t>
  </si>
  <si>
    <t>최정수</t>
  </si>
  <si>
    <t>1101090</t>
  </si>
  <si>
    <t>이교훈</t>
  </si>
  <si>
    <t>1102509</t>
  </si>
  <si>
    <t>1103352</t>
  </si>
  <si>
    <t>서성민</t>
  </si>
  <si>
    <t>1703469</t>
  </si>
  <si>
    <t>반이호</t>
  </si>
  <si>
    <t>총무</t>
  </si>
  <si>
    <t>9503023</t>
  </si>
  <si>
    <t>장동찬</t>
  </si>
  <si>
    <t>9606472</t>
  </si>
  <si>
    <t>이찬표</t>
  </si>
  <si>
    <t>9606903</t>
  </si>
  <si>
    <t>노옥철</t>
  </si>
  <si>
    <t>0600060</t>
  </si>
  <si>
    <t>신명섭</t>
  </si>
  <si>
    <t>대전하수처리장 현대화(관로)</t>
  </si>
  <si>
    <t>0701844</t>
  </si>
  <si>
    <t>박준태</t>
  </si>
  <si>
    <t>0703029</t>
  </si>
  <si>
    <t>박철민</t>
  </si>
  <si>
    <t>횡성 병영시설 신축공사</t>
  </si>
  <si>
    <t>1104089</t>
  </si>
  <si>
    <t>송지강</t>
  </si>
  <si>
    <t>0285813</t>
  </si>
  <si>
    <t>조형민</t>
  </si>
  <si>
    <t>관리재경팀</t>
  </si>
  <si>
    <t>현장관리</t>
  </si>
  <si>
    <t>0400577</t>
  </si>
  <si>
    <t>백문수</t>
  </si>
  <si>
    <t>0500185</t>
  </si>
  <si>
    <t>박원근</t>
  </si>
  <si>
    <t>0700690</t>
  </si>
  <si>
    <t>곽우철</t>
  </si>
  <si>
    <t>0700729</t>
  </si>
  <si>
    <t>해외사업팀</t>
  </si>
  <si>
    <t>해외건설영업</t>
  </si>
  <si>
    <t>0703032</t>
  </si>
  <si>
    <t>이진학</t>
  </si>
  <si>
    <t>견적</t>
  </si>
  <si>
    <t>0703037</t>
  </si>
  <si>
    <t>박강일</t>
  </si>
  <si>
    <t>0802081</t>
  </si>
  <si>
    <t>최진성</t>
  </si>
  <si>
    <t>감사</t>
  </si>
  <si>
    <t>1000238</t>
  </si>
  <si>
    <t>임동준</t>
  </si>
  <si>
    <t>신사업성장팀</t>
  </si>
  <si>
    <t>1000241</t>
  </si>
  <si>
    <t>1000244</t>
  </si>
  <si>
    <t>하두완</t>
  </si>
  <si>
    <t>그린솔루션팀</t>
  </si>
  <si>
    <t>0010688</t>
  </si>
  <si>
    <t>양정규</t>
  </si>
  <si>
    <t>0110928</t>
  </si>
  <si>
    <t>김동호</t>
  </si>
  <si>
    <t>0110959</t>
  </si>
  <si>
    <t>0200202</t>
  </si>
  <si>
    <t>박진용</t>
  </si>
  <si>
    <t>설계관리</t>
  </si>
  <si>
    <t>0200550</t>
  </si>
  <si>
    <t>전용하</t>
  </si>
  <si>
    <t>0200879</t>
  </si>
  <si>
    <t>김종국</t>
  </si>
  <si>
    <t>0201009</t>
  </si>
  <si>
    <t>김건호</t>
  </si>
  <si>
    <t>0201026</t>
  </si>
  <si>
    <t>노명동</t>
  </si>
  <si>
    <t>0201242</t>
  </si>
  <si>
    <t>송현기</t>
  </si>
  <si>
    <t>0201251</t>
  </si>
  <si>
    <t>이재승</t>
  </si>
  <si>
    <t>0201253</t>
  </si>
  <si>
    <t>정원태</t>
  </si>
  <si>
    <t>0300007</t>
  </si>
  <si>
    <t>이영상</t>
  </si>
  <si>
    <t>0300210</t>
  </si>
  <si>
    <t>0300215</t>
  </si>
  <si>
    <t>김재형</t>
  </si>
  <si>
    <t>0300223</t>
  </si>
  <si>
    <t>박규석</t>
  </si>
  <si>
    <t>0300313</t>
  </si>
  <si>
    <t>배중호</t>
  </si>
  <si>
    <t>0300334</t>
  </si>
  <si>
    <t>권순욱</t>
  </si>
  <si>
    <t>0300537</t>
  </si>
  <si>
    <t>신종식</t>
  </si>
  <si>
    <t>0300544</t>
  </si>
  <si>
    <t>조두상</t>
  </si>
  <si>
    <t>0300881</t>
  </si>
  <si>
    <t>박영규</t>
  </si>
  <si>
    <t>0300926</t>
  </si>
  <si>
    <t>김진억</t>
  </si>
  <si>
    <t>0300973</t>
  </si>
  <si>
    <t>윤중석</t>
  </si>
  <si>
    <t>0406013</t>
  </si>
  <si>
    <t>김근호</t>
  </si>
  <si>
    <t>0500377</t>
  </si>
  <si>
    <t>고영석</t>
  </si>
  <si>
    <t>0500487</t>
  </si>
  <si>
    <t>이승훈</t>
  </si>
  <si>
    <t>0500544</t>
  </si>
  <si>
    <t>김대중</t>
  </si>
  <si>
    <t>0500551</t>
  </si>
  <si>
    <t>송강열</t>
  </si>
  <si>
    <t>0500560</t>
  </si>
  <si>
    <t>진승관</t>
  </si>
  <si>
    <t>0500567</t>
  </si>
  <si>
    <t>황인태</t>
  </si>
  <si>
    <t>0500773</t>
  </si>
  <si>
    <t>0500829</t>
  </si>
  <si>
    <t>한규승</t>
  </si>
  <si>
    <t>0600049</t>
  </si>
  <si>
    <t>박철호</t>
  </si>
  <si>
    <t>0600059</t>
  </si>
  <si>
    <t>서경현</t>
  </si>
  <si>
    <t>0600065</t>
  </si>
  <si>
    <t>김광익</t>
  </si>
  <si>
    <t>0600070</t>
  </si>
  <si>
    <t>김수민</t>
  </si>
  <si>
    <t>0600593</t>
  </si>
  <si>
    <t>정성원</t>
  </si>
  <si>
    <t>0600892</t>
  </si>
  <si>
    <t>0601363</t>
  </si>
  <si>
    <t>권중근</t>
  </si>
  <si>
    <t>사업관리팀</t>
  </si>
  <si>
    <t>0601367</t>
  </si>
  <si>
    <t>반효석</t>
  </si>
  <si>
    <t>0601369</t>
  </si>
  <si>
    <t>이명현</t>
  </si>
  <si>
    <t>0601378</t>
  </si>
  <si>
    <t>이정성</t>
  </si>
  <si>
    <t>0601385</t>
  </si>
  <si>
    <t>안창훈</t>
  </si>
  <si>
    <t>0700212</t>
  </si>
  <si>
    <t>소형섭</t>
  </si>
  <si>
    <t>0700236</t>
  </si>
  <si>
    <t>김영노</t>
  </si>
  <si>
    <t>0700240</t>
  </si>
  <si>
    <t>전현영</t>
  </si>
  <si>
    <t>김종우</t>
  </si>
  <si>
    <t>0700701</t>
  </si>
  <si>
    <t>권용호</t>
  </si>
  <si>
    <t>0700710</t>
  </si>
  <si>
    <t>박성제</t>
  </si>
  <si>
    <t>0700717</t>
  </si>
  <si>
    <t>이정호</t>
  </si>
  <si>
    <t>0701632</t>
  </si>
  <si>
    <t>홍재화</t>
  </si>
  <si>
    <t>0702715</t>
  </si>
  <si>
    <t>이경호</t>
  </si>
  <si>
    <t>0703027</t>
  </si>
  <si>
    <t>김종남</t>
  </si>
  <si>
    <t>0703028</t>
  </si>
  <si>
    <t>민병철</t>
  </si>
  <si>
    <t>0703040</t>
  </si>
  <si>
    <t>유홍재</t>
  </si>
  <si>
    <t>정상석</t>
  </si>
  <si>
    <t>0800490</t>
  </si>
  <si>
    <t>0801064</t>
  </si>
  <si>
    <t>0802025</t>
  </si>
  <si>
    <t>이우릉</t>
  </si>
  <si>
    <t>0802068</t>
  </si>
  <si>
    <t>이종원</t>
  </si>
  <si>
    <t>0802077</t>
  </si>
  <si>
    <t>박종혁</t>
  </si>
  <si>
    <t>0802080</t>
  </si>
  <si>
    <t>최영환</t>
  </si>
  <si>
    <t>0802111</t>
  </si>
  <si>
    <t>이윤창</t>
  </si>
  <si>
    <t>0900276</t>
  </si>
  <si>
    <t>권진욱</t>
  </si>
  <si>
    <t>0900277</t>
  </si>
  <si>
    <t>0900280</t>
  </si>
  <si>
    <t>심광훈</t>
  </si>
  <si>
    <t>0900283</t>
  </si>
  <si>
    <t>이재학</t>
  </si>
  <si>
    <t>0900285</t>
  </si>
  <si>
    <t>조태현</t>
  </si>
  <si>
    <t>1000193</t>
  </si>
  <si>
    <t>김성호</t>
  </si>
  <si>
    <t>1000195</t>
  </si>
  <si>
    <t>남두현</t>
  </si>
  <si>
    <t>1000196</t>
  </si>
  <si>
    <t>박종욱</t>
  </si>
  <si>
    <t>1000199</t>
  </si>
  <si>
    <t>권순열</t>
  </si>
  <si>
    <t>1000201</t>
  </si>
  <si>
    <t>1000246</t>
  </si>
  <si>
    <t>최환수</t>
  </si>
  <si>
    <t>1002262</t>
  </si>
  <si>
    <t>신영남</t>
  </si>
  <si>
    <t>1002922</t>
  </si>
  <si>
    <t>1100741</t>
  </si>
  <si>
    <t>김성문</t>
  </si>
  <si>
    <t>1100744</t>
  </si>
  <si>
    <t>이철성</t>
  </si>
  <si>
    <t>1100745</t>
  </si>
  <si>
    <t>정철환</t>
  </si>
  <si>
    <t>1100760</t>
  </si>
  <si>
    <t>최명동</t>
  </si>
  <si>
    <t>1102659</t>
  </si>
  <si>
    <t>최원우</t>
  </si>
  <si>
    <t>1104078</t>
  </si>
  <si>
    <t>백승원</t>
  </si>
  <si>
    <t>1104092</t>
  </si>
  <si>
    <t>박백진</t>
  </si>
  <si>
    <t>1104095</t>
  </si>
  <si>
    <t>정석기</t>
  </si>
  <si>
    <t>1104892</t>
  </si>
  <si>
    <t>구희문</t>
  </si>
  <si>
    <t>변항기</t>
  </si>
  <si>
    <t>1105014</t>
  </si>
  <si>
    <t>권순호</t>
  </si>
  <si>
    <t>1105015</t>
  </si>
  <si>
    <t>배준호</t>
  </si>
  <si>
    <t>1105672</t>
  </si>
  <si>
    <t>1201435</t>
  </si>
  <si>
    <t>김영훈</t>
  </si>
  <si>
    <t>1202098</t>
  </si>
  <si>
    <t>박영철</t>
  </si>
  <si>
    <t>1202928</t>
  </si>
  <si>
    <t>전영석</t>
  </si>
  <si>
    <t>1203988</t>
  </si>
  <si>
    <t>이중규</t>
  </si>
  <si>
    <t>1203995</t>
  </si>
  <si>
    <t>한병수</t>
  </si>
  <si>
    <t>1204789</t>
  </si>
  <si>
    <t>1205440</t>
  </si>
  <si>
    <t>한재호</t>
  </si>
  <si>
    <t>1300270</t>
  </si>
  <si>
    <t>권구성</t>
  </si>
  <si>
    <t>1300809</t>
  </si>
  <si>
    <t>박송호</t>
  </si>
  <si>
    <t>1300810</t>
  </si>
  <si>
    <t>주대성</t>
  </si>
  <si>
    <t>1300812</t>
  </si>
  <si>
    <t>나정현</t>
  </si>
  <si>
    <t>1300814</t>
  </si>
  <si>
    <t>이재우</t>
  </si>
  <si>
    <t>1300937</t>
  </si>
  <si>
    <t>유영현</t>
  </si>
  <si>
    <t>1301313</t>
  </si>
  <si>
    <t>김도한</t>
  </si>
  <si>
    <t>1301361</t>
  </si>
  <si>
    <t>김현백</t>
  </si>
  <si>
    <t>1301363</t>
  </si>
  <si>
    <t>박재범</t>
  </si>
  <si>
    <t>1301366</t>
  </si>
  <si>
    <t>차홍석</t>
  </si>
  <si>
    <t>1301809</t>
  </si>
  <si>
    <t>박중환</t>
  </si>
  <si>
    <t>1402148</t>
  </si>
  <si>
    <t>임주택</t>
  </si>
  <si>
    <t>1701469</t>
  </si>
  <si>
    <t>1701755</t>
  </si>
  <si>
    <t>박홍련</t>
  </si>
  <si>
    <t>1802992</t>
  </si>
  <si>
    <t>원승요</t>
  </si>
  <si>
    <t>1902067</t>
  </si>
  <si>
    <t>1903320</t>
  </si>
  <si>
    <t>1907082</t>
  </si>
  <si>
    <t>조준범</t>
  </si>
  <si>
    <t>2000153</t>
  </si>
  <si>
    <t>김성건</t>
  </si>
  <si>
    <t>2001579</t>
  </si>
  <si>
    <t>김영철</t>
  </si>
  <si>
    <t>2100785</t>
  </si>
  <si>
    <t>홍상표</t>
  </si>
  <si>
    <t>2101044</t>
  </si>
  <si>
    <t>이주호</t>
  </si>
  <si>
    <t>2101412</t>
  </si>
  <si>
    <t>고규남</t>
  </si>
  <si>
    <t>2101656</t>
  </si>
  <si>
    <t>배세욱</t>
  </si>
  <si>
    <t>이철민</t>
  </si>
  <si>
    <t>2102425</t>
  </si>
  <si>
    <t>김경건</t>
  </si>
  <si>
    <t>2102561</t>
  </si>
  <si>
    <t>김양중</t>
  </si>
  <si>
    <t>2102562</t>
  </si>
  <si>
    <t>임민수</t>
  </si>
  <si>
    <t>2102852</t>
  </si>
  <si>
    <t>이계주</t>
  </si>
  <si>
    <t>2102855</t>
  </si>
  <si>
    <t>김천용</t>
  </si>
  <si>
    <t>2102857</t>
  </si>
  <si>
    <t>서준권</t>
  </si>
  <si>
    <t>2103013</t>
  </si>
  <si>
    <t>정규정</t>
  </si>
  <si>
    <t>2103015</t>
  </si>
  <si>
    <t>이영택</t>
  </si>
  <si>
    <t>2103017</t>
  </si>
  <si>
    <t>임대식</t>
  </si>
  <si>
    <t>2201851</t>
  </si>
  <si>
    <t>민상규</t>
  </si>
  <si>
    <t>2201929</t>
  </si>
  <si>
    <t>2201930</t>
  </si>
  <si>
    <t>박종화</t>
  </si>
  <si>
    <t>2201939</t>
  </si>
  <si>
    <t>이석수</t>
  </si>
  <si>
    <t>2202065</t>
  </si>
  <si>
    <t>김만곤</t>
  </si>
  <si>
    <t>이영규</t>
  </si>
  <si>
    <t>2203187</t>
  </si>
  <si>
    <t>최성윤</t>
  </si>
  <si>
    <t>2203307</t>
  </si>
  <si>
    <t>김영화</t>
  </si>
  <si>
    <t>2203308</t>
  </si>
  <si>
    <t>고민우</t>
  </si>
  <si>
    <t>2203419</t>
  </si>
  <si>
    <t>박경태</t>
  </si>
  <si>
    <t>2300263</t>
  </si>
  <si>
    <t>이지성</t>
  </si>
  <si>
    <t>2403185</t>
  </si>
  <si>
    <t>김선규</t>
  </si>
  <si>
    <t>2502537</t>
  </si>
  <si>
    <t>박진호</t>
  </si>
  <si>
    <t>2502852</t>
  </si>
  <si>
    <t>제치훈</t>
  </si>
  <si>
    <t>9606682</t>
  </si>
  <si>
    <t>최종필</t>
  </si>
  <si>
    <t>9606844</t>
  </si>
  <si>
    <t>9623703</t>
  </si>
  <si>
    <t>김종근</t>
  </si>
  <si>
    <t>동두천연천 복선전철</t>
  </si>
  <si>
    <t>9623843</t>
  </si>
  <si>
    <t>유경민</t>
  </si>
  <si>
    <t>9711132</t>
  </si>
  <si>
    <t>조영교</t>
  </si>
  <si>
    <t>9910881</t>
  </si>
  <si>
    <t>김정운</t>
  </si>
  <si>
    <t>9911165</t>
  </si>
  <si>
    <t>손형구</t>
  </si>
  <si>
    <t>0300340</t>
  </si>
  <si>
    <t>안경섭</t>
  </si>
  <si>
    <t>2103012</t>
  </si>
  <si>
    <t>윤상수</t>
  </si>
  <si>
    <t>1903341</t>
  </si>
  <si>
    <t>하종진</t>
  </si>
  <si>
    <t>회계</t>
  </si>
  <si>
    <t>황지환</t>
  </si>
  <si>
    <t>0300381</t>
  </si>
  <si>
    <t>이평대</t>
  </si>
  <si>
    <t>0300437</t>
  </si>
  <si>
    <t>곽재영</t>
  </si>
  <si>
    <t>0500074</t>
  </si>
  <si>
    <t>0500169</t>
  </si>
  <si>
    <t>이상윤</t>
  </si>
  <si>
    <t>0500554</t>
  </si>
  <si>
    <t>이권해</t>
  </si>
  <si>
    <t>0600069</t>
  </si>
  <si>
    <t>안범훈</t>
  </si>
  <si>
    <t>0701636</t>
  </si>
  <si>
    <t>김대관</t>
  </si>
  <si>
    <t>0701640</t>
  </si>
  <si>
    <t>1002916</t>
  </si>
  <si>
    <t>한상훈</t>
  </si>
  <si>
    <t>1100773</t>
  </si>
  <si>
    <t>1101402</t>
  </si>
  <si>
    <t>양희원</t>
  </si>
  <si>
    <t>1102305</t>
  </si>
  <si>
    <t>이정철</t>
  </si>
  <si>
    <t>1103435</t>
  </si>
  <si>
    <t>1103446</t>
  </si>
  <si>
    <t>전상현</t>
  </si>
  <si>
    <t>1103447</t>
  </si>
  <si>
    <t>하권준</t>
  </si>
  <si>
    <t>1103470</t>
  </si>
  <si>
    <t>최영준</t>
  </si>
  <si>
    <t>1103477</t>
  </si>
  <si>
    <t>배진호</t>
  </si>
  <si>
    <t>1104097</t>
  </si>
  <si>
    <t>정병석</t>
  </si>
  <si>
    <t>1105685</t>
  </si>
  <si>
    <t>이지연</t>
  </si>
  <si>
    <t>1105688</t>
  </si>
  <si>
    <t>고용해</t>
  </si>
  <si>
    <t>1105696</t>
  </si>
  <si>
    <t>한영규</t>
  </si>
  <si>
    <t>1202937</t>
  </si>
  <si>
    <t>류민상</t>
  </si>
  <si>
    <t>1202943</t>
  </si>
  <si>
    <t>이재욱</t>
  </si>
  <si>
    <t>1202951</t>
  </si>
  <si>
    <t>권지우</t>
  </si>
  <si>
    <t>1203523</t>
  </si>
  <si>
    <t>조경진</t>
  </si>
  <si>
    <t>1204223</t>
  </si>
  <si>
    <t>강병욱</t>
  </si>
  <si>
    <t>1204270</t>
  </si>
  <si>
    <t>이태국</t>
  </si>
  <si>
    <t>1300232</t>
  </si>
  <si>
    <t>김승연</t>
  </si>
  <si>
    <t>1300237</t>
  </si>
  <si>
    <t>1300245</t>
  </si>
  <si>
    <t>한상현</t>
  </si>
  <si>
    <t>1300254</t>
  </si>
  <si>
    <t>1300261</t>
  </si>
  <si>
    <t>이기원</t>
  </si>
  <si>
    <t>1300278</t>
  </si>
  <si>
    <t>임우철</t>
  </si>
  <si>
    <t>1301484</t>
  </si>
  <si>
    <t>신주하</t>
  </si>
  <si>
    <t>1302529</t>
  </si>
  <si>
    <t>김세진</t>
  </si>
  <si>
    <t>1302531</t>
  </si>
  <si>
    <t>조제헌</t>
  </si>
  <si>
    <t>1302568</t>
  </si>
  <si>
    <t>1302878</t>
  </si>
  <si>
    <t>정병욱</t>
  </si>
  <si>
    <t>1400374</t>
  </si>
  <si>
    <t>1400398</t>
  </si>
  <si>
    <t>장경진</t>
  </si>
  <si>
    <t>1400774</t>
  </si>
  <si>
    <t>최태성</t>
  </si>
  <si>
    <t>1402794</t>
  </si>
  <si>
    <t>1402804</t>
  </si>
  <si>
    <t>1402811</t>
  </si>
  <si>
    <t>김승환</t>
  </si>
  <si>
    <t>1500185</t>
  </si>
  <si>
    <t>고영남</t>
  </si>
  <si>
    <t>1500191</t>
  </si>
  <si>
    <t>김상원</t>
  </si>
  <si>
    <t>1701116</t>
  </si>
  <si>
    <t>1801786</t>
  </si>
  <si>
    <t>1802560</t>
  </si>
  <si>
    <t>김종훈</t>
  </si>
  <si>
    <t>1802859</t>
  </si>
  <si>
    <t>양우용</t>
  </si>
  <si>
    <t>1804412</t>
  </si>
  <si>
    <t>김동준</t>
  </si>
  <si>
    <t>1804862</t>
  </si>
  <si>
    <t>장세현</t>
  </si>
  <si>
    <t>1907083</t>
  </si>
  <si>
    <t>김명환</t>
  </si>
  <si>
    <t>1907088</t>
  </si>
  <si>
    <t>이유성</t>
  </si>
  <si>
    <t>2001522</t>
  </si>
  <si>
    <t>김민욱</t>
  </si>
  <si>
    <t>2001523</t>
  </si>
  <si>
    <t>김태연</t>
  </si>
  <si>
    <t>2100122</t>
  </si>
  <si>
    <t>최정호</t>
  </si>
  <si>
    <t>2100235</t>
  </si>
  <si>
    <t>최세영</t>
  </si>
  <si>
    <t>2100243</t>
  </si>
  <si>
    <t>김하진</t>
  </si>
  <si>
    <t>2100340</t>
  </si>
  <si>
    <t>김선창</t>
  </si>
  <si>
    <t>2100786</t>
  </si>
  <si>
    <t>이태건</t>
  </si>
  <si>
    <t>2100834</t>
  </si>
  <si>
    <t>권구범</t>
  </si>
  <si>
    <t>2100933</t>
  </si>
  <si>
    <t>이경환</t>
  </si>
  <si>
    <t>2100936</t>
  </si>
  <si>
    <t>정대희</t>
  </si>
  <si>
    <t>2101042</t>
  </si>
  <si>
    <t>백용인</t>
  </si>
  <si>
    <t>2101153</t>
  </si>
  <si>
    <t>방덕권</t>
  </si>
  <si>
    <t>2101155</t>
  </si>
  <si>
    <t>여인호</t>
  </si>
  <si>
    <t>2101424</t>
  </si>
  <si>
    <t>오현진</t>
  </si>
  <si>
    <t>2101426</t>
  </si>
  <si>
    <t>송기주</t>
  </si>
  <si>
    <t>2101430</t>
  </si>
  <si>
    <t>박은정</t>
  </si>
  <si>
    <t>2101629</t>
  </si>
  <si>
    <t>이지원</t>
  </si>
  <si>
    <t>2102463</t>
  </si>
  <si>
    <t>박일웅</t>
  </si>
  <si>
    <t>2102466</t>
  </si>
  <si>
    <t>김승협</t>
  </si>
  <si>
    <t>2102476</t>
  </si>
  <si>
    <t>이종우</t>
  </si>
  <si>
    <t>2102480</t>
  </si>
  <si>
    <t>최석철</t>
  </si>
  <si>
    <t>2102482</t>
  </si>
  <si>
    <t>조제훈</t>
  </si>
  <si>
    <t>2102483</t>
  </si>
  <si>
    <t>박용우</t>
  </si>
  <si>
    <t>2102487</t>
  </si>
  <si>
    <t>노장호</t>
  </si>
  <si>
    <t>2102564</t>
  </si>
  <si>
    <t>조은철</t>
  </si>
  <si>
    <t>2102566</t>
  </si>
  <si>
    <t>박일섭</t>
  </si>
  <si>
    <t>2102788</t>
  </si>
  <si>
    <t>김태현</t>
  </si>
  <si>
    <t>2102854</t>
  </si>
  <si>
    <t>조용훈</t>
  </si>
  <si>
    <t>2103023</t>
  </si>
  <si>
    <t>김구범</t>
  </si>
  <si>
    <t>2103026</t>
  </si>
  <si>
    <t>박승현</t>
  </si>
  <si>
    <t>홍선택</t>
  </si>
  <si>
    <t>2103051</t>
  </si>
  <si>
    <t>강규철</t>
  </si>
  <si>
    <t>2103052</t>
  </si>
  <si>
    <t>이교철</t>
  </si>
  <si>
    <t>2103058</t>
  </si>
  <si>
    <t>장명철</t>
  </si>
  <si>
    <t>2103060</t>
  </si>
  <si>
    <t>조영필</t>
  </si>
  <si>
    <t>2103071</t>
  </si>
  <si>
    <t>조우형</t>
  </si>
  <si>
    <t>2200390</t>
  </si>
  <si>
    <t>진효준</t>
  </si>
  <si>
    <t>2200400</t>
  </si>
  <si>
    <t>임창교</t>
  </si>
  <si>
    <t>2201209</t>
  </si>
  <si>
    <t>이수열</t>
  </si>
  <si>
    <t>2201215</t>
  </si>
  <si>
    <t>김종헌</t>
  </si>
  <si>
    <t>2201220</t>
  </si>
  <si>
    <t>김진영</t>
  </si>
  <si>
    <t>2201223</t>
  </si>
  <si>
    <t>정민구</t>
  </si>
  <si>
    <t>2201234</t>
  </si>
  <si>
    <t>김준근</t>
  </si>
  <si>
    <t>2201235</t>
  </si>
  <si>
    <t>전종우</t>
  </si>
  <si>
    <t>2201244</t>
  </si>
  <si>
    <t>이철주</t>
  </si>
  <si>
    <t>2201245</t>
  </si>
  <si>
    <t>선현석</t>
  </si>
  <si>
    <t>2201248</t>
  </si>
  <si>
    <t>서봉교</t>
  </si>
  <si>
    <t>2201251</t>
  </si>
  <si>
    <t>홍은총</t>
  </si>
  <si>
    <t>2201255</t>
  </si>
  <si>
    <t>박원혁</t>
  </si>
  <si>
    <t>2201269</t>
  </si>
  <si>
    <t>이주현</t>
  </si>
  <si>
    <t>2201608</t>
  </si>
  <si>
    <t>김동규</t>
  </si>
  <si>
    <t>2201932</t>
  </si>
  <si>
    <t>2201938</t>
  </si>
  <si>
    <t>류덕창</t>
  </si>
  <si>
    <t>2201941</t>
  </si>
  <si>
    <t>정승규</t>
  </si>
  <si>
    <t>2201942</t>
  </si>
  <si>
    <t>안병호</t>
  </si>
  <si>
    <t>2201943</t>
  </si>
  <si>
    <t>이용원</t>
  </si>
  <si>
    <t>2201944</t>
  </si>
  <si>
    <t>이우현</t>
  </si>
  <si>
    <t>2202070</t>
  </si>
  <si>
    <t>곽호민</t>
  </si>
  <si>
    <t>문원형</t>
  </si>
  <si>
    <t>2203179</t>
  </si>
  <si>
    <t>박지웅</t>
  </si>
  <si>
    <t>2203183</t>
  </si>
  <si>
    <t>임성민</t>
  </si>
  <si>
    <t>2203190</t>
  </si>
  <si>
    <t>조광호</t>
  </si>
  <si>
    <t>2203191</t>
  </si>
  <si>
    <t>김형석</t>
  </si>
  <si>
    <t>2203391</t>
  </si>
  <si>
    <t>오현일</t>
  </si>
  <si>
    <t>고인상</t>
  </si>
  <si>
    <t>2203404</t>
  </si>
  <si>
    <t>양영훈</t>
  </si>
  <si>
    <t>2203411</t>
  </si>
  <si>
    <t>홍성준</t>
  </si>
  <si>
    <t>2300285</t>
  </si>
  <si>
    <t>박구선</t>
  </si>
  <si>
    <t>2303019</t>
  </si>
  <si>
    <t>김재훈</t>
  </si>
  <si>
    <t>서영동</t>
  </si>
  <si>
    <t>2403404</t>
  </si>
  <si>
    <t>윤종복</t>
  </si>
  <si>
    <t>2403405</t>
  </si>
  <si>
    <t>2501046</t>
  </si>
  <si>
    <t>윤도형</t>
  </si>
  <si>
    <t>2501815</t>
  </si>
  <si>
    <t>이민은</t>
  </si>
  <si>
    <t>2502536</t>
  </si>
  <si>
    <t>신상협</t>
  </si>
  <si>
    <t>2502695</t>
  </si>
  <si>
    <t>9711114</t>
  </si>
  <si>
    <t>이광수</t>
  </si>
  <si>
    <t>0300380</t>
  </si>
  <si>
    <t>고주열</t>
  </si>
  <si>
    <t>0300382</t>
  </si>
  <si>
    <t>유도재</t>
  </si>
  <si>
    <t>0700105</t>
  </si>
  <si>
    <t>1204722</t>
  </si>
  <si>
    <t>홍주표</t>
  </si>
  <si>
    <t>2203192</t>
  </si>
  <si>
    <t>문영준</t>
  </si>
  <si>
    <t>0200312</t>
  </si>
  <si>
    <t>이정규</t>
  </si>
  <si>
    <t>0801108</t>
  </si>
  <si>
    <t>조병윤</t>
  </si>
  <si>
    <t>1205308</t>
  </si>
  <si>
    <t>김윤곤</t>
  </si>
  <si>
    <t>1205309</t>
  </si>
  <si>
    <t>김필수</t>
  </si>
  <si>
    <t>최성현</t>
  </si>
  <si>
    <t>1205336</t>
  </si>
  <si>
    <t>안선명</t>
  </si>
  <si>
    <t>1602209</t>
  </si>
  <si>
    <t>윤명훈</t>
  </si>
  <si>
    <t>최봉제</t>
  </si>
  <si>
    <t>1704477</t>
  </si>
  <si>
    <t>최호진</t>
  </si>
  <si>
    <t>1803687</t>
  </si>
  <si>
    <t>박제언</t>
  </si>
  <si>
    <t>1803689</t>
  </si>
  <si>
    <t>한경원</t>
  </si>
  <si>
    <t>1803694</t>
  </si>
  <si>
    <t>김택진</t>
  </si>
  <si>
    <t>1900026</t>
  </si>
  <si>
    <t>고종우</t>
  </si>
  <si>
    <t>1900028</t>
  </si>
  <si>
    <t>이태형</t>
  </si>
  <si>
    <t>1900034</t>
  </si>
  <si>
    <t>김준겸</t>
  </si>
  <si>
    <t>2000166</t>
  </si>
  <si>
    <t>최상현</t>
  </si>
  <si>
    <t>2000177</t>
  </si>
  <si>
    <t>정재원</t>
  </si>
  <si>
    <t>2100437</t>
  </si>
  <si>
    <t>백문도</t>
  </si>
  <si>
    <t>변정환</t>
  </si>
  <si>
    <t>2101041</t>
  </si>
  <si>
    <t>강담비</t>
  </si>
  <si>
    <t>2101411</t>
  </si>
  <si>
    <t>이호준</t>
  </si>
  <si>
    <t>2101423</t>
  </si>
  <si>
    <t>2101633</t>
  </si>
  <si>
    <t>신원섭</t>
  </si>
  <si>
    <t>2101710</t>
  </si>
  <si>
    <t>김다운</t>
  </si>
  <si>
    <t>2101711</t>
  </si>
  <si>
    <t>2101712</t>
  </si>
  <si>
    <t>이태환</t>
  </si>
  <si>
    <t>2102326</t>
  </si>
  <si>
    <t>우동욱</t>
  </si>
  <si>
    <t>2102415</t>
  </si>
  <si>
    <t>민병윤</t>
  </si>
  <si>
    <t>2102416</t>
  </si>
  <si>
    <t>김용학</t>
  </si>
  <si>
    <t>2102424</t>
  </si>
  <si>
    <t>윤석영</t>
  </si>
  <si>
    <t>2102447</t>
  </si>
  <si>
    <t>길현준</t>
  </si>
  <si>
    <t>2102465</t>
  </si>
  <si>
    <t>김민</t>
  </si>
  <si>
    <t>2102472</t>
  </si>
  <si>
    <t>정상준</t>
  </si>
  <si>
    <t>2102473</t>
  </si>
  <si>
    <t>윤천영</t>
  </si>
  <si>
    <t>2102477</t>
  </si>
  <si>
    <t>김준희</t>
  </si>
  <si>
    <t>박남재</t>
  </si>
  <si>
    <t>2102489</t>
  </si>
  <si>
    <t>박주영</t>
  </si>
  <si>
    <t>2102979</t>
  </si>
  <si>
    <t>2103031</t>
  </si>
  <si>
    <t>2103061</t>
  </si>
  <si>
    <t>김신</t>
  </si>
  <si>
    <t>2103062</t>
  </si>
  <si>
    <t>김무찬</t>
  </si>
  <si>
    <t>2103063</t>
  </si>
  <si>
    <t>김준오</t>
  </si>
  <si>
    <t>2103064</t>
  </si>
  <si>
    <t>2103068</t>
  </si>
  <si>
    <t>조현민</t>
  </si>
  <si>
    <t>2200391</t>
  </si>
  <si>
    <t>백주열</t>
  </si>
  <si>
    <t>2200392</t>
  </si>
  <si>
    <t>이희제</t>
  </si>
  <si>
    <t>2201208</t>
  </si>
  <si>
    <t>박기륜</t>
  </si>
  <si>
    <t>2201219</t>
  </si>
  <si>
    <t>임재우</t>
  </si>
  <si>
    <t>2201224</t>
  </si>
  <si>
    <t>2201226</t>
  </si>
  <si>
    <t>김흥열</t>
  </si>
  <si>
    <t>2201230</t>
  </si>
  <si>
    <t>강태희</t>
  </si>
  <si>
    <t>2201232</t>
  </si>
  <si>
    <t>서재혁</t>
  </si>
  <si>
    <t>2201238</t>
  </si>
  <si>
    <t>송근구</t>
  </si>
  <si>
    <t>양대근</t>
  </si>
  <si>
    <t>2201253</t>
  </si>
  <si>
    <t>김해성</t>
  </si>
  <si>
    <t>2201260</t>
  </si>
  <si>
    <t>오세웅</t>
  </si>
  <si>
    <t>2201263</t>
  </si>
  <si>
    <t>이재원</t>
  </si>
  <si>
    <t>2201264</t>
  </si>
  <si>
    <t>전상배</t>
  </si>
  <si>
    <t>2201935</t>
  </si>
  <si>
    <t>고충혁</t>
  </si>
  <si>
    <t>2201940</t>
  </si>
  <si>
    <t>이창우</t>
  </si>
  <si>
    <t>2202051</t>
  </si>
  <si>
    <t>2202052</t>
  </si>
  <si>
    <t>정혁수</t>
  </si>
  <si>
    <t>2202053</t>
  </si>
  <si>
    <t>정홍선</t>
  </si>
  <si>
    <t>2202054</t>
  </si>
  <si>
    <t>최영우</t>
  </si>
  <si>
    <t>2202072</t>
  </si>
  <si>
    <t>주경규</t>
  </si>
  <si>
    <t>2203182</t>
  </si>
  <si>
    <t>하태현</t>
  </si>
  <si>
    <t>2203184</t>
  </si>
  <si>
    <t>이태훈</t>
  </si>
  <si>
    <t>2203185</t>
  </si>
  <si>
    <t>오종국</t>
  </si>
  <si>
    <t>조현준</t>
  </si>
  <si>
    <t>2203379</t>
  </si>
  <si>
    <t>이동우</t>
  </si>
  <si>
    <t>2203381</t>
  </si>
  <si>
    <t>2203390</t>
  </si>
  <si>
    <t>노형래</t>
  </si>
  <si>
    <t>2203396</t>
  </si>
  <si>
    <t>이우람</t>
  </si>
  <si>
    <t>2203400</t>
  </si>
  <si>
    <t>오나람</t>
  </si>
  <si>
    <t>2203406</t>
  </si>
  <si>
    <t>권혁중</t>
  </si>
  <si>
    <t>2203407</t>
  </si>
  <si>
    <t>유영환</t>
  </si>
  <si>
    <t>2203408</t>
  </si>
  <si>
    <t>오성민</t>
  </si>
  <si>
    <t>2203415</t>
  </si>
  <si>
    <t>오승현</t>
  </si>
  <si>
    <t>2203416</t>
  </si>
  <si>
    <t>양성필</t>
  </si>
  <si>
    <t>2203431</t>
  </si>
  <si>
    <t>이성원</t>
  </si>
  <si>
    <t>2300266</t>
  </si>
  <si>
    <t>박경철</t>
  </si>
  <si>
    <t>2300268</t>
  </si>
  <si>
    <t>남승의</t>
  </si>
  <si>
    <t>2300272</t>
  </si>
  <si>
    <t>최종명</t>
  </si>
  <si>
    <t>2300277</t>
  </si>
  <si>
    <t>이준형</t>
  </si>
  <si>
    <t>2300278</t>
  </si>
  <si>
    <t>김태신</t>
  </si>
  <si>
    <t>2300279</t>
  </si>
  <si>
    <t>김찬호</t>
  </si>
  <si>
    <t>2300281</t>
  </si>
  <si>
    <t>유지성</t>
  </si>
  <si>
    <t>2300283</t>
  </si>
  <si>
    <t>2300286</t>
  </si>
  <si>
    <t>김영대</t>
  </si>
  <si>
    <t>2400805</t>
  </si>
  <si>
    <t>김도형</t>
  </si>
  <si>
    <t>2400961</t>
  </si>
  <si>
    <t>2400962</t>
  </si>
  <si>
    <t>정진환</t>
  </si>
  <si>
    <t>2400963</t>
  </si>
  <si>
    <t>최준영</t>
  </si>
  <si>
    <t>2403188</t>
  </si>
  <si>
    <t>권재현</t>
  </si>
  <si>
    <t>2403191</t>
  </si>
  <si>
    <t>박은택</t>
  </si>
  <si>
    <t>2501498</t>
  </si>
  <si>
    <t>한희도</t>
  </si>
  <si>
    <t>장선웅</t>
  </si>
  <si>
    <t>2501574</t>
  </si>
  <si>
    <t>최보은</t>
  </si>
  <si>
    <t>2502097</t>
  </si>
  <si>
    <t>0803875</t>
  </si>
  <si>
    <t>이찬우</t>
  </si>
  <si>
    <t>1201905</t>
  </si>
  <si>
    <t>백주원</t>
  </si>
  <si>
    <t>1205305</t>
  </si>
  <si>
    <t>강민철</t>
  </si>
  <si>
    <t>1205314</t>
  </si>
  <si>
    <t>이은석</t>
  </si>
  <si>
    <t>1205316</t>
  </si>
  <si>
    <t>최민성</t>
  </si>
  <si>
    <t>1205318</t>
  </si>
  <si>
    <t>김민철</t>
  </si>
  <si>
    <t>1205320</t>
  </si>
  <si>
    <t>박인랑</t>
  </si>
  <si>
    <t>1205326</t>
  </si>
  <si>
    <t>1205329</t>
  </si>
  <si>
    <t>강대한</t>
  </si>
  <si>
    <t>1205333</t>
  </si>
  <si>
    <t>박재한</t>
  </si>
  <si>
    <t>공사관리</t>
  </si>
  <si>
    <t>1205348</t>
  </si>
  <si>
    <t>전성대</t>
  </si>
  <si>
    <t>1205355</t>
  </si>
  <si>
    <t>이이삭</t>
  </si>
  <si>
    <t>1400230</t>
  </si>
  <si>
    <t>김산</t>
  </si>
  <si>
    <t>1400232</t>
  </si>
  <si>
    <t>김다훈</t>
  </si>
  <si>
    <t>1400246</t>
  </si>
  <si>
    <t>이정민</t>
  </si>
  <si>
    <t>1400248</t>
  </si>
  <si>
    <t>홍현직</t>
  </si>
  <si>
    <t>2102467</t>
  </si>
  <si>
    <t>유현우</t>
  </si>
  <si>
    <t>2201565</t>
  </si>
  <si>
    <t>2201568</t>
  </si>
  <si>
    <t>정종서</t>
  </si>
  <si>
    <t>2201570</t>
  </si>
  <si>
    <t>이상혁</t>
  </si>
  <si>
    <t>2201571</t>
  </si>
  <si>
    <t>김한규</t>
  </si>
  <si>
    <t>2201573</t>
  </si>
  <si>
    <t>2201574</t>
  </si>
  <si>
    <t>2201576</t>
  </si>
  <si>
    <t>박상원</t>
  </si>
  <si>
    <t>2204264</t>
  </si>
  <si>
    <t>권태균</t>
  </si>
  <si>
    <t>2204265</t>
  </si>
  <si>
    <t>김광림</t>
  </si>
  <si>
    <t>2204266</t>
  </si>
  <si>
    <t>우재빈</t>
  </si>
  <si>
    <t>2204268</t>
  </si>
  <si>
    <t>2204273</t>
  </si>
  <si>
    <t>김영준</t>
  </si>
  <si>
    <t>2400802</t>
  </si>
  <si>
    <t>2400803</t>
  </si>
  <si>
    <t>정광현</t>
  </si>
  <si>
    <t>2400804</t>
  </si>
  <si>
    <t>사무</t>
  </si>
  <si>
    <t>0300438</t>
  </si>
  <si>
    <t>윤미현</t>
  </si>
  <si>
    <t>1205301</t>
  </si>
  <si>
    <t>유준선</t>
  </si>
  <si>
    <t>1205317</t>
  </si>
  <si>
    <t>추원금</t>
  </si>
  <si>
    <t>1205323</t>
  </si>
  <si>
    <t>유병길</t>
  </si>
  <si>
    <t>1400236</t>
  </si>
  <si>
    <t>김익태</t>
  </si>
  <si>
    <t>문정웅</t>
  </si>
  <si>
    <t>1400245</t>
  </si>
  <si>
    <t>심주영</t>
  </si>
  <si>
    <t>1400255</t>
  </si>
  <si>
    <t>김지환</t>
  </si>
  <si>
    <t>1400261</t>
  </si>
  <si>
    <t>이준혁</t>
  </si>
  <si>
    <t>1400262</t>
  </si>
  <si>
    <t>하늘민</t>
  </si>
  <si>
    <t>0600381</t>
  </si>
  <si>
    <t>손은진</t>
  </si>
  <si>
    <t>1000408</t>
  </si>
  <si>
    <t>김나리</t>
  </si>
  <si>
    <t>1000627</t>
  </si>
  <si>
    <t>이은정</t>
  </si>
  <si>
    <t>1205369</t>
  </si>
  <si>
    <t>이하늬</t>
  </si>
  <si>
    <t>1205384</t>
  </si>
  <si>
    <t>권유림</t>
  </si>
  <si>
    <t>1400279</t>
  </si>
  <si>
    <t>김지안</t>
  </si>
  <si>
    <t>1604034</t>
  </si>
  <si>
    <t>허희주</t>
  </si>
  <si>
    <t>주택사업팀(사업소)</t>
  </si>
  <si>
    <t>0600185</t>
  </si>
  <si>
    <t>운전</t>
  </si>
  <si>
    <t>1000786</t>
  </si>
  <si>
    <t>이덕수</t>
  </si>
  <si>
    <t>1000787</t>
  </si>
  <si>
    <t>박영식</t>
  </si>
  <si>
    <t>1401515</t>
  </si>
  <si>
    <t>이종수</t>
  </si>
  <si>
    <t>1401516</t>
  </si>
  <si>
    <t>이호</t>
  </si>
  <si>
    <t>1900647</t>
  </si>
  <si>
    <t>김민범</t>
  </si>
  <si>
    <t>1900650</t>
  </si>
  <si>
    <t>이복현</t>
  </si>
  <si>
    <t>2001192</t>
  </si>
  <si>
    <t>박주현</t>
  </si>
  <si>
    <t>2100850</t>
  </si>
  <si>
    <t>신양승</t>
  </si>
  <si>
    <t>2100851</t>
  </si>
  <si>
    <t>김용진</t>
  </si>
  <si>
    <t>2301250</t>
  </si>
  <si>
    <t>신민주</t>
  </si>
  <si>
    <t>1508379</t>
  </si>
  <si>
    <t>이동영</t>
  </si>
  <si>
    <t>2101628</t>
  </si>
  <si>
    <t>장승철</t>
  </si>
  <si>
    <t>2202782</t>
  </si>
  <si>
    <t>이종국</t>
  </si>
  <si>
    <t>별정</t>
  </si>
  <si>
    <t>2500162</t>
  </si>
  <si>
    <t>김선대</t>
  </si>
  <si>
    <t>1300818</t>
  </si>
  <si>
    <t>홍석진</t>
  </si>
  <si>
    <t>1300933</t>
  </si>
  <si>
    <t>연용일</t>
  </si>
  <si>
    <t>1403843</t>
  </si>
  <si>
    <t>양승범</t>
  </si>
  <si>
    <t>1603131</t>
  </si>
  <si>
    <t>유재은</t>
  </si>
  <si>
    <t>1700469</t>
  </si>
  <si>
    <t>김원영</t>
  </si>
  <si>
    <t>1700678</t>
  </si>
  <si>
    <t>백승주</t>
  </si>
  <si>
    <t>1700952</t>
  </si>
  <si>
    <t>1701466</t>
  </si>
  <si>
    <t>김양균</t>
  </si>
  <si>
    <t>1800731</t>
  </si>
  <si>
    <t>이인욱</t>
  </si>
  <si>
    <t>1803367</t>
  </si>
  <si>
    <t>원영덕</t>
  </si>
  <si>
    <t>1901662</t>
  </si>
  <si>
    <t>이원균</t>
  </si>
  <si>
    <t>2000567</t>
  </si>
  <si>
    <t>정순문</t>
  </si>
  <si>
    <t>2100611</t>
  </si>
  <si>
    <t>전석현</t>
  </si>
  <si>
    <t>2100844</t>
  </si>
  <si>
    <t>김선동</t>
  </si>
  <si>
    <t>2101176</t>
  </si>
  <si>
    <t>김명곤</t>
  </si>
  <si>
    <t>2101265</t>
  </si>
  <si>
    <t>남기선</t>
  </si>
  <si>
    <t>2101851</t>
  </si>
  <si>
    <t>박동철</t>
  </si>
  <si>
    <t>2102902</t>
  </si>
  <si>
    <t>김성용</t>
  </si>
  <si>
    <t>2102977</t>
  </si>
  <si>
    <t>진태호</t>
  </si>
  <si>
    <t>2200048</t>
  </si>
  <si>
    <t>박진수</t>
  </si>
  <si>
    <t>2201172</t>
  </si>
  <si>
    <t>김정열</t>
  </si>
  <si>
    <t>2201484</t>
  </si>
  <si>
    <t>이수용</t>
  </si>
  <si>
    <t>2401038</t>
  </si>
  <si>
    <t>송필권</t>
  </si>
  <si>
    <t>2500484</t>
  </si>
  <si>
    <t>이종권</t>
  </si>
  <si>
    <t>2502696</t>
  </si>
  <si>
    <t>김학배</t>
  </si>
  <si>
    <t>1301374</t>
  </si>
  <si>
    <t>서보용</t>
  </si>
  <si>
    <t>1801761</t>
  </si>
  <si>
    <t>윤수용</t>
  </si>
  <si>
    <t>1903472</t>
  </si>
  <si>
    <t>김현구</t>
  </si>
  <si>
    <t>2100904</t>
  </si>
  <si>
    <t>고정운</t>
  </si>
  <si>
    <t>2203009</t>
  </si>
  <si>
    <t>전환희</t>
  </si>
  <si>
    <t>2204214</t>
  </si>
  <si>
    <t>박경천</t>
  </si>
  <si>
    <t>2401613</t>
  </si>
  <si>
    <t>2201955</t>
  </si>
  <si>
    <t>김대영</t>
  </si>
  <si>
    <t>1806750</t>
  </si>
  <si>
    <t>조주원</t>
  </si>
  <si>
    <t>2102399</t>
  </si>
  <si>
    <t>김효환</t>
  </si>
  <si>
    <t>2401037</t>
  </si>
  <si>
    <t>나현아</t>
  </si>
  <si>
    <t>1000521</t>
  </si>
  <si>
    <t>고한식</t>
  </si>
  <si>
    <t>2502799</t>
  </si>
  <si>
    <t>유동균</t>
  </si>
  <si>
    <t>2400307</t>
  </si>
  <si>
    <t>신재원</t>
  </si>
  <si>
    <t>2501816</t>
  </si>
  <si>
    <t>장윤선</t>
  </si>
  <si>
    <t>2501817</t>
  </si>
  <si>
    <t>김예원</t>
  </si>
  <si>
    <t>2502098</t>
  </si>
  <si>
    <t>최진희</t>
  </si>
  <si>
    <t>2502714</t>
  </si>
  <si>
    <t>김라영</t>
  </si>
  <si>
    <t>2502767</t>
  </si>
  <si>
    <t>하수정</t>
  </si>
  <si>
    <t>2502778</t>
  </si>
  <si>
    <t>유효경</t>
  </si>
  <si>
    <t>2301638</t>
  </si>
  <si>
    <t>이현식</t>
  </si>
  <si>
    <t>경호경비팀</t>
  </si>
  <si>
    <t>Security</t>
  </si>
  <si>
    <t>2200382</t>
  </si>
  <si>
    <t>2203088</t>
  </si>
  <si>
    <t>홍동기</t>
  </si>
  <si>
    <t>2203089</t>
  </si>
  <si>
    <t>성제우</t>
  </si>
  <si>
    <t>2203180</t>
  </si>
  <si>
    <t>김훈호</t>
  </si>
  <si>
    <t>2300328</t>
  </si>
  <si>
    <t>오봉근</t>
  </si>
  <si>
    <t>2301693</t>
  </si>
  <si>
    <t>조영주</t>
  </si>
  <si>
    <t>2303312</t>
  </si>
  <si>
    <t>임동원</t>
  </si>
  <si>
    <t>2400884</t>
  </si>
  <si>
    <t>최승욱</t>
  </si>
  <si>
    <t>2400885</t>
  </si>
  <si>
    <t>장선부</t>
  </si>
  <si>
    <t>특수</t>
  </si>
  <si>
    <t>2401689</t>
  </si>
  <si>
    <t>조영국</t>
  </si>
  <si>
    <t>2500594</t>
  </si>
  <si>
    <t>이창철</t>
  </si>
  <si>
    <t/>
  </si>
  <si>
    <t>2500661</t>
  </si>
  <si>
    <t>박준홍</t>
  </si>
  <si>
    <t>2501174</t>
  </si>
  <si>
    <t>김범진</t>
  </si>
  <si>
    <t>2501525</t>
  </si>
  <si>
    <t>하정훈</t>
  </si>
  <si>
    <t>2502060</t>
  </si>
  <si>
    <t>박종원</t>
  </si>
  <si>
    <t>2502493</t>
  </si>
  <si>
    <t>정무권</t>
  </si>
  <si>
    <t>1900012</t>
  </si>
  <si>
    <t>박준창</t>
  </si>
  <si>
    <t>2001189</t>
  </si>
  <si>
    <t>조성진</t>
  </si>
  <si>
    <t>2100958</t>
  </si>
  <si>
    <t>박병연</t>
  </si>
  <si>
    <t>2101859</t>
  </si>
  <si>
    <t>박기준</t>
  </si>
  <si>
    <t>2102782</t>
  </si>
  <si>
    <t>2201810</t>
  </si>
  <si>
    <t>허철영</t>
  </si>
  <si>
    <t>2202142</t>
  </si>
  <si>
    <t>김화국</t>
  </si>
  <si>
    <t>2202143</t>
  </si>
  <si>
    <t>이기호</t>
  </si>
  <si>
    <t>2202227</t>
  </si>
  <si>
    <t>이동효</t>
  </si>
  <si>
    <t>2202347</t>
  </si>
  <si>
    <t>이동원</t>
  </si>
  <si>
    <t>2202386</t>
  </si>
  <si>
    <t>배성진</t>
  </si>
  <si>
    <t>2204310</t>
  </si>
  <si>
    <t>소인섭</t>
  </si>
  <si>
    <t>2204311</t>
  </si>
  <si>
    <t>장원재</t>
  </si>
  <si>
    <t>2302994</t>
  </si>
  <si>
    <t>황윤성</t>
  </si>
  <si>
    <t>2303378</t>
  </si>
  <si>
    <t>이용규</t>
  </si>
  <si>
    <t>2303381</t>
  </si>
  <si>
    <t>정지수</t>
  </si>
  <si>
    <t>2400347</t>
  </si>
  <si>
    <t>허현</t>
  </si>
  <si>
    <t>2400441</t>
  </si>
  <si>
    <t>김문현</t>
  </si>
  <si>
    <t>2401023</t>
  </si>
  <si>
    <t>하명성</t>
  </si>
  <si>
    <t>2401688</t>
  </si>
  <si>
    <t>박정현</t>
  </si>
  <si>
    <t>2403214</t>
  </si>
  <si>
    <t>고승주</t>
  </si>
  <si>
    <t>2403906</t>
  </si>
  <si>
    <t>강수한</t>
  </si>
  <si>
    <t>2500527</t>
  </si>
  <si>
    <t>장우주</t>
  </si>
  <si>
    <t>2500595</t>
  </si>
  <si>
    <t>임구</t>
  </si>
  <si>
    <t>2500685</t>
  </si>
  <si>
    <t>이재호</t>
  </si>
  <si>
    <t>2501038</t>
  </si>
  <si>
    <t>안원기</t>
  </si>
  <si>
    <t>2501073</t>
  </si>
  <si>
    <t>구성우</t>
  </si>
  <si>
    <t>2501667</t>
  </si>
  <si>
    <t>임선웅</t>
  </si>
  <si>
    <t>2501844</t>
  </si>
  <si>
    <t>정치성</t>
  </si>
  <si>
    <t>2502203</t>
  </si>
  <si>
    <t>2502779</t>
  </si>
  <si>
    <t>김형태</t>
  </si>
  <si>
    <t>2502780</t>
  </si>
  <si>
    <t>김형우</t>
  </si>
  <si>
    <t>2200574</t>
  </si>
  <si>
    <t>이원상</t>
  </si>
  <si>
    <t>2200874</t>
  </si>
  <si>
    <t>김상홍</t>
  </si>
  <si>
    <t>2201809</t>
  </si>
  <si>
    <t>우동열</t>
  </si>
  <si>
    <t>2202348</t>
  </si>
  <si>
    <t>이주형</t>
  </si>
  <si>
    <t>2203008</t>
  </si>
  <si>
    <t>전현성</t>
  </si>
  <si>
    <t>2203017</t>
  </si>
  <si>
    <t>마지훈</t>
  </si>
  <si>
    <t>2203497</t>
  </si>
  <si>
    <t>박희륭</t>
  </si>
  <si>
    <t>2204312</t>
  </si>
  <si>
    <t>정재선</t>
  </si>
  <si>
    <t>2301111</t>
  </si>
  <si>
    <t>2301329</t>
  </si>
  <si>
    <t>유현석</t>
  </si>
  <si>
    <t>2301358</t>
  </si>
  <si>
    <t>김경오</t>
  </si>
  <si>
    <t>2301922</t>
  </si>
  <si>
    <t>임헌석</t>
  </si>
  <si>
    <t>2301937</t>
  </si>
  <si>
    <t>한수창</t>
  </si>
  <si>
    <t>2302197</t>
  </si>
  <si>
    <t>홍석훈</t>
  </si>
  <si>
    <t>2302549</t>
  </si>
  <si>
    <t>정준영</t>
  </si>
  <si>
    <t>2303309</t>
  </si>
  <si>
    <t>김병준</t>
  </si>
  <si>
    <t>2400050</t>
  </si>
  <si>
    <t>2400799</t>
  </si>
  <si>
    <t>2400864</t>
  </si>
  <si>
    <t>2401024</t>
  </si>
  <si>
    <t>박진원</t>
  </si>
  <si>
    <t>2403215</t>
  </si>
  <si>
    <t>유홍준</t>
  </si>
  <si>
    <t>2500163</t>
  </si>
  <si>
    <t>2500368</t>
  </si>
  <si>
    <t>2500369</t>
  </si>
  <si>
    <t>2500370</t>
  </si>
  <si>
    <t>박민형</t>
  </si>
  <si>
    <t>2500439</t>
  </si>
  <si>
    <t>차민재</t>
  </si>
  <si>
    <t>2500528</t>
  </si>
  <si>
    <t>이태민</t>
  </si>
  <si>
    <t>2500765</t>
  </si>
  <si>
    <t>방재창</t>
  </si>
  <si>
    <t>2500832</t>
  </si>
  <si>
    <t>정환주</t>
  </si>
  <si>
    <t>2500916</t>
  </si>
  <si>
    <t>2501040</t>
  </si>
  <si>
    <t>정광필</t>
  </si>
  <si>
    <t>2502083</t>
  </si>
  <si>
    <t>송정훈</t>
  </si>
  <si>
    <t>2502200</t>
  </si>
  <si>
    <t>2502652</t>
  </si>
  <si>
    <t>강대헌</t>
  </si>
  <si>
    <t>2200337</t>
  </si>
  <si>
    <t>권혁민</t>
  </si>
  <si>
    <t>2202175</t>
  </si>
  <si>
    <t>김유민</t>
  </si>
  <si>
    <t>2202259</t>
  </si>
  <si>
    <t>박진영</t>
  </si>
  <si>
    <t>2302274</t>
  </si>
  <si>
    <t>박태진</t>
  </si>
  <si>
    <t>2302690</t>
  </si>
  <si>
    <t>백민종</t>
  </si>
  <si>
    <t>2303238</t>
  </si>
  <si>
    <t>박은희</t>
  </si>
  <si>
    <t>2401018</t>
  </si>
  <si>
    <t>김성철</t>
  </si>
  <si>
    <t>2401020</t>
  </si>
  <si>
    <t>장재훈</t>
  </si>
  <si>
    <t>2401225</t>
  </si>
  <si>
    <t>양준영</t>
  </si>
  <si>
    <t>2500164</t>
  </si>
  <si>
    <t>이경진</t>
  </si>
  <si>
    <t>2500695</t>
  </si>
  <si>
    <t>구형석</t>
  </si>
  <si>
    <t>2502832</t>
  </si>
  <si>
    <t>김국현</t>
  </si>
  <si>
    <t>2400504</t>
  </si>
  <si>
    <t>김종란</t>
  </si>
  <si>
    <t>AS지방사업소(남부)</t>
  </si>
  <si>
    <t>현장</t>
    <phoneticPr fontId="1" type="noConversion"/>
  </si>
  <si>
    <t>AS시공(보)</t>
  </si>
  <si>
    <t>현전직</t>
    <phoneticPr fontId="1" type="noConversion"/>
  </si>
  <si>
    <t>2300991</t>
  </si>
  <si>
    <t>황소윤</t>
  </si>
  <si>
    <t>세종 주상복합 임대운영</t>
  </si>
  <si>
    <t>분양관리(보)</t>
  </si>
  <si>
    <t>2102056</t>
  </si>
  <si>
    <t>김현준</t>
  </si>
  <si>
    <t>관리(보)</t>
  </si>
  <si>
    <t>2203441</t>
  </si>
  <si>
    <t>김일호</t>
  </si>
  <si>
    <t>건축반장</t>
  </si>
  <si>
    <t>2200718</t>
  </si>
  <si>
    <t>윤신재</t>
  </si>
  <si>
    <t>시험(보)</t>
  </si>
  <si>
    <t>보건(보)</t>
  </si>
  <si>
    <t>2401611</t>
  </si>
  <si>
    <t>황태진</t>
  </si>
  <si>
    <t>2401658</t>
  </si>
  <si>
    <t>강손기</t>
  </si>
  <si>
    <t>2302338</t>
  </si>
  <si>
    <t>강인호</t>
  </si>
  <si>
    <t>시공(보)</t>
  </si>
  <si>
    <t>2500229</t>
  </si>
  <si>
    <t>김세찬</t>
  </si>
  <si>
    <t>안전(보)</t>
  </si>
  <si>
    <t>2302318</t>
  </si>
  <si>
    <t>신완철</t>
  </si>
  <si>
    <t>안전반장</t>
  </si>
  <si>
    <t>2302593</t>
  </si>
  <si>
    <t>유창현</t>
  </si>
  <si>
    <t>2302146</t>
  </si>
  <si>
    <t>윤경태</t>
  </si>
  <si>
    <t>2302594</t>
  </si>
  <si>
    <t>이봉우</t>
  </si>
  <si>
    <t>전기반장</t>
  </si>
  <si>
    <t>2403672</t>
  </si>
  <si>
    <t>이재근</t>
  </si>
  <si>
    <t>2303358</t>
  </si>
  <si>
    <t>정휘영</t>
  </si>
  <si>
    <t>2400704</t>
  </si>
  <si>
    <t>조윤후</t>
  </si>
  <si>
    <t>2303193</t>
  </si>
  <si>
    <t>최재현</t>
  </si>
  <si>
    <t>2500192</t>
  </si>
  <si>
    <t>길범균</t>
  </si>
  <si>
    <t>서울 아레나 복합문화시설</t>
  </si>
  <si>
    <t>2500943</t>
  </si>
  <si>
    <t>박영웅</t>
  </si>
  <si>
    <t>2303322</t>
  </si>
  <si>
    <t>윤경현</t>
  </si>
  <si>
    <t>2400719</t>
  </si>
  <si>
    <t>이만호</t>
  </si>
  <si>
    <t>2400644</t>
  </si>
  <si>
    <t>이상관</t>
  </si>
  <si>
    <t>2400764</t>
  </si>
  <si>
    <t>이선아</t>
  </si>
  <si>
    <t>CAD</t>
  </si>
  <si>
    <t>2501308</t>
  </si>
  <si>
    <t>이승은</t>
  </si>
  <si>
    <t>2401349</t>
  </si>
  <si>
    <t>이종하</t>
  </si>
  <si>
    <t>2401434</t>
  </si>
  <si>
    <t>임정호</t>
  </si>
  <si>
    <t>2400592</t>
  </si>
  <si>
    <t>전지성</t>
  </si>
  <si>
    <t>2501524</t>
  </si>
  <si>
    <t>2400793</t>
  </si>
  <si>
    <t>홍성민</t>
  </si>
  <si>
    <t>2500497</t>
  </si>
  <si>
    <t>2501128</t>
  </si>
  <si>
    <t>박상선</t>
  </si>
  <si>
    <t>대전 쿠팡 물류센터 하자</t>
  </si>
  <si>
    <t>2500906</t>
  </si>
  <si>
    <t>이영균</t>
  </si>
  <si>
    <t>천안 순천향대 새병원 하자</t>
  </si>
  <si>
    <t>2501318</t>
  </si>
  <si>
    <t>박진형</t>
  </si>
  <si>
    <t>인천공항 제2터미널 확장 하자</t>
  </si>
  <si>
    <t>2502744</t>
  </si>
  <si>
    <t>김용희</t>
  </si>
  <si>
    <t>서울 여의도 Y-eDC 개발사업 본현장</t>
  </si>
  <si>
    <t>2502794</t>
  </si>
  <si>
    <t>김준혁</t>
  </si>
  <si>
    <t>2502687</t>
  </si>
  <si>
    <t>김태원</t>
  </si>
  <si>
    <t>2502642</t>
  </si>
  <si>
    <t>최해국</t>
  </si>
  <si>
    <t>2101970</t>
  </si>
  <si>
    <t>강민주</t>
  </si>
  <si>
    <t>2400910</t>
  </si>
  <si>
    <t>강은진</t>
  </si>
  <si>
    <t>2300437</t>
  </si>
  <si>
    <t>고봉균</t>
  </si>
  <si>
    <t>2204360</t>
  </si>
  <si>
    <t>곽윤구</t>
  </si>
  <si>
    <t>2401131</t>
  </si>
  <si>
    <t>김영배</t>
  </si>
  <si>
    <t>2301122</t>
  </si>
  <si>
    <t>2300838</t>
  </si>
  <si>
    <t>문종인</t>
  </si>
  <si>
    <t>공무(보)</t>
  </si>
  <si>
    <t>2303304</t>
  </si>
  <si>
    <t>배원</t>
  </si>
  <si>
    <t>2204453</t>
  </si>
  <si>
    <t>손효진</t>
  </si>
  <si>
    <t>2203045</t>
  </si>
  <si>
    <t>유영준</t>
  </si>
  <si>
    <t>2400699</t>
  </si>
  <si>
    <t>2401133</t>
  </si>
  <si>
    <t>강성제</t>
  </si>
  <si>
    <t>2401308</t>
  </si>
  <si>
    <t>김기한</t>
  </si>
  <si>
    <t>2302023</t>
  </si>
  <si>
    <t>김영식</t>
  </si>
  <si>
    <t>2204122</t>
  </si>
  <si>
    <t>김영창</t>
  </si>
  <si>
    <t>2202997</t>
  </si>
  <si>
    <t>김주완</t>
  </si>
  <si>
    <t>2500187</t>
  </si>
  <si>
    <t>2301093</t>
  </si>
  <si>
    <t>선보람</t>
  </si>
  <si>
    <t>2502688</t>
  </si>
  <si>
    <t>윤여진</t>
  </si>
  <si>
    <t>2302912</t>
  </si>
  <si>
    <t>이정복</t>
  </si>
  <si>
    <t>2300425</t>
  </si>
  <si>
    <t>이효곤</t>
  </si>
  <si>
    <t>2300827</t>
  </si>
  <si>
    <t>임병섭</t>
  </si>
  <si>
    <t>2501119</t>
  </si>
  <si>
    <t>광교컨벤션 꿈에그린 하자</t>
  </si>
  <si>
    <t>2200432</t>
  </si>
  <si>
    <t>이정희</t>
  </si>
  <si>
    <t>당리2구역 재개발 사업비(선급)</t>
  </si>
  <si>
    <t>1907145</t>
  </si>
  <si>
    <t>강은혜</t>
  </si>
  <si>
    <t>전주에코시티 주상복합 분양</t>
  </si>
  <si>
    <t>2502192</t>
  </si>
  <si>
    <t>판교아이스퀘어C2 하자</t>
  </si>
  <si>
    <t>2502763</t>
  </si>
  <si>
    <t>김성운</t>
  </si>
  <si>
    <t>2502579</t>
  </si>
  <si>
    <t>2502526</t>
  </si>
  <si>
    <t>박석기</t>
  </si>
  <si>
    <t>2500339</t>
  </si>
  <si>
    <t>윤환태</t>
  </si>
  <si>
    <t>2400788</t>
  </si>
  <si>
    <t>고현수</t>
  </si>
  <si>
    <t>2401322</t>
  </si>
  <si>
    <t>곽수진</t>
  </si>
  <si>
    <t>2300829</t>
  </si>
  <si>
    <t>김정기</t>
  </si>
  <si>
    <t>2300576</t>
  </si>
  <si>
    <t>라순복</t>
  </si>
  <si>
    <t>2401664</t>
  </si>
  <si>
    <t>박은숙</t>
  </si>
  <si>
    <t>2401749</t>
  </si>
  <si>
    <t>신용우</t>
  </si>
  <si>
    <t>2204288</t>
  </si>
  <si>
    <t>심길연</t>
  </si>
  <si>
    <t>2301968</t>
  </si>
  <si>
    <t>유재민</t>
  </si>
  <si>
    <t>2400164</t>
  </si>
  <si>
    <t>윤선학</t>
  </si>
  <si>
    <t>2500565</t>
  </si>
  <si>
    <t>이우경</t>
  </si>
  <si>
    <t>2500185</t>
  </si>
  <si>
    <t>이준경</t>
  </si>
  <si>
    <t>2302688</t>
  </si>
  <si>
    <t>김승현</t>
  </si>
  <si>
    <t>2202587</t>
  </si>
  <si>
    <t>박차준</t>
  </si>
  <si>
    <t>2301307</t>
  </si>
  <si>
    <t>신금성</t>
  </si>
  <si>
    <t>2302825</t>
  </si>
  <si>
    <t>강성인</t>
  </si>
  <si>
    <t>2401416</t>
  </si>
  <si>
    <t>강종한</t>
  </si>
  <si>
    <t>2400479</t>
  </si>
  <si>
    <t>서영훈</t>
  </si>
  <si>
    <t>2400478</t>
  </si>
  <si>
    <t>양현범</t>
  </si>
  <si>
    <t>2501761</t>
  </si>
  <si>
    <t>이상호</t>
  </si>
  <si>
    <t>2301867</t>
  </si>
  <si>
    <t>이재윤</t>
  </si>
  <si>
    <t>2303025</t>
  </si>
  <si>
    <t>황규만</t>
  </si>
  <si>
    <t>2500566</t>
  </si>
  <si>
    <t>한유정</t>
  </si>
  <si>
    <t>2502689</t>
  </si>
  <si>
    <t>마영근</t>
  </si>
  <si>
    <t>2403703</t>
  </si>
  <si>
    <t>강승우</t>
  </si>
  <si>
    <t>강북 미아삼양 주상복합</t>
  </si>
  <si>
    <t>2202696</t>
  </si>
  <si>
    <t>김대연</t>
  </si>
  <si>
    <t>2300018</t>
  </si>
  <si>
    <t>최호열</t>
  </si>
  <si>
    <t>2403193</t>
  </si>
  <si>
    <t>강석일</t>
  </si>
  <si>
    <t>2202593</t>
  </si>
  <si>
    <t>권형택</t>
  </si>
  <si>
    <t>2302810</t>
  </si>
  <si>
    <t>2301708</t>
  </si>
  <si>
    <t>2303327</t>
  </si>
  <si>
    <t>배종희</t>
  </si>
  <si>
    <t>2403841</t>
  </si>
  <si>
    <t>서우송</t>
  </si>
  <si>
    <t>2302352</t>
  </si>
  <si>
    <t>신범호</t>
  </si>
  <si>
    <t>2203234</t>
  </si>
  <si>
    <t>안정웅</t>
  </si>
  <si>
    <t>2201794</t>
  </si>
  <si>
    <t>원종열</t>
  </si>
  <si>
    <t>2401645</t>
  </si>
  <si>
    <t>이준수</t>
  </si>
  <si>
    <t>2201471</t>
  </si>
  <si>
    <t>정민영</t>
  </si>
  <si>
    <t>2201802</t>
  </si>
  <si>
    <t>진상호</t>
  </si>
  <si>
    <t>2302811</t>
  </si>
  <si>
    <t>최윤건</t>
  </si>
  <si>
    <t>2201926</t>
  </si>
  <si>
    <t>황인귀</t>
  </si>
  <si>
    <t>2203065</t>
  </si>
  <si>
    <t>유승민</t>
  </si>
  <si>
    <t>청주 매봉공원 분양</t>
  </si>
  <si>
    <t>2400357</t>
  </si>
  <si>
    <t>강희관</t>
  </si>
  <si>
    <t>2400201</t>
  </si>
  <si>
    <t>2400266</t>
  </si>
  <si>
    <t>김명진</t>
  </si>
  <si>
    <t>2303346</t>
  </si>
  <si>
    <t>나주영</t>
  </si>
  <si>
    <t>2400263</t>
  </si>
  <si>
    <t>신세은</t>
  </si>
  <si>
    <t>2401132</t>
  </si>
  <si>
    <t>이장원</t>
  </si>
  <si>
    <t>2400358</t>
  </si>
  <si>
    <t>임대수</t>
  </si>
  <si>
    <t>2403248</t>
  </si>
  <si>
    <t>전준요</t>
  </si>
  <si>
    <t>아산 배방 생활숙박시설 분양</t>
  </si>
  <si>
    <t>2300350</t>
  </si>
  <si>
    <t>고민석</t>
  </si>
  <si>
    <t>2204384</t>
  </si>
  <si>
    <t>고태권</t>
  </si>
  <si>
    <t>2303076</t>
  </si>
  <si>
    <t>권영삼</t>
  </si>
  <si>
    <t>2302045</t>
  </si>
  <si>
    <t>김규옥</t>
  </si>
  <si>
    <t>2203614</t>
  </si>
  <si>
    <t>김범영</t>
  </si>
  <si>
    <t>2303137</t>
  </si>
  <si>
    <t>김송희</t>
  </si>
  <si>
    <t>2303141</t>
  </si>
  <si>
    <t>김태수</t>
  </si>
  <si>
    <t>2301779</t>
  </si>
  <si>
    <t>박명우</t>
  </si>
  <si>
    <t>2500183</t>
  </si>
  <si>
    <t>박종철</t>
  </si>
  <si>
    <t>2301778</t>
  </si>
  <si>
    <t>손승주</t>
  </si>
  <si>
    <t>2400466</t>
  </si>
  <si>
    <t>신동엽</t>
  </si>
  <si>
    <t>2400327</t>
  </si>
  <si>
    <t>윤운구</t>
  </si>
  <si>
    <t>2400985</t>
  </si>
  <si>
    <t>이용훈</t>
  </si>
  <si>
    <t>2203474</t>
  </si>
  <si>
    <t>최종진</t>
  </si>
  <si>
    <t>2400465</t>
  </si>
  <si>
    <t>허경훈</t>
  </si>
  <si>
    <t>2401233</t>
  </si>
  <si>
    <t>황성하</t>
  </si>
  <si>
    <t>2403195</t>
  </si>
  <si>
    <t>안명수</t>
  </si>
  <si>
    <t>천안 두정 공동주택 하자</t>
  </si>
  <si>
    <t>2401317</t>
  </si>
  <si>
    <t>이희영</t>
  </si>
  <si>
    <t>2401316</t>
  </si>
  <si>
    <t>최승호</t>
  </si>
  <si>
    <t>2502947</t>
  </si>
  <si>
    <t>박미영</t>
  </si>
  <si>
    <t>강북 미아 삼양 주상복합 분양</t>
  </si>
  <si>
    <t>2202846</t>
  </si>
  <si>
    <t>송송희</t>
  </si>
  <si>
    <t>2502800</t>
  </si>
  <si>
    <t>장혜민</t>
  </si>
  <si>
    <t>제주 대정 공동주택 분양</t>
  </si>
  <si>
    <t>2300470</t>
  </si>
  <si>
    <t>조은혜</t>
  </si>
  <si>
    <t>대전 월평공원 분양</t>
  </si>
  <si>
    <t>2203846</t>
  </si>
  <si>
    <t>이희우</t>
  </si>
  <si>
    <t>2303357</t>
  </si>
  <si>
    <t>조한규</t>
  </si>
  <si>
    <t>2400892</t>
  </si>
  <si>
    <t>최건웅</t>
  </si>
  <si>
    <t>2400234</t>
  </si>
  <si>
    <t>윤미나</t>
  </si>
  <si>
    <t>평택 화양지구 7-2BL 공동주택 분양</t>
  </si>
  <si>
    <t>2302322</t>
  </si>
  <si>
    <t>김가연</t>
  </si>
  <si>
    <t>대전 학하 민간임대 분양</t>
  </si>
  <si>
    <t>2301392</t>
  </si>
  <si>
    <t>한아름</t>
  </si>
  <si>
    <t>2501034</t>
  </si>
  <si>
    <t>김민규</t>
  </si>
  <si>
    <t>2400145</t>
  </si>
  <si>
    <t>김종성</t>
  </si>
  <si>
    <t>2400475</t>
  </si>
  <si>
    <t>노철주</t>
  </si>
  <si>
    <t>2303442</t>
  </si>
  <si>
    <t>송일석</t>
  </si>
  <si>
    <t>2303175</t>
  </si>
  <si>
    <t>안기호</t>
  </si>
  <si>
    <t>2400861</t>
  </si>
  <si>
    <t>류현애</t>
  </si>
  <si>
    <t>고잔연립 9구역 분양</t>
  </si>
  <si>
    <t>2401745</t>
  </si>
  <si>
    <t>박재종</t>
  </si>
  <si>
    <t>2402064</t>
  </si>
  <si>
    <t>전주에코시티 주상복합 하자</t>
  </si>
  <si>
    <t>2500355</t>
  </si>
  <si>
    <t>김강일</t>
  </si>
  <si>
    <t>2502428</t>
  </si>
  <si>
    <t>김문성</t>
  </si>
  <si>
    <t>2501709</t>
  </si>
  <si>
    <t>2500894</t>
  </si>
  <si>
    <t>2303083</t>
  </si>
  <si>
    <t>박성규</t>
  </si>
  <si>
    <t>2403239</t>
  </si>
  <si>
    <t>윤태근</t>
  </si>
  <si>
    <t>2403196</t>
  </si>
  <si>
    <t>이은신</t>
  </si>
  <si>
    <t>2500336</t>
  </si>
  <si>
    <t>임영식</t>
  </si>
  <si>
    <t>2500464</t>
  </si>
  <si>
    <t>정세민</t>
  </si>
  <si>
    <t>2403365</t>
  </si>
  <si>
    <t>구계홍</t>
  </si>
  <si>
    <t>2500262</t>
  </si>
  <si>
    <t>김상진</t>
  </si>
  <si>
    <t>박선아</t>
  </si>
  <si>
    <t>2402035</t>
  </si>
  <si>
    <t>신수철</t>
  </si>
  <si>
    <t>2502948</t>
  </si>
  <si>
    <t>최범석</t>
  </si>
  <si>
    <t>2403907</t>
  </si>
  <si>
    <t>김정훈</t>
  </si>
  <si>
    <t>당리2구역 재개발</t>
  </si>
  <si>
    <t>2403321</t>
  </si>
  <si>
    <t>김홍복</t>
  </si>
  <si>
    <t>2403761</t>
  </si>
  <si>
    <t>주환익</t>
  </si>
  <si>
    <t>2303354</t>
  </si>
  <si>
    <t>현동엽</t>
  </si>
  <si>
    <t>2303336</t>
  </si>
  <si>
    <t>이유진</t>
  </si>
  <si>
    <t>도마변동9구역 재개발 분양</t>
  </si>
  <si>
    <t>2400871</t>
  </si>
  <si>
    <t>강태욱</t>
  </si>
  <si>
    <t>2401390</t>
  </si>
  <si>
    <t>2501564</t>
  </si>
  <si>
    <t>이현호</t>
  </si>
  <si>
    <t>2401096</t>
  </si>
  <si>
    <t>조원석</t>
  </si>
  <si>
    <t>2401313</t>
  </si>
  <si>
    <t>이성화</t>
  </si>
  <si>
    <t>2400911</t>
  </si>
  <si>
    <t>최정웅</t>
  </si>
  <si>
    <t>2401315</t>
  </si>
  <si>
    <t>복진찬</t>
  </si>
  <si>
    <t>2401744</t>
  </si>
  <si>
    <t>김우종</t>
  </si>
  <si>
    <t>덕천2구역 재건축 하자</t>
  </si>
  <si>
    <t>2500340</t>
  </si>
  <si>
    <t>이영철</t>
  </si>
  <si>
    <t>구혜진</t>
  </si>
  <si>
    <t>2401341</t>
  </si>
  <si>
    <t>양재봉</t>
  </si>
  <si>
    <t>2400508</t>
  </si>
  <si>
    <t>허건</t>
  </si>
  <si>
    <t>사무(보)</t>
  </si>
  <si>
    <t>2501555</t>
  </si>
  <si>
    <t>김영욱</t>
  </si>
  <si>
    <t>천안신부동APT하자</t>
  </si>
  <si>
    <t>2400709</t>
  </si>
  <si>
    <t>류태영</t>
  </si>
  <si>
    <t>2400872</t>
  </si>
  <si>
    <t>곽효건</t>
  </si>
  <si>
    <t>인천다복마을 재개발 하자</t>
  </si>
  <si>
    <t>2400893</t>
  </si>
  <si>
    <t>김병주</t>
  </si>
  <si>
    <t>2401389</t>
  </si>
  <si>
    <t>이상미</t>
  </si>
  <si>
    <t>2501274</t>
  </si>
  <si>
    <t>김문수</t>
  </si>
  <si>
    <t>2401391</t>
  </si>
  <si>
    <t>김일영</t>
  </si>
  <si>
    <t>2401064</t>
  </si>
  <si>
    <t>김정윤</t>
  </si>
  <si>
    <t>2403348</t>
  </si>
  <si>
    <t>포항 학천리 공동주택 하자</t>
  </si>
  <si>
    <t>2501290</t>
  </si>
  <si>
    <t>정창균</t>
  </si>
  <si>
    <t>2401398</t>
  </si>
  <si>
    <t>박춘삼</t>
  </si>
  <si>
    <t>2500338</t>
  </si>
  <si>
    <t>장창민</t>
  </si>
  <si>
    <t>2401649</t>
  </si>
  <si>
    <t>이민지</t>
  </si>
  <si>
    <t>용산주공 재건축 분양</t>
  </si>
  <si>
    <t>2502040</t>
  </si>
  <si>
    <t>김기돈</t>
  </si>
  <si>
    <t>서울역 북부역세권 복합개발</t>
  </si>
  <si>
    <t>2500459</t>
  </si>
  <si>
    <t>김대호</t>
  </si>
  <si>
    <t>2403756</t>
  </si>
  <si>
    <t>김병철</t>
  </si>
  <si>
    <t>2502249</t>
  </si>
  <si>
    <t>김은정</t>
  </si>
  <si>
    <t>설계(보)</t>
  </si>
  <si>
    <t>2500538</t>
  </si>
  <si>
    <t>김희수</t>
  </si>
  <si>
    <t>2502089</t>
  </si>
  <si>
    <t>박세환</t>
  </si>
  <si>
    <t>2500512</t>
  </si>
  <si>
    <t>오주영</t>
  </si>
  <si>
    <t>이도균</t>
  </si>
  <si>
    <t>2501866</t>
  </si>
  <si>
    <t>이동령</t>
  </si>
  <si>
    <t>2501107</t>
  </si>
  <si>
    <t>이완규</t>
  </si>
  <si>
    <t>2403698</t>
  </si>
  <si>
    <t>이화룡</t>
  </si>
  <si>
    <t>2403699</t>
  </si>
  <si>
    <t>장희재</t>
  </si>
  <si>
    <t>2501133</t>
  </si>
  <si>
    <t>최남열</t>
  </si>
  <si>
    <t>2500191</t>
  </si>
  <si>
    <t>최원웅</t>
  </si>
  <si>
    <t>2500260</t>
  </si>
  <si>
    <t>최정현</t>
  </si>
  <si>
    <t>2403809</t>
  </si>
  <si>
    <t>한승송</t>
  </si>
  <si>
    <t>2501229</t>
  </si>
  <si>
    <t>김광현</t>
  </si>
  <si>
    <t>천안 노태공원 하자</t>
  </si>
  <si>
    <t>2500203</t>
  </si>
  <si>
    <t>황소원</t>
  </si>
  <si>
    <t>부산대연 재건축 분양</t>
  </si>
  <si>
    <t>2501512</t>
  </si>
  <si>
    <t>이중순</t>
  </si>
  <si>
    <t>오시리아 메디타운 하자</t>
  </si>
  <si>
    <t>2501550</t>
  </si>
  <si>
    <t>최용</t>
  </si>
  <si>
    <t>덕천3 재건축 하자</t>
  </si>
  <si>
    <t>2502574</t>
  </si>
  <si>
    <t>상인천초교주변 재개발 분양</t>
  </si>
  <si>
    <t>2502575</t>
  </si>
  <si>
    <t>장보람</t>
  </si>
  <si>
    <t>2501776</t>
  </si>
  <si>
    <t>김선영</t>
  </si>
  <si>
    <t>2501821</t>
  </si>
  <si>
    <t>이건희</t>
  </si>
  <si>
    <t>2502293</t>
  </si>
  <si>
    <t>남명규</t>
  </si>
  <si>
    <t>울산 무거동 공동주택</t>
  </si>
  <si>
    <t>2502542</t>
  </si>
  <si>
    <t>박정환</t>
  </si>
  <si>
    <t>2502326</t>
  </si>
  <si>
    <t>양상원</t>
  </si>
  <si>
    <t>장슬기</t>
  </si>
  <si>
    <t>2502573</t>
  </si>
  <si>
    <t>장한빛</t>
  </si>
  <si>
    <t>2502074</t>
  </si>
  <si>
    <t>이유경</t>
  </si>
  <si>
    <t>울산 무거동 공동주택 분양</t>
  </si>
  <si>
    <t>2500576</t>
  </si>
  <si>
    <t>박지수</t>
  </si>
  <si>
    <t>2100951</t>
  </si>
  <si>
    <t>신현실</t>
  </si>
  <si>
    <t>2502296</t>
  </si>
  <si>
    <t>임혜정</t>
  </si>
  <si>
    <t>2301774</t>
  </si>
  <si>
    <t>김미연</t>
  </si>
  <si>
    <t>춘천 프리미엄 빌리지</t>
  </si>
  <si>
    <t>2301952</t>
  </si>
  <si>
    <t>심은주</t>
  </si>
  <si>
    <t>2303289</t>
  </si>
  <si>
    <t>2502962</t>
  </si>
  <si>
    <t>박현진</t>
  </si>
  <si>
    <t>2201155</t>
  </si>
  <si>
    <t>오선주</t>
  </si>
  <si>
    <t>2203256</t>
  </si>
  <si>
    <t>임혜윤</t>
  </si>
  <si>
    <t>2103093</t>
  </si>
  <si>
    <t>정유민</t>
  </si>
  <si>
    <t>2202586</t>
  </si>
  <si>
    <t>최현경</t>
  </si>
  <si>
    <t>2301868</t>
  </si>
  <si>
    <t>허혜란</t>
  </si>
  <si>
    <t>2200677</t>
  </si>
  <si>
    <t>원경호</t>
  </si>
  <si>
    <t>2400158</t>
  </si>
  <si>
    <t>손혜진</t>
  </si>
  <si>
    <t>2203442</t>
  </si>
  <si>
    <t>함경화</t>
  </si>
  <si>
    <t>2502117</t>
  </si>
  <si>
    <t>이수정</t>
  </si>
  <si>
    <t>2303361</t>
  </si>
  <si>
    <t>2401709</t>
  </si>
  <si>
    <t>제정순</t>
  </si>
  <si>
    <t>2500751</t>
  </si>
  <si>
    <t>임성희</t>
  </si>
  <si>
    <t>2403317</t>
  </si>
  <si>
    <t>박선영</t>
  </si>
  <si>
    <t>2403740</t>
  </si>
  <si>
    <t>김다인</t>
  </si>
  <si>
    <t>2502327</t>
  </si>
  <si>
    <t>이은지</t>
  </si>
  <si>
    <t>2300876</t>
  </si>
  <si>
    <t>1905184</t>
  </si>
  <si>
    <t>김희윤</t>
  </si>
  <si>
    <t>1804916</t>
  </si>
  <si>
    <t>김병수</t>
  </si>
  <si>
    <t>2002567</t>
  </si>
  <si>
    <t>김종덕</t>
  </si>
  <si>
    <t>2302878</t>
  </si>
  <si>
    <t>이동열</t>
  </si>
  <si>
    <t>2201423</t>
  </si>
  <si>
    <t>이유림</t>
  </si>
  <si>
    <t>2400974</t>
  </si>
  <si>
    <t>1702218</t>
  </si>
  <si>
    <t>정의정</t>
  </si>
  <si>
    <t>2202221</t>
  </si>
  <si>
    <t>김경렬</t>
  </si>
  <si>
    <t>2302448</t>
  </si>
  <si>
    <t>김동화</t>
  </si>
  <si>
    <t>1902159</t>
  </si>
  <si>
    <t>김애숙</t>
  </si>
  <si>
    <t>2401100</t>
  </si>
  <si>
    <t>김주현</t>
  </si>
  <si>
    <t>2203634</t>
  </si>
  <si>
    <t>손윤상</t>
  </si>
  <si>
    <t>2101896</t>
  </si>
  <si>
    <t>이규헌</t>
  </si>
  <si>
    <t>2500461</t>
  </si>
  <si>
    <t>이상효</t>
  </si>
  <si>
    <t>2100875</t>
  </si>
  <si>
    <t>정재영</t>
  </si>
  <si>
    <t>2400567</t>
  </si>
  <si>
    <t>조성민</t>
  </si>
  <si>
    <t>2502685</t>
  </si>
  <si>
    <t>홍기도</t>
  </si>
  <si>
    <t>2200316</t>
  </si>
  <si>
    <t>황승민</t>
  </si>
  <si>
    <t>2400576</t>
  </si>
  <si>
    <t>고병근</t>
  </si>
  <si>
    <t>2301864</t>
  </si>
  <si>
    <t>2000541</t>
  </si>
  <si>
    <t>이건호</t>
  </si>
  <si>
    <t>2300807</t>
  </si>
  <si>
    <t>이성택</t>
  </si>
  <si>
    <t>2501338</t>
  </si>
  <si>
    <t>정영태</t>
  </si>
  <si>
    <t>2401277</t>
  </si>
  <si>
    <t>정진희</t>
  </si>
  <si>
    <t>2302117</t>
  </si>
  <si>
    <t>하영문</t>
  </si>
  <si>
    <t>2102273</t>
  </si>
  <si>
    <t>김문호</t>
  </si>
  <si>
    <t>2400138</t>
  </si>
  <si>
    <t>노진우</t>
  </si>
  <si>
    <t>2203717</t>
  </si>
  <si>
    <t>박동일</t>
  </si>
  <si>
    <t>2403286</t>
  </si>
  <si>
    <t>엄태균</t>
  </si>
  <si>
    <t>2102858</t>
  </si>
  <si>
    <t>원대웅</t>
  </si>
  <si>
    <t>2203920</t>
  </si>
  <si>
    <t>유영기</t>
  </si>
  <si>
    <t>2502797</t>
  </si>
  <si>
    <t>윤효종</t>
  </si>
  <si>
    <t>2502798</t>
  </si>
  <si>
    <t>이성운</t>
  </si>
  <si>
    <t>2400771</t>
  </si>
  <si>
    <t>이신용</t>
  </si>
  <si>
    <t>2400938</t>
  </si>
  <si>
    <t>이정권</t>
  </si>
  <si>
    <t>2102859</t>
  </si>
  <si>
    <t>정형택</t>
  </si>
  <si>
    <t>2303152</t>
  </si>
  <si>
    <t>최재헌</t>
  </si>
  <si>
    <t>2402023</t>
  </si>
  <si>
    <t>양지호</t>
  </si>
  <si>
    <t>2204123</t>
  </si>
  <si>
    <t>오혜웅</t>
  </si>
  <si>
    <t>2500280</t>
  </si>
  <si>
    <t>정석민</t>
  </si>
  <si>
    <t>김민재</t>
  </si>
  <si>
    <t>노상수</t>
  </si>
  <si>
    <t>2301344</t>
  </si>
  <si>
    <t>박민성</t>
  </si>
  <si>
    <t>2400748</t>
  </si>
  <si>
    <t>박준호</t>
  </si>
  <si>
    <t>성대현</t>
  </si>
  <si>
    <t>2303159</t>
  </si>
  <si>
    <t>이승호</t>
  </si>
  <si>
    <t>2301769</t>
  </si>
  <si>
    <t>임채균</t>
  </si>
  <si>
    <t>2300939</t>
  </si>
  <si>
    <t>2501220</t>
  </si>
  <si>
    <t>정수빈</t>
  </si>
  <si>
    <t>2403253</t>
  </si>
  <si>
    <t>추헌봉</t>
  </si>
  <si>
    <t>2102288</t>
  </si>
  <si>
    <t>한성진</t>
  </si>
  <si>
    <t>2400659</t>
  </si>
  <si>
    <t>황호금</t>
  </si>
  <si>
    <t>2400789</t>
  </si>
  <si>
    <t>김종하</t>
  </si>
  <si>
    <t>2502197</t>
  </si>
  <si>
    <t>2301397</t>
  </si>
  <si>
    <t>박상돈</t>
  </si>
  <si>
    <t>2301310</t>
  </si>
  <si>
    <t>신영민</t>
  </si>
  <si>
    <t>2400543</t>
  </si>
  <si>
    <t>원성종</t>
  </si>
  <si>
    <t>2102382</t>
  </si>
  <si>
    <t>정성현</t>
  </si>
  <si>
    <t>2202796</t>
  </si>
  <si>
    <t>최재연</t>
  </si>
  <si>
    <t>2500181</t>
  </si>
  <si>
    <t>곽성곤</t>
  </si>
  <si>
    <t>2101065</t>
  </si>
  <si>
    <t>2203730</t>
  </si>
  <si>
    <t>2301084</t>
  </si>
  <si>
    <t>2502715</t>
  </si>
  <si>
    <t>박준혁</t>
  </si>
  <si>
    <t>2102157</t>
  </si>
  <si>
    <t>이정일</t>
  </si>
  <si>
    <t>2201761</t>
  </si>
  <si>
    <t>장현무</t>
  </si>
  <si>
    <t>2501547</t>
  </si>
  <si>
    <t>조준현</t>
  </si>
  <si>
    <t>2401685</t>
  </si>
  <si>
    <t>구자성</t>
  </si>
  <si>
    <t>2101579</t>
  </si>
  <si>
    <t>박단춘</t>
  </si>
  <si>
    <t>2501759</t>
  </si>
  <si>
    <t>오병윤</t>
  </si>
  <si>
    <t>2501548</t>
  </si>
  <si>
    <t>오태윤</t>
  </si>
  <si>
    <t>2201817</t>
  </si>
  <si>
    <t>이수학</t>
  </si>
  <si>
    <t>2403260</t>
  </si>
  <si>
    <t>김성도</t>
  </si>
  <si>
    <t>2502625</t>
  </si>
  <si>
    <t>김한빈</t>
  </si>
  <si>
    <t>2301700</t>
  </si>
  <si>
    <t>유민종</t>
  </si>
  <si>
    <t>2502300</t>
  </si>
  <si>
    <t>이건영</t>
  </si>
  <si>
    <t>2502452</t>
  </si>
  <si>
    <t>이선호</t>
  </si>
  <si>
    <t>2301950</t>
  </si>
  <si>
    <t>이홍원</t>
  </si>
  <si>
    <t>2400117</t>
  </si>
  <si>
    <t>조성은</t>
  </si>
  <si>
    <t>2403247</t>
  </si>
  <si>
    <t>김다은</t>
  </si>
  <si>
    <t>2302056</t>
  </si>
  <si>
    <t>2303056</t>
  </si>
  <si>
    <t>2400065</t>
  </si>
  <si>
    <t>오병훈</t>
  </si>
  <si>
    <t>2101673</t>
  </si>
  <si>
    <t>왕태경</t>
  </si>
  <si>
    <t>2502429</t>
  </si>
  <si>
    <t>이혁진</t>
  </si>
  <si>
    <t>2202299</t>
  </si>
  <si>
    <t>임진영</t>
  </si>
  <si>
    <t>2500178</t>
  </si>
  <si>
    <t>한형근</t>
  </si>
  <si>
    <t>2400388</t>
  </si>
  <si>
    <t>문태웅</t>
  </si>
  <si>
    <t>2301267</t>
  </si>
  <si>
    <t>손성호</t>
  </si>
  <si>
    <t>2102975</t>
  </si>
  <si>
    <t>임주홍</t>
  </si>
  <si>
    <t>2401080</t>
  </si>
  <si>
    <t>전상민</t>
  </si>
  <si>
    <t>2401701</t>
  </si>
  <si>
    <t>천주열</t>
  </si>
  <si>
    <t>2302824</t>
  </si>
  <si>
    <t>이창엽</t>
  </si>
  <si>
    <t>2301369</t>
  </si>
  <si>
    <t>김기원</t>
  </si>
  <si>
    <t>2302432</t>
  </si>
  <si>
    <t>2400630</t>
  </si>
  <si>
    <t>신효선</t>
  </si>
  <si>
    <t>2400277</t>
  </si>
  <si>
    <t>윤상우</t>
  </si>
  <si>
    <t>2302141</t>
  </si>
  <si>
    <t>김진호</t>
  </si>
  <si>
    <t>수도권관갱생</t>
  </si>
  <si>
    <t>2301235</t>
  </si>
  <si>
    <t>이장혁</t>
  </si>
  <si>
    <t>2201053</t>
  </si>
  <si>
    <t>홍의한</t>
  </si>
  <si>
    <t>2302168</t>
  </si>
  <si>
    <t>김길중</t>
  </si>
  <si>
    <t>2401739</t>
  </si>
  <si>
    <t>김성진</t>
  </si>
  <si>
    <t>2501861</t>
  </si>
  <si>
    <t>김현민</t>
  </si>
  <si>
    <t>2401589</t>
  </si>
  <si>
    <t>박재윤</t>
  </si>
  <si>
    <t>2500277</t>
  </si>
  <si>
    <t>손승현</t>
  </si>
  <si>
    <t>2400580</t>
  </si>
  <si>
    <t>이수환</t>
  </si>
  <si>
    <t>2301963</t>
  </si>
  <si>
    <t>임동현</t>
  </si>
  <si>
    <t>2301302</t>
  </si>
  <si>
    <t>전승길</t>
  </si>
  <si>
    <t>2501050</t>
  </si>
  <si>
    <t>2400575</t>
  </si>
  <si>
    <t>김재우</t>
  </si>
  <si>
    <t>2400692</t>
  </si>
  <si>
    <t>박기완</t>
  </si>
  <si>
    <t>2403417</t>
  </si>
  <si>
    <t>박상일</t>
  </si>
  <si>
    <t>2203057</t>
  </si>
  <si>
    <t>박수현</t>
  </si>
  <si>
    <t>2502408</t>
  </si>
  <si>
    <t>박재우</t>
  </si>
  <si>
    <t>2302351</t>
  </si>
  <si>
    <t>유병웅</t>
  </si>
  <si>
    <t>2203639</t>
  </si>
  <si>
    <t>윤지백</t>
  </si>
  <si>
    <t>2303155</t>
  </si>
  <si>
    <t>이규범</t>
  </si>
  <si>
    <t>2303184</t>
  </si>
  <si>
    <t>이정태</t>
  </si>
  <si>
    <t>2301789</t>
  </si>
  <si>
    <t>최순영</t>
  </si>
  <si>
    <t>2303194</t>
  </si>
  <si>
    <t>박치현</t>
  </si>
  <si>
    <t>2502137</t>
  </si>
  <si>
    <t>백남현</t>
  </si>
  <si>
    <t>2302181</t>
  </si>
  <si>
    <t>강병우</t>
  </si>
  <si>
    <t>2500834</t>
  </si>
  <si>
    <t>권오성</t>
  </si>
  <si>
    <t>2502392</t>
  </si>
  <si>
    <t>김지원</t>
  </si>
  <si>
    <t>2501006</t>
  </si>
  <si>
    <t>박윤진</t>
  </si>
  <si>
    <t>2400628</t>
  </si>
  <si>
    <t>배광용</t>
  </si>
  <si>
    <t>2400836</t>
  </si>
  <si>
    <t>성도현</t>
  </si>
  <si>
    <t>2401567</t>
  </si>
  <si>
    <t>우상협</t>
  </si>
  <si>
    <t>2501185</t>
  </si>
  <si>
    <t>윤홍식</t>
  </si>
  <si>
    <t>2400615</t>
  </si>
  <si>
    <t>이원준</t>
  </si>
  <si>
    <t>2400177</t>
  </si>
  <si>
    <t>임영환</t>
  </si>
  <si>
    <t>2501516</t>
  </si>
  <si>
    <t>정지원</t>
  </si>
  <si>
    <t>2501853</t>
  </si>
  <si>
    <t>한도현</t>
  </si>
  <si>
    <t>2400851</t>
  </si>
  <si>
    <t>김응준</t>
  </si>
  <si>
    <t>2400244</t>
  </si>
  <si>
    <t>박준형</t>
  </si>
  <si>
    <t>2403219</t>
  </si>
  <si>
    <t>서석철</t>
  </si>
  <si>
    <t>2302738</t>
  </si>
  <si>
    <t>왕대웅</t>
  </si>
  <si>
    <t>2303103</t>
  </si>
  <si>
    <t>윤대근</t>
  </si>
  <si>
    <t>2302737</t>
  </si>
  <si>
    <t>천강수</t>
  </si>
  <si>
    <t>2400178</t>
  </si>
  <si>
    <t>최태환</t>
  </si>
  <si>
    <t>2403332</t>
  </si>
  <si>
    <t>추하늘</t>
  </si>
  <si>
    <t>2403696</t>
  </si>
  <si>
    <t>곽경수</t>
  </si>
  <si>
    <t>2500532</t>
  </si>
  <si>
    <t>김준수</t>
  </si>
  <si>
    <t>2502648</t>
  </si>
  <si>
    <t>2502655</t>
  </si>
  <si>
    <t>안재인</t>
  </si>
  <si>
    <t>2500347</t>
  </si>
  <si>
    <t>이석호</t>
  </si>
  <si>
    <t>2502820</t>
  </si>
  <si>
    <t>2401695</t>
  </si>
  <si>
    <t>장석태</t>
  </si>
  <si>
    <t>2403283</t>
  </si>
  <si>
    <t>장정훈</t>
  </si>
  <si>
    <t>2401698</t>
  </si>
  <si>
    <t>강헌구</t>
  </si>
  <si>
    <t>2400141</t>
  </si>
  <si>
    <t>2302740</t>
  </si>
  <si>
    <t>2500310</t>
  </si>
  <si>
    <t>박경원</t>
  </si>
  <si>
    <t>2502716</t>
  </si>
  <si>
    <t>박수완</t>
  </si>
  <si>
    <t>2302739</t>
  </si>
  <si>
    <t>박연택</t>
  </si>
  <si>
    <t>2302980</t>
  </si>
  <si>
    <t>박인용</t>
  </si>
  <si>
    <t>2401269</t>
  </si>
  <si>
    <t>서동완</t>
  </si>
  <si>
    <t>2401117</t>
  </si>
  <si>
    <t>2401555</t>
  </si>
  <si>
    <t>지성인</t>
  </si>
  <si>
    <t>2502403</t>
  </si>
  <si>
    <t>최인설</t>
  </si>
  <si>
    <t>2403378</t>
  </si>
  <si>
    <t>송시윤</t>
  </si>
  <si>
    <t>2401665</t>
  </si>
  <si>
    <t>윤종민</t>
  </si>
  <si>
    <t>2403637</t>
  </si>
  <si>
    <t>이민찬</t>
  </si>
  <si>
    <t>2403397</t>
  </si>
  <si>
    <t>이재협</t>
  </si>
  <si>
    <t>2300953</t>
  </si>
  <si>
    <t>이형석</t>
  </si>
  <si>
    <t>2301041</t>
  </si>
  <si>
    <t>정종태</t>
  </si>
  <si>
    <t>2301129</t>
  </si>
  <si>
    <t>안남일</t>
  </si>
  <si>
    <t>여수하수도BTL</t>
  </si>
  <si>
    <t>2400984</t>
  </si>
  <si>
    <t>강창원</t>
  </si>
  <si>
    <t>광양항 율촌 융복합 물류단지 조성공사</t>
  </si>
  <si>
    <t>2403313</t>
  </si>
  <si>
    <t>권혁진</t>
  </si>
  <si>
    <t>2400568</t>
  </si>
  <si>
    <t>김길윤</t>
  </si>
  <si>
    <t>2501016</t>
  </si>
  <si>
    <t>김현영</t>
  </si>
  <si>
    <t>2302636</t>
  </si>
  <si>
    <t>김형주</t>
  </si>
  <si>
    <t>2303430</t>
  </si>
  <si>
    <t>문진우</t>
  </si>
  <si>
    <t>2303300</t>
  </si>
  <si>
    <t>이태호</t>
  </si>
  <si>
    <t>2401423</t>
  </si>
  <si>
    <t>2302510</t>
  </si>
  <si>
    <t>조형상</t>
  </si>
  <si>
    <t>2502785</t>
  </si>
  <si>
    <t>한규</t>
  </si>
  <si>
    <t>2400705</t>
  </si>
  <si>
    <t>한정우</t>
  </si>
  <si>
    <t>2303395</t>
  </si>
  <si>
    <t>강정훈</t>
  </si>
  <si>
    <t>제2용인테크노밸리 단지조성공사</t>
  </si>
  <si>
    <t>2502340</t>
  </si>
  <si>
    <t>권오근</t>
  </si>
  <si>
    <t>2401618</t>
  </si>
  <si>
    <t>김종인</t>
  </si>
  <si>
    <t>2401323</t>
  </si>
  <si>
    <t>나우선</t>
  </si>
  <si>
    <t>2501855</t>
  </si>
  <si>
    <t>박동현</t>
  </si>
  <si>
    <t>2502339</t>
  </si>
  <si>
    <t>2501854</t>
  </si>
  <si>
    <t>박민균</t>
  </si>
  <si>
    <t>2403751</t>
  </si>
  <si>
    <t>황남오</t>
  </si>
  <si>
    <t>월곶판교 7공구</t>
  </si>
  <si>
    <t>2502791</t>
  </si>
  <si>
    <t>박건영</t>
  </si>
  <si>
    <t>2400432</t>
  </si>
  <si>
    <t>박성일</t>
  </si>
  <si>
    <t>2400973</t>
  </si>
  <si>
    <t>박용빈</t>
  </si>
  <si>
    <t>2400544</t>
  </si>
  <si>
    <t>유병우</t>
  </si>
  <si>
    <t>2502305</t>
  </si>
  <si>
    <t>이동국</t>
  </si>
  <si>
    <t>2401436</t>
  </si>
  <si>
    <t>최건순</t>
  </si>
  <si>
    <t>2500256</t>
  </si>
  <si>
    <t>강광호</t>
  </si>
  <si>
    <t>2403842</t>
  </si>
  <si>
    <t>2502139</t>
  </si>
  <si>
    <t>박태현</t>
  </si>
  <si>
    <t>2401690</t>
  </si>
  <si>
    <t>박희철</t>
  </si>
  <si>
    <t>2500649</t>
  </si>
  <si>
    <t>유정현</t>
  </si>
  <si>
    <t>2500791</t>
  </si>
  <si>
    <t>이선희</t>
  </si>
  <si>
    <t>2502786</t>
  </si>
  <si>
    <t>이승용</t>
  </si>
  <si>
    <t>2502138</t>
  </si>
  <si>
    <t>전상훈</t>
  </si>
  <si>
    <t>2500599</t>
  </si>
  <si>
    <t>최영일</t>
  </si>
  <si>
    <t>2500714</t>
  </si>
  <si>
    <t>홍우재</t>
  </si>
  <si>
    <t>2500266</t>
  </si>
  <si>
    <t>황재열</t>
  </si>
  <si>
    <t>2403380</t>
  </si>
  <si>
    <t>박중현</t>
  </si>
  <si>
    <t>수도권광역급횅철도 C노선(GTX-C)</t>
  </si>
  <si>
    <t>2403381</t>
  </si>
  <si>
    <t>주현준</t>
  </si>
  <si>
    <t>2500496</t>
  </si>
  <si>
    <t>민장현</t>
  </si>
  <si>
    <t>하남교산 부지조성공사</t>
  </si>
  <si>
    <t>2403285</t>
  </si>
  <si>
    <t>박도경</t>
  </si>
  <si>
    <t>2403353</t>
  </si>
  <si>
    <t>봉한나</t>
  </si>
  <si>
    <t>오세훈</t>
  </si>
  <si>
    <t>2403681</t>
  </si>
  <si>
    <t>전종열</t>
  </si>
  <si>
    <t>2500935</t>
  </si>
  <si>
    <t>주재진</t>
  </si>
  <si>
    <t>2502342</t>
  </si>
  <si>
    <t>김상민</t>
  </si>
  <si>
    <t>2500831</t>
  </si>
  <si>
    <t>김용모</t>
  </si>
  <si>
    <t>2501679</t>
  </si>
  <si>
    <t>유재길</t>
  </si>
  <si>
    <t>2501258</t>
  </si>
  <si>
    <t>최종우</t>
  </si>
  <si>
    <t>2502301</t>
  </si>
  <si>
    <t>성유창</t>
  </si>
  <si>
    <t>성남시 생활폐기물처리시설(BTO-a)</t>
  </si>
  <si>
    <t>2502792</t>
  </si>
  <si>
    <t>최아영</t>
  </si>
  <si>
    <t>2401683</t>
  </si>
  <si>
    <t>김수진</t>
  </si>
  <si>
    <t>1905157</t>
  </si>
  <si>
    <t>양숙경</t>
  </si>
  <si>
    <t>1802213</t>
  </si>
  <si>
    <t>박미화</t>
  </si>
  <si>
    <t>2501870</t>
  </si>
  <si>
    <t>강혜민</t>
  </si>
  <si>
    <t>2102860</t>
  </si>
  <si>
    <t>안현주</t>
  </si>
  <si>
    <t>2400827</t>
  </si>
  <si>
    <t>박은빈</t>
  </si>
  <si>
    <t>2000545</t>
  </si>
  <si>
    <t>오윤영</t>
  </si>
  <si>
    <t>2301123</t>
  </si>
  <si>
    <t>전현진</t>
  </si>
  <si>
    <t>2101815</t>
  </si>
  <si>
    <t>황슬기</t>
  </si>
  <si>
    <t>2203868</t>
  </si>
  <si>
    <t>이주연</t>
  </si>
  <si>
    <t>2300235</t>
  </si>
  <si>
    <t>차은미</t>
  </si>
  <si>
    <t>2403315</t>
  </si>
  <si>
    <t>구수미</t>
  </si>
  <si>
    <t>2202475</t>
  </si>
  <si>
    <t>이미진</t>
  </si>
  <si>
    <t>2200441</t>
  </si>
  <si>
    <t>조은영</t>
  </si>
  <si>
    <t>2303303</t>
  </si>
  <si>
    <t>윤보라</t>
  </si>
  <si>
    <t>2201912</t>
  </si>
  <si>
    <t>이지안</t>
  </si>
  <si>
    <t>2301958</t>
  </si>
  <si>
    <t>정향순</t>
  </si>
  <si>
    <t>2401447</t>
  </si>
  <si>
    <t>전한솔</t>
  </si>
  <si>
    <t>2401130</t>
  </si>
  <si>
    <t>고민영</t>
  </si>
  <si>
    <t>2300760</t>
  </si>
  <si>
    <t>2302600</t>
  </si>
  <si>
    <t>김상미</t>
  </si>
  <si>
    <t>2303396</t>
  </si>
  <si>
    <t>장진</t>
  </si>
  <si>
    <t>2502088</t>
  </si>
  <si>
    <t>나은숙</t>
  </si>
  <si>
    <t>2401742</t>
  </si>
  <si>
    <t>조상희</t>
  </si>
  <si>
    <t>2501228</t>
  </si>
  <si>
    <t>정명희</t>
  </si>
  <si>
    <t>2501042</t>
  </si>
  <si>
    <t>이유정</t>
  </si>
  <si>
    <t>2502762</t>
  </si>
  <si>
    <t>한수현</t>
  </si>
  <si>
    <t>2400772</t>
  </si>
  <si>
    <t>박귀덕</t>
  </si>
  <si>
    <t>자재생산현장</t>
  </si>
  <si>
    <t>해외</t>
    <phoneticPr fontId="1" type="noConversion"/>
  </si>
  <si>
    <t>연봉제</t>
  </si>
  <si>
    <t>2002626</t>
  </si>
  <si>
    <t>맹호윤</t>
  </si>
  <si>
    <t>전기공사팀</t>
  </si>
  <si>
    <t>2003654</t>
  </si>
  <si>
    <t>김진형</t>
  </si>
  <si>
    <t>토목공사1팀</t>
  </si>
  <si>
    <t>2400395</t>
  </si>
  <si>
    <t>이종욱</t>
  </si>
  <si>
    <t>1801338</t>
  </si>
  <si>
    <t>김수환</t>
  </si>
  <si>
    <t>캠프운영팀</t>
  </si>
  <si>
    <t>2002960</t>
  </si>
  <si>
    <t>라대주</t>
  </si>
  <si>
    <t>수처리시설현장 SI</t>
  </si>
  <si>
    <t>2002344</t>
  </si>
  <si>
    <t>Catering Part</t>
  </si>
  <si>
    <t>직영반장</t>
  </si>
  <si>
    <t>2203113</t>
  </si>
  <si>
    <t>정재학</t>
  </si>
  <si>
    <t>2501865</t>
  </si>
  <si>
    <t>박우찬</t>
  </si>
  <si>
    <t>권오삼</t>
  </si>
  <si>
    <t xml:space="preserve">	1100749</t>
  </si>
  <si>
    <t>9713769</t>
  </si>
  <si>
    <t>김오성</t>
  </si>
  <si>
    <t>0700713</t>
  </si>
  <si>
    <t>1890016</t>
  </si>
  <si>
    <t>송현주</t>
  </si>
  <si>
    <t>사무직(무기)</t>
  </si>
  <si>
    <t>전배 (건설 주택사업팀)</t>
  </si>
  <si>
    <t>전배 (솔루션 인사이트)</t>
  </si>
  <si>
    <t>전배 (건설 전략사업1팀)</t>
  </si>
  <si>
    <t>전배 (한화인베스트먼트)</t>
  </si>
  <si>
    <t>코드 구분</t>
    <phoneticPr fontId="1" type="noConversion"/>
  </si>
  <si>
    <t>코드</t>
    <phoneticPr fontId="1" type="noConversion"/>
  </si>
  <si>
    <t>인정, 채택 구분값</t>
    <phoneticPr fontId="1" type="noConversion"/>
  </si>
  <si>
    <t>구조/토목</t>
    <phoneticPr fontId="1" type="noConversion"/>
  </si>
  <si>
    <t>EN/S</t>
    <phoneticPr fontId="1" type="noConversion"/>
  </si>
  <si>
    <t>건축_골조</t>
    <phoneticPr fontId="1" type="noConversion"/>
  </si>
  <si>
    <t>A/S</t>
    <phoneticPr fontId="1" type="noConversion"/>
  </si>
  <si>
    <t>CE</t>
    <phoneticPr fontId="1" type="noConversion"/>
  </si>
  <si>
    <t>O</t>
    <phoneticPr fontId="1" type="noConversion"/>
  </si>
  <si>
    <t>포상 완료 여부</t>
  </si>
  <si>
    <t>중복 여부</t>
  </si>
  <si>
    <t>CFT구성</t>
  </si>
  <si>
    <t>과제 승인 위원회</t>
  </si>
  <si>
    <t>설계_건축외부</t>
    <phoneticPr fontId="1" type="noConversion"/>
  </si>
  <si>
    <t>EN/EX</t>
    <phoneticPr fontId="1" type="noConversion"/>
  </si>
  <si>
    <t>건축_마감</t>
    <phoneticPr fontId="1" type="noConversion"/>
  </si>
  <si>
    <t>A/F</t>
    <phoneticPr fontId="1" type="noConversion"/>
  </si>
  <si>
    <t>사업비</t>
    <phoneticPr fontId="1" type="noConversion"/>
  </si>
  <si>
    <t>BE</t>
    <phoneticPr fontId="1" type="noConversion"/>
  </si>
  <si>
    <t>X</t>
    <phoneticPr fontId="1" type="noConversion"/>
  </si>
  <si>
    <t>설계_건축내부</t>
    <phoneticPr fontId="1" type="noConversion"/>
  </si>
  <si>
    <t>EN/I</t>
    <phoneticPr fontId="1" type="noConversion"/>
  </si>
  <si>
    <t>토목</t>
    <phoneticPr fontId="1" type="noConversion"/>
  </si>
  <si>
    <t>C</t>
    <phoneticPr fontId="1" type="noConversion"/>
  </si>
  <si>
    <t>하자보수</t>
    <phoneticPr fontId="1" type="noConversion"/>
  </si>
  <si>
    <t>CS</t>
    <phoneticPr fontId="1" type="noConversion"/>
  </si>
  <si>
    <t>검토중</t>
    <phoneticPr fontId="1" type="noConversion"/>
  </si>
  <si>
    <t>설계_기계</t>
    <phoneticPr fontId="1" type="noConversion"/>
  </si>
  <si>
    <t>EN/M</t>
    <phoneticPr fontId="1" type="noConversion"/>
  </si>
  <si>
    <t>전기</t>
    <phoneticPr fontId="1" type="noConversion"/>
  </si>
  <si>
    <t>E</t>
    <phoneticPr fontId="1" type="noConversion"/>
  </si>
  <si>
    <t>분양</t>
    <phoneticPr fontId="1" type="noConversion"/>
  </si>
  <si>
    <t>SA</t>
    <phoneticPr fontId="1" type="noConversion"/>
  </si>
  <si>
    <t>설계_전기</t>
    <phoneticPr fontId="1" type="noConversion"/>
  </si>
  <si>
    <t>EN/E</t>
    <phoneticPr fontId="1" type="noConversion"/>
  </si>
  <si>
    <t>조경</t>
    <phoneticPr fontId="1" type="noConversion"/>
  </si>
  <si>
    <t>L</t>
    <phoneticPr fontId="1" type="noConversion"/>
  </si>
  <si>
    <t>판관비</t>
    <phoneticPr fontId="1" type="noConversion"/>
  </si>
  <si>
    <t>SNA</t>
    <phoneticPr fontId="1" type="noConversion"/>
  </si>
  <si>
    <t>외주</t>
    <phoneticPr fontId="1" type="noConversion"/>
  </si>
  <si>
    <t>PR/C</t>
    <phoneticPr fontId="1" type="noConversion"/>
  </si>
  <si>
    <t>기계</t>
    <phoneticPr fontId="1" type="noConversion"/>
  </si>
  <si>
    <t>M</t>
    <phoneticPr fontId="1" type="noConversion"/>
  </si>
  <si>
    <t>전사경비</t>
    <phoneticPr fontId="1" type="noConversion"/>
  </si>
  <si>
    <t>EXP</t>
    <phoneticPr fontId="1" type="noConversion"/>
  </si>
  <si>
    <t>구매</t>
    <phoneticPr fontId="1" type="noConversion"/>
  </si>
  <si>
    <t>PR/P</t>
    <phoneticPr fontId="1" type="noConversion"/>
  </si>
  <si>
    <t>기타공종</t>
    <phoneticPr fontId="1" type="noConversion"/>
  </si>
  <si>
    <t>Z</t>
    <phoneticPr fontId="1" type="noConversion"/>
  </si>
  <si>
    <t>수행-공사성</t>
    <phoneticPr fontId="1" type="noConversion"/>
  </si>
  <si>
    <t>CO/D</t>
    <phoneticPr fontId="1" type="noConversion"/>
  </si>
  <si>
    <t>공통가설</t>
    <phoneticPr fontId="1" type="noConversion"/>
  </si>
  <si>
    <t>TF</t>
    <phoneticPr fontId="1" type="noConversion"/>
  </si>
  <si>
    <t>수행-비공사성</t>
    <phoneticPr fontId="1" type="noConversion"/>
  </si>
  <si>
    <t>CO/I</t>
    <phoneticPr fontId="1" type="noConversion"/>
  </si>
  <si>
    <t>현장관리비</t>
    <phoneticPr fontId="1" type="noConversion"/>
  </si>
  <si>
    <t>YY</t>
    <phoneticPr fontId="1" type="noConversion"/>
  </si>
  <si>
    <t>공통</t>
    <phoneticPr fontId="1" type="noConversion"/>
  </si>
  <si>
    <t>CO/Z</t>
    <phoneticPr fontId="1" type="noConversion"/>
  </si>
  <si>
    <t>보험료</t>
    <phoneticPr fontId="1" type="noConversion"/>
  </si>
  <si>
    <t>ID/A</t>
    <phoneticPr fontId="1" type="noConversion"/>
  </si>
  <si>
    <t>IN/C</t>
  </si>
  <si>
    <t>안전관리비</t>
    <phoneticPr fontId="1" type="noConversion"/>
  </si>
  <si>
    <t>ID/H</t>
    <phoneticPr fontId="1" type="noConversion"/>
  </si>
  <si>
    <t>D/PM</t>
  </si>
  <si>
    <t>환경관리비</t>
    <phoneticPr fontId="1" type="noConversion"/>
  </si>
  <si>
    <t>ID/P</t>
    <phoneticPr fontId="1" type="noConversion"/>
  </si>
  <si>
    <t>지급일자</t>
  </si>
  <si>
    <t>민원처리비</t>
    <phoneticPr fontId="1" type="noConversion"/>
  </si>
  <si>
    <t>ID/R</t>
    <phoneticPr fontId="1" type="noConversion"/>
  </si>
  <si>
    <t>12차(250623)</t>
  </si>
  <si>
    <t>기타경비</t>
    <phoneticPr fontId="1" type="noConversion"/>
  </si>
  <si>
    <t>ID/Z</t>
    <phoneticPr fontId="1" type="noConversion"/>
  </si>
  <si>
    <t>프로세스 개선</t>
    <phoneticPr fontId="1" type="noConversion"/>
  </si>
  <si>
    <t>PI</t>
    <phoneticPr fontId="1" type="noConversion"/>
  </si>
  <si>
    <t>1차 담당자</t>
    <phoneticPr fontId="1" type="noConversion"/>
  </si>
  <si>
    <t>(참고)공통 담당자</t>
    <phoneticPr fontId="1" type="noConversion"/>
  </si>
  <si>
    <t>구조</t>
    <phoneticPr fontId="1" type="noConversion"/>
  </si>
  <si>
    <t>공통1</t>
    <phoneticPr fontId="1" type="noConversion"/>
  </si>
  <si>
    <t>공통2</t>
    <phoneticPr fontId="1" type="noConversion"/>
  </si>
  <si>
    <t>설계</t>
    <phoneticPr fontId="1" type="noConversion"/>
  </si>
  <si>
    <t>고한울</t>
    <phoneticPr fontId="1" type="noConversion"/>
  </si>
  <si>
    <t>수행</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</si>
</sst>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mm/dd"/>
  </numFmts>
  <fonts count="54">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9"/>
      <color indexed="81"/>
      <name val="돋움"/>
      <family val="3"/>
      <charset val="129"/>
    </font>
    <font>
      <sz val="11"/>
      <color rgb="FF333333"/>
      <name val="맑은 고딕"/>
      <family val="2"/>
      <charset val="129"/>
      <scheme val="minor"/>
    </font>
    <font>
      <b/>
      <sz val="14"/>
      <color theme="1"/>
      <name val="맑은 고딕"/>
      <family val="3"/>
      <charset val="129"/>
      <scheme val="minor"/>
    </font>
    <font>
      <sz val="11"/>
      <name val="맑은 고딕"/>
      <family val="2"/>
      <charset val="129"/>
      <scheme val="minor"/>
    </font>
    <font>
      <sz val="11"/>
      <name val="맑은 고딕"/>
      <family val="3"/>
      <charset val="129"/>
      <scheme val="minor"/>
    </font>
    <font>
      <sz val="11"/>
      <color rgb="FF000000"/>
      <name val="맑은 고딕"/>
      <family val="3"/>
      <charset val="129"/>
    </font>
    <font>
      <u/>
      <sz val="11"/>
      <color theme="10"/>
      <name val="맑은 고딕"/>
      <family val="2"/>
      <charset val="129"/>
      <scheme val="minor"/>
    </font>
    <font>
      <b/>
      <sz val="11"/>
      <color rgb="FF000000"/>
      <name val="맑은 고딕"/>
      <family val="3"/>
      <charset val="129"/>
      <scheme val="minor"/>
    </font>
    <font>
      <sz val="11"/>
      <color rgb="FF000000"/>
      <name val="맑은 고딕"/>
      <family val="3"/>
      <charset val="129"/>
      <scheme val="minor"/>
    </font>
    <font>
      <b/>
      <sz val="11"/>
      <color theme="1"/>
      <name val="맑은 고딕"/>
      <family val="2"/>
      <charset val="129"/>
      <scheme val="minor"/>
    </font>
    <font>
      <sz val="11"/>
      <color rgb="FF000000"/>
      <name val="Calibri"/>
      <family val="2"/>
    </font>
    <font>
      <sz val="11"/>
      <color rgb="FF000000"/>
      <name val="맑은 고딕"/>
      <family val="3"/>
    </font>
    <font>
      <sz val="11"/>
      <color rgb="FFFF0000"/>
      <name val="맑은 고딕"/>
      <family val="2"/>
      <charset val="129"/>
      <scheme val="minor"/>
    </font>
    <font>
      <b/>
      <sz val="11"/>
      <color rgb="FFFF0000"/>
      <name val="맑은 고딕"/>
      <family val="2"/>
      <charset val="129"/>
      <scheme val="minor"/>
    </font>
    <font>
      <b/>
      <sz val="9"/>
      <color theme="1"/>
      <name val="맑은 고딕"/>
      <family val="2"/>
      <charset val="129"/>
      <scheme val="minor"/>
    </font>
    <font>
      <b/>
      <sz val="9"/>
      <color rgb="FFFF0000"/>
      <name val="맑은 고딕"/>
      <family val="2"/>
      <charset val="129"/>
      <scheme val="minor"/>
    </font>
    <font>
      <sz val="11"/>
      <color rgb="FF000000"/>
      <name val="맑은 고딕"/>
      <family val="2"/>
      <charset val="129"/>
      <scheme val="minor"/>
    </font>
    <font>
      <sz val="9"/>
      <color theme="1"/>
      <name val="맑은 고딕"/>
      <family val="2"/>
      <charset val="129"/>
      <scheme val="minor"/>
    </font>
    <font>
      <b/>
      <sz val="11"/>
      <color rgb="FF000000"/>
      <name val="맑은 고딕"/>
      <family val="3"/>
    </font>
    <font>
      <b/>
      <sz val="11"/>
      <color rgb="FF000000"/>
      <name val="맑은 고딕"/>
      <family val="2"/>
      <charset val="129"/>
      <scheme val="minor"/>
    </font>
    <font>
      <sz val="11"/>
      <color rgb="FF0066CC"/>
      <name val="Calibri"/>
      <family val="2"/>
    </font>
    <font>
      <sz val="11"/>
      <color rgb="FF000000"/>
      <name val="나눔스퀘어"/>
      <family val="3"/>
      <charset val="129"/>
    </font>
    <font>
      <sz val="11"/>
      <color theme="1"/>
      <name val="맑은 고딕"/>
      <family val="3"/>
    </font>
    <font>
      <sz val="11"/>
      <color rgb="FF000000"/>
      <name val="돋움"/>
      <family val="3"/>
      <charset val="129"/>
    </font>
    <font>
      <sz val="11"/>
      <color rgb="FFFF0000"/>
      <name val="맑은 고딕"/>
      <family val="3"/>
    </font>
    <font>
      <sz val="11"/>
      <color rgb="FF000000"/>
      <name val="맑은 고딕"/>
      <family val="2"/>
      <scheme val="minor"/>
    </font>
    <font>
      <sz val="11"/>
      <color rgb="FF242424"/>
      <name val="Aptos Narrow"/>
      <family val="2"/>
    </font>
    <font>
      <sz val="9"/>
      <color rgb="FFFF0000"/>
      <name val="맑은 고딕"/>
      <family val="2"/>
      <charset val="129"/>
      <scheme val="minor"/>
    </font>
    <font>
      <u/>
      <sz val="11"/>
      <color rgb="FF000000"/>
      <name val="맑은 고딕"/>
      <family val="3"/>
      <charset val="129"/>
    </font>
    <font>
      <b/>
      <sz val="11"/>
      <color rgb="FF0070C0"/>
      <name val="맑은 고딕"/>
      <family val="2"/>
      <charset val="129"/>
      <scheme val="minor"/>
    </font>
    <font>
      <b/>
      <sz val="11"/>
      <color rgb="FFFF0000"/>
      <name val="맑은 고딕"/>
      <family val="3"/>
      <charset val="129"/>
      <scheme val="minor"/>
    </font>
    <font>
      <sz val="11"/>
      <color rgb="FF333333"/>
      <name val="맑은 고딕"/>
      <family val="3"/>
      <charset val="129"/>
      <scheme val="minor"/>
    </font>
    <font>
      <sz val="11"/>
      <color rgb="FF000000"/>
      <name val="Calibri"/>
    </font>
    <font>
      <sz val="11"/>
      <color rgb="FF242424"/>
      <name val="Aptos Narrow"/>
    </font>
    <font>
      <sz val="11"/>
      <name val="Calibri"/>
    </font>
    <font>
      <b/>
      <sz val="11"/>
      <color rgb="FF000000"/>
      <name val="Calibri"/>
    </font>
    <font>
      <sz val="11"/>
      <name val="맑은 고딕"/>
      <family val="3"/>
    </font>
    <font>
      <sz val="11"/>
      <color rgb="FF000000"/>
      <name val="돋움"/>
      <family val="3"/>
    </font>
    <font>
      <b/>
      <sz val="11"/>
      <color rgb="FF242424"/>
      <name val="Malgun Gothic"/>
      <family val="3"/>
    </font>
    <font>
      <b/>
      <sz val="11"/>
      <color rgb="FFFF0000"/>
      <name val="맑은 고딕"/>
      <family val="3"/>
    </font>
    <font>
      <sz val="11"/>
      <color rgb="FF242424"/>
      <name val="Malgun Gothic"/>
      <family val="3"/>
    </font>
    <font>
      <sz val="11"/>
      <color rgb="FF9C5700"/>
      <name val="맑은 고딕"/>
      <family val="3"/>
    </font>
    <font>
      <sz val="11"/>
      <color rgb="FF000000"/>
      <name val="맑은 고딕"/>
    </font>
    <font>
      <b/>
      <sz val="11"/>
      <color rgb="FF000000"/>
      <name val="맑은 고딕"/>
    </font>
    <font>
      <sz val="11"/>
      <color rgb="FF9C5700"/>
      <name val="맑은 고딕"/>
      <family val="2"/>
      <charset val="129"/>
    </font>
    <font>
      <sz val="13.5"/>
      <color rgb="FF000000"/>
      <name val="Malgun Gothic"/>
      <charset val="1"/>
    </font>
    <font>
      <sz val="11"/>
      <color rgb="FF9C5700"/>
      <name val="맑은 고딕"/>
    </font>
    <font>
      <sz val="12"/>
      <color theme="1"/>
      <name val="맑은 고딕"/>
      <family val="2"/>
      <charset val="129"/>
      <scheme val="minor"/>
    </font>
    <font>
      <b/>
      <sz val="12"/>
      <color theme="1"/>
      <name val="맑은 고딕"/>
      <family val="3"/>
      <charset val="129"/>
      <scheme val="minor"/>
    </font>
    <font>
      <sz val="12"/>
      <color rgb="FF000000"/>
      <name val="맑은 고딕"/>
      <family val="3"/>
    </font>
    <font>
      <sz val="12"/>
      <color rgb="FF000000"/>
      <name val="Malgun Gothic"/>
      <charset val="1"/>
    </font>
  </fonts>
  <fills count="24">
    <fill>
      <patternFill patternType="none"/>
    </fill>
    <fill>
      <patternFill patternType="gray125"/>
    </fill>
    <fill>
      <patternFill patternType="solid">
        <fgColor rgb="FFE9F3FC"/>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tint="0.499984740745262"/>
        <bgColor indexed="64"/>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rgb="FFFFFFFF"/>
        <bgColor rgb="FF000000"/>
      </patternFill>
    </fill>
    <fill>
      <patternFill patternType="solid">
        <fgColor rgb="FF92D050"/>
        <bgColor indexed="64"/>
      </patternFill>
    </fill>
    <fill>
      <patternFill patternType="solid">
        <fgColor rgb="FF00B0F0"/>
        <bgColor indexed="64"/>
      </patternFill>
    </fill>
    <fill>
      <patternFill patternType="solid">
        <fgColor theme="9" tint="0.59999389629810485"/>
        <bgColor indexed="64"/>
      </patternFill>
    </fill>
    <fill>
      <patternFill patternType="solid">
        <fgColor rgb="FFE9F3FC"/>
        <bgColor rgb="FF000000"/>
      </patternFill>
    </fill>
    <fill>
      <patternFill patternType="solid">
        <fgColor rgb="FFFFEB9C"/>
        <bgColor rgb="FF000000"/>
      </patternFill>
    </fill>
    <fill>
      <patternFill patternType="solid">
        <fgColor rgb="FFD9D9D9"/>
        <bgColor rgb="FF000000"/>
      </patternFill>
    </fill>
    <fill>
      <patternFill patternType="solid">
        <fgColor rgb="FFFF0000"/>
        <bgColor indexed="64"/>
      </patternFill>
    </fill>
    <fill>
      <patternFill patternType="solid">
        <fgColor rgb="FF7030A0"/>
        <bgColor indexed="64"/>
      </patternFill>
    </fill>
    <fill>
      <patternFill patternType="solid">
        <fgColor rgb="FF00B050"/>
        <bgColor indexed="64"/>
      </patternFill>
    </fill>
    <fill>
      <patternFill patternType="solid">
        <fgColor rgb="FFFFC000"/>
        <bgColor indexed="64"/>
      </patternFill>
    </fill>
  </fills>
  <borders count="49">
    <border>
      <left/>
      <right/>
      <top/>
      <bottom/>
      <diagonal/>
    </border>
    <border>
      <left/>
      <right style="hair">
        <color auto="1"/>
      </right>
      <top style="hair">
        <color auto="1"/>
      </top>
      <bottom/>
      <diagonal/>
    </border>
    <border>
      <left style="hair">
        <color auto="1"/>
      </left>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top style="hair">
        <color auto="1"/>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rgb="FF000000"/>
      </bottom>
      <diagonal/>
    </border>
    <border>
      <left style="thin">
        <color auto="1"/>
      </left>
      <right style="thin">
        <color auto="1"/>
      </right>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bottom/>
      <diagonal/>
    </border>
    <border>
      <left/>
      <right style="thin">
        <color auto="1"/>
      </right>
      <top style="thin">
        <color auto="1"/>
      </top>
      <bottom/>
      <diagonal/>
    </border>
    <border>
      <left style="thin">
        <color rgb="FF000000"/>
      </left>
      <right/>
      <top style="medium">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auto="1"/>
      </left>
      <right style="thin">
        <color auto="1"/>
      </right>
      <top style="thin">
        <color auto="1"/>
      </top>
      <bottom/>
      <diagonal/>
    </border>
    <border>
      <left style="thin">
        <color rgb="FF000000"/>
      </left>
      <right/>
      <top/>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rgb="FF000000"/>
      </left>
      <right/>
      <top style="thin">
        <color rgb="FF000000"/>
      </top>
      <bottom/>
      <diagonal/>
    </border>
    <border>
      <left/>
      <right style="thin">
        <color rgb="FF000000"/>
      </right>
      <top style="thin">
        <color indexed="64"/>
      </top>
      <bottom style="thin">
        <color rgb="FF000000"/>
      </bottom>
      <diagonal/>
    </border>
    <border>
      <left/>
      <right style="thin">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indexed="64"/>
      </bottom>
      <diagonal/>
    </border>
    <border>
      <left style="thin">
        <color rgb="FF000000"/>
      </left>
      <right style="thin">
        <color rgb="FF000000"/>
      </right>
      <top/>
      <bottom/>
      <diagonal/>
    </border>
    <border>
      <left/>
      <right style="thin">
        <color rgb="FF000000"/>
      </right>
      <top/>
      <bottom style="thin">
        <color indexed="64"/>
      </bottom>
      <diagonal/>
    </border>
    <border>
      <left/>
      <right/>
      <top style="thin">
        <color rgb="FF000000"/>
      </top>
      <bottom style="thin">
        <color rgb="FF000000"/>
      </bottom>
      <diagonal/>
    </border>
    <border>
      <left/>
      <right style="thin">
        <color rgb="FF000000"/>
      </right>
      <top/>
      <bottom/>
      <diagonal/>
    </border>
    <border>
      <left/>
      <right style="medium">
        <color rgb="FF000000"/>
      </right>
      <top style="thin">
        <color auto="1"/>
      </top>
      <bottom style="thin">
        <color auto="1"/>
      </bottom>
      <diagonal/>
    </border>
    <border>
      <left style="thin">
        <color auto="1"/>
      </left>
      <right style="medium">
        <color rgb="FF000000"/>
      </right>
      <top style="thin">
        <color auto="1"/>
      </top>
      <bottom/>
      <diagonal/>
    </border>
    <border>
      <left style="thin">
        <color auto="1"/>
      </left>
      <right style="medium">
        <color rgb="FF000000"/>
      </right>
      <top/>
      <bottom style="thin">
        <color auto="1"/>
      </bottom>
      <diagonal/>
    </border>
    <border>
      <left style="thin">
        <color rgb="FF000000"/>
      </left>
      <right style="thin">
        <color indexed="64"/>
      </right>
      <top/>
      <bottom style="thin">
        <color indexed="64"/>
      </bottom>
      <diagonal/>
    </border>
    <border>
      <left style="thin">
        <color auto="1"/>
      </left>
      <right style="thin">
        <color rgb="FF000000"/>
      </right>
      <top style="thin">
        <color auto="1"/>
      </top>
      <bottom style="thin">
        <color auto="1"/>
      </bottom>
      <diagonal/>
    </border>
  </borders>
  <cellStyleXfs count="2">
    <xf numFmtId="0" fontId="0" fillId="0" borderId="0">
      <alignment vertical="center"/>
    </xf>
    <xf numFmtId="0" fontId="9" fillId="0" borderId="0" applyNumberFormat="0" applyFill="0" applyBorder="0" applyAlignment="0" applyProtection="0">
      <alignment vertical="center"/>
    </xf>
  </cellStyleXfs>
  <cellXfs count="343">
    <xf numFmtId="0" fontId="0" fillId="0" borderId="0" xfId="0">
      <alignment vertical="center"/>
    </xf>
    <xf numFmtId="0" fontId="2" fillId="0" borderId="0" xfId="0" applyFont="1" applyAlignment="1">
      <alignment horizontal="center" vertical="center"/>
    </xf>
    <xf numFmtId="0" fontId="5" fillId="0" borderId="0" xfId="0" applyFont="1">
      <alignment vertical="center"/>
    </xf>
    <xf numFmtId="0" fontId="2" fillId="0" borderId="0" xfId="0" applyFont="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2" fillId="0" borderId="2" xfId="0" applyFont="1" applyBorder="1">
      <alignment vertical="center"/>
    </xf>
    <xf numFmtId="0" fontId="2" fillId="0" borderId="7" xfId="0" applyFont="1" applyBorder="1">
      <alignment vertical="center"/>
    </xf>
    <xf numFmtId="0" fontId="2" fillId="0" borderId="1" xfId="0" applyFont="1" applyBorder="1">
      <alignment vertical="center"/>
    </xf>
    <xf numFmtId="0" fontId="0" fillId="6" borderId="3" xfId="0" applyFill="1" applyBorder="1">
      <alignment vertical="center"/>
    </xf>
    <xf numFmtId="0" fontId="0" fillId="6" borderId="0" xfId="0" applyFill="1">
      <alignment vertical="center"/>
    </xf>
    <xf numFmtId="0" fontId="0" fillId="6" borderId="4" xfId="0" applyFill="1" applyBorder="1">
      <alignment vertical="center"/>
    </xf>
    <xf numFmtId="0" fontId="0" fillId="9" borderId="3" xfId="0" applyFill="1" applyBorder="1">
      <alignment vertical="center"/>
    </xf>
    <xf numFmtId="0" fontId="0" fillId="5" borderId="3" xfId="0" applyFill="1" applyBorder="1">
      <alignment vertical="center"/>
    </xf>
    <xf numFmtId="0" fontId="0" fillId="8" borderId="3" xfId="0" applyFill="1" applyBorder="1">
      <alignment vertical="center"/>
    </xf>
    <xf numFmtId="0" fontId="0" fillId="4" borderId="3" xfId="0" applyFill="1" applyBorder="1">
      <alignment vertical="center"/>
    </xf>
    <xf numFmtId="0" fontId="0" fillId="4" borderId="5" xfId="0" applyFill="1" applyBorder="1">
      <alignment vertical="center"/>
    </xf>
    <xf numFmtId="0" fontId="0" fillId="7" borderId="3" xfId="0" applyFill="1" applyBorder="1">
      <alignment vertical="center"/>
    </xf>
    <xf numFmtId="0" fontId="12" fillId="0" borderId="0" xfId="0" applyFont="1">
      <alignment vertical="center"/>
    </xf>
    <xf numFmtId="49" fontId="4" fillId="2" borderId="11" xfId="0" applyNumberFormat="1" applyFont="1" applyFill="1" applyBorder="1" applyAlignment="1">
      <alignment horizontal="center" vertical="center"/>
    </xf>
    <xf numFmtId="49" fontId="0" fillId="0" borderId="11" xfId="0" applyNumberFormat="1" applyBorder="1" applyAlignment="1">
      <alignment horizontal="center" vertical="center"/>
    </xf>
    <xf numFmtId="0" fontId="0" fillId="0" borderId="11" xfId="0" applyBorder="1">
      <alignment vertical="center"/>
    </xf>
    <xf numFmtId="0" fontId="0" fillId="0" borderId="0" xfId="0" applyAlignment="1">
      <alignment vertical="center" wrapText="1"/>
    </xf>
    <xf numFmtId="0" fontId="0" fillId="0" borderId="11" xfId="0" applyBorder="1" applyAlignment="1">
      <alignment horizontal="center" vertical="center"/>
    </xf>
    <xf numFmtId="0" fontId="14" fillId="0" borderId="11" xfId="0" applyFont="1" applyBorder="1" applyAlignment="1">
      <alignment horizontal="center" vertical="center"/>
    </xf>
    <xf numFmtId="0" fontId="14" fillId="0" borderId="10" xfId="0" quotePrefix="1" applyFont="1" applyBorder="1" applyAlignment="1">
      <alignment horizontal="center" vertical="center"/>
    </xf>
    <xf numFmtId="0" fontId="14" fillId="0" borderId="8" xfId="0" applyFont="1" applyBorder="1" applyAlignment="1">
      <alignment vertical="center" wrapText="1"/>
    </xf>
    <xf numFmtId="0" fontId="14" fillId="0" borderId="8" xfId="0" applyFont="1" applyBorder="1">
      <alignment vertical="center"/>
    </xf>
    <xf numFmtId="0" fontId="14" fillId="0" borderId="9" xfId="0" applyFont="1" applyBorder="1" applyAlignment="1">
      <alignment horizontal="center" vertical="center" wrapText="1"/>
    </xf>
    <xf numFmtId="0" fontId="14" fillId="0" borderId="8" xfId="0" applyFont="1" applyBorder="1" applyAlignment="1">
      <alignment horizontal="center" vertical="center"/>
    </xf>
    <xf numFmtId="0" fontId="14" fillId="0" borderId="8" xfId="0" applyFont="1" applyBorder="1" applyAlignment="1">
      <alignment horizontal="left" vertical="center"/>
    </xf>
    <xf numFmtId="0" fontId="14" fillId="0" borderId="8" xfId="0" applyFont="1" applyBorder="1" applyAlignment="1">
      <alignment horizontal="left" vertical="center" wrapText="1"/>
    </xf>
    <xf numFmtId="0" fontId="12" fillId="6" borderId="0" xfId="0" applyFont="1" applyFill="1">
      <alignment vertical="center"/>
    </xf>
    <xf numFmtId="0" fontId="12" fillId="6" borderId="0" xfId="0" applyFont="1" applyFill="1" applyAlignment="1">
      <alignment horizontal="right" vertical="center"/>
    </xf>
    <xf numFmtId="0" fontId="17" fillId="6" borderId="0" xfId="0" applyFont="1" applyFill="1" applyAlignment="1">
      <alignment horizontal="right" vertical="center"/>
    </xf>
    <xf numFmtId="0" fontId="18" fillId="6" borderId="0" xfId="0" applyFont="1" applyFill="1" applyAlignment="1">
      <alignment horizontal="right" vertical="center"/>
    </xf>
    <xf numFmtId="0" fontId="12" fillId="6" borderId="0" xfId="0" applyFont="1" applyFill="1" applyAlignment="1">
      <alignment horizontal="center" vertical="center"/>
    </xf>
    <xf numFmtId="0" fontId="16" fillId="6" borderId="0" xfId="0" applyFont="1" applyFill="1" applyAlignment="1">
      <alignment horizontal="center" vertical="center"/>
    </xf>
    <xf numFmtId="0" fontId="0" fillId="0" borderId="0" xfId="0" applyAlignment="1">
      <alignment horizontal="left" vertical="center"/>
    </xf>
    <xf numFmtId="0" fontId="11" fillId="0" borderId="0" xfId="0" applyFont="1" applyAlignment="1">
      <alignment horizontal="left" vertical="center" wrapText="1"/>
    </xf>
    <xf numFmtId="0" fontId="0" fillId="0" borderId="0" xfId="0" applyAlignment="1">
      <alignment horizontal="left" vertical="center" wrapText="1"/>
    </xf>
    <xf numFmtId="0" fontId="12" fillId="0" borderId="0" xfId="0" applyFont="1" applyAlignment="1">
      <alignment horizontal="left" vertical="center" wrapText="1"/>
    </xf>
    <xf numFmtId="0" fontId="14" fillId="0" borderId="0" xfId="0" applyFont="1" applyAlignment="1">
      <alignment horizontal="left" vertical="center"/>
    </xf>
    <xf numFmtId="0" fontId="17" fillId="6" borderId="0" xfId="0" applyFont="1" applyFill="1">
      <alignment vertical="center"/>
    </xf>
    <xf numFmtId="0" fontId="0" fillId="0" borderId="12"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15" xfId="0" applyBorder="1" applyAlignment="1">
      <alignment horizontal="center" vertical="center"/>
    </xf>
    <xf numFmtId="0" fontId="15" fillId="0" borderId="11" xfId="0" applyFont="1" applyBorder="1" applyAlignment="1">
      <alignment horizontal="center" vertical="center"/>
    </xf>
    <xf numFmtId="0" fontId="20" fillId="6" borderId="0" xfId="0" applyFont="1" applyFill="1">
      <alignment vertical="center"/>
    </xf>
    <xf numFmtId="0" fontId="0" fillId="0" borderId="11" xfId="0" applyBorder="1" applyAlignment="1">
      <alignment horizontal="center" vertical="center" wrapText="1"/>
    </xf>
    <xf numFmtId="0" fontId="14" fillId="0" borderId="9" xfId="0" applyFont="1" applyBorder="1" applyAlignment="1">
      <alignment horizontal="left" vertical="center" wrapText="1"/>
    </xf>
    <xf numFmtId="0" fontId="14" fillId="0" borderId="19" xfId="0" applyFont="1" applyBorder="1" applyAlignment="1">
      <alignment vertical="center" wrapText="1"/>
    </xf>
    <xf numFmtId="0" fontId="14" fillId="0" borderId="11" xfId="0" applyFont="1" applyBorder="1" applyAlignment="1">
      <alignment horizontal="center" vertical="center" wrapText="1"/>
    </xf>
    <xf numFmtId="0" fontId="19" fillId="0" borderId="11" xfId="0" applyFont="1" applyBorder="1" applyAlignment="1">
      <alignment horizontal="center" vertical="center"/>
    </xf>
    <xf numFmtId="0" fontId="12" fillId="14" borderId="0" xfId="0" applyFont="1" applyFill="1">
      <alignment vertical="center"/>
    </xf>
    <xf numFmtId="0" fontId="12" fillId="14" borderId="0" xfId="0" applyFont="1" applyFill="1" applyAlignment="1">
      <alignment horizontal="center" vertical="center"/>
    </xf>
    <xf numFmtId="0" fontId="16" fillId="14" borderId="0" xfId="0" applyFont="1" applyFill="1" applyAlignment="1">
      <alignment horizontal="center" vertical="center"/>
    </xf>
    <xf numFmtId="0" fontId="15" fillId="0" borderId="0" xfId="0" applyFont="1">
      <alignment vertical="center"/>
    </xf>
    <xf numFmtId="0" fontId="14" fillId="0" borderId="18" xfId="0" applyFont="1" applyBorder="1" applyAlignment="1">
      <alignment horizontal="left" vertical="center" wrapText="1"/>
    </xf>
    <xf numFmtId="0" fontId="0" fillId="0" borderId="15" xfId="0" applyBorder="1" applyAlignment="1">
      <alignment horizontal="center" vertical="center" wrapText="1"/>
    </xf>
    <xf numFmtId="0" fontId="11" fillId="0" borderId="15" xfId="0" applyFont="1" applyBorder="1" applyAlignment="1">
      <alignment horizontal="center" vertical="center" wrapText="1"/>
    </xf>
    <xf numFmtId="0" fontId="8" fillId="0" borderId="11" xfId="0" applyFont="1" applyBorder="1">
      <alignment vertical="center"/>
    </xf>
    <xf numFmtId="0" fontId="0" fillId="0" borderId="11" xfId="0" applyBorder="1" applyAlignment="1">
      <alignment horizontal="right" vertical="center"/>
    </xf>
    <xf numFmtId="0" fontId="14" fillId="0" borderId="15" xfId="0" applyFont="1" applyBorder="1" applyAlignment="1">
      <alignment horizontal="center" vertical="center" wrapText="1"/>
    </xf>
    <xf numFmtId="49" fontId="23" fillId="0" borderId="11" xfId="0" applyNumberFormat="1" applyFont="1" applyBorder="1" applyAlignment="1">
      <alignment horizontal="center" vertical="center"/>
    </xf>
    <xf numFmtId="49" fontId="0" fillId="0" borderId="11" xfId="0" applyNumberFormat="1" applyBorder="1">
      <alignment vertical="center"/>
    </xf>
    <xf numFmtId="0" fontId="21" fillId="12" borderId="15"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10" xfId="0" applyBorder="1" applyAlignment="1">
      <alignment vertical="center" wrapText="1"/>
    </xf>
    <xf numFmtId="0" fontId="19" fillId="0" borderId="15" xfId="0" applyFont="1" applyBorder="1" applyAlignment="1">
      <alignment horizontal="center" vertical="center" wrapText="1"/>
    </xf>
    <xf numFmtId="0" fontId="25" fillId="0" borderId="15" xfId="0" applyFont="1" applyBorder="1" applyAlignment="1">
      <alignment horizontal="center" vertical="center" wrapText="1"/>
    </xf>
    <xf numFmtId="0" fontId="14" fillId="0" borderId="8"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18" xfId="0" applyFont="1" applyBorder="1" applyAlignment="1">
      <alignment horizontal="center" vertical="center"/>
    </xf>
    <xf numFmtId="0" fontId="12" fillId="0" borderId="11" xfId="0" applyFont="1" applyBorder="1" applyAlignment="1">
      <alignment horizontal="center" vertical="center"/>
    </xf>
    <xf numFmtId="0" fontId="0" fillId="5" borderId="30" xfId="0" applyFill="1" applyBorder="1" applyAlignment="1">
      <alignment horizontal="left" vertical="center" indent="1"/>
    </xf>
    <xf numFmtId="0" fontId="0" fillId="5" borderId="30" xfId="0" applyFill="1" applyBorder="1" applyAlignment="1">
      <alignment horizontal="center" vertical="center"/>
    </xf>
    <xf numFmtId="0" fontId="0" fillId="5" borderId="30" xfId="0" applyFill="1" applyBorder="1" applyAlignment="1">
      <alignment horizontal="center" vertical="center" wrapText="1"/>
    </xf>
    <xf numFmtId="0" fontId="0" fillId="0" borderId="30" xfId="0" applyBorder="1" applyAlignment="1">
      <alignment horizontal="center" vertical="center"/>
    </xf>
    <xf numFmtId="176" fontId="0" fillId="0" borderId="30" xfId="0" applyNumberFormat="1" applyBorder="1" applyAlignment="1">
      <alignment horizontal="center" vertical="center"/>
    </xf>
    <xf numFmtId="0" fontId="0" fillId="0" borderId="30" xfId="0" applyBorder="1" applyAlignment="1">
      <alignment horizontal="center" vertical="center" wrapText="1"/>
    </xf>
    <xf numFmtId="0" fontId="0" fillId="0" borderId="30" xfId="0" applyBorder="1" applyAlignment="1">
      <alignment vertical="center" wrapText="1"/>
    </xf>
    <xf numFmtId="0" fontId="0" fillId="0" borderId="30" xfId="0" applyBorder="1" applyAlignment="1">
      <alignment horizontal="left" vertical="center" wrapText="1" indent="1"/>
    </xf>
    <xf numFmtId="0" fontId="0" fillId="0" borderId="31" xfId="0" applyBorder="1" applyAlignment="1">
      <alignment horizontal="center" vertical="center" wrapText="1"/>
    </xf>
    <xf numFmtId="0" fontId="0" fillId="0" borderId="30" xfId="0" applyBorder="1" applyAlignment="1">
      <alignment horizontal="left" vertical="center" indent="1"/>
    </xf>
    <xf numFmtId="0" fontId="0" fillId="0" borderId="30" xfId="0" quotePrefix="1" applyBorder="1" applyAlignment="1">
      <alignment vertical="center" wrapText="1"/>
    </xf>
    <xf numFmtId="0" fontId="11" fillId="0" borderId="30" xfId="0" applyFont="1" applyBorder="1" applyAlignment="1">
      <alignment vertical="center" wrapText="1"/>
    </xf>
    <xf numFmtId="49" fontId="0" fillId="0" borderId="30" xfId="0" applyNumberFormat="1" applyBorder="1" applyAlignment="1">
      <alignment horizontal="center" vertical="center"/>
    </xf>
    <xf numFmtId="176" fontId="0" fillId="0" borderId="30" xfId="0" applyNumberFormat="1" applyBorder="1" applyAlignment="1">
      <alignment horizontal="center" vertical="center" wrapText="1"/>
    </xf>
    <xf numFmtId="0" fontId="0" fillId="0" borderId="33" xfId="0" applyBorder="1" applyAlignment="1">
      <alignment horizontal="center" vertical="center" wrapText="1"/>
    </xf>
    <xf numFmtId="0" fontId="6" fillId="0" borderId="30" xfId="0" applyFont="1" applyBorder="1" applyAlignment="1">
      <alignment horizontal="center" vertical="center"/>
    </xf>
    <xf numFmtId="0" fontId="7" fillId="0" borderId="30" xfId="0" applyFont="1" applyBorder="1" applyAlignment="1">
      <alignment vertical="center" wrapText="1"/>
    </xf>
    <xf numFmtId="0" fontId="0" fillId="15" borderId="30" xfId="0" applyFill="1" applyBorder="1" applyAlignment="1">
      <alignment horizontal="left" vertical="center" indent="1"/>
    </xf>
    <xf numFmtId="0" fontId="0" fillId="10" borderId="30" xfId="0" applyFill="1" applyBorder="1" applyAlignment="1">
      <alignment horizontal="left" vertical="center" indent="1"/>
    </xf>
    <xf numFmtId="0" fontId="0" fillId="11" borderId="30" xfId="0" applyFill="1" applyBorder="1" applyAlignment="1">
      <alignment horizontal="left" vertical="center" indent="1"/>
    </xf>
    <xf numFmtId="0" fontId="10" fillId="0" borderId="15" xfId="0" applyFont="1" applyBorder="1" applyAlignment="1">
      <alignment horizontal="center" vertical="center" wrapText="1"/>
    </xf>
    <xf numFmtId="0" fontId="14" fillId="0" borderId="15" xfId="0" applyFont="1" applyBorder="1" applyAlignment="1">
      <alignment horizontal="center" vertical="center"/>
    </xf>
    <xf numFmtId="0" fontId="14" fillId="0" borderId="11" xfId="0" applyFont="1" applyBorder="1" applyAlignment="1">
      <alignment horizontal="left" vertical="center" wrapText="1"/>
    </xf>
    <xf numFmtId="0" fontId="14" fillId="0" borderId="18" xfId="0" applyFont="1" applyBorder="1" applyAlignment="1">
      <alignment horizontal="center" vertical="center"/>
    </xf>
    <xf numFmtId="0" fontId="14" fillId="0" borderId="34" xfId="0" applyFont="1" applyBorder="1" applyAlignment="1">
      <alignment horizontal="left" vertical="center" wrapText="1"/>
    </xf>
    <xf numFmtId="0" fontId="14" fillId="0" borderId="23" xfId="0" applyFont="1" applyBorder="1" applyAlignment="1">
      <alignment horizontal="left" vertical="center" wrapText="1"/>
    </xf>
    <xf numFmtId="0" fontId="14" fillId="10" borderId="11" xfId="0" applyFont="1" applyFill="1" applyBorder="1" applyAlignment="1">
      <alignment horizontal="center" vertical="center"/>
    </xf>
    <xf numFmtId="0" fontId="21" fillId="0" borderId="11" xfId="0" applyFont="1" applyBorder="1" applyAlignment="1">
      <alignment horizontal="center" vertical="center"/>
    </xf>
    <xf numFmtId="0" fontId="14" fillId="0" borderId="8" xfId="0" quotePrefix="1" applyFont="1" applyBorder="1" applyAlignment="1">
      <alignment horizontal="left" vertical="center" wrapText="1"/>
    </xf>
    <xf numFmtId="0" fontId="25" fillId="0" borderId="18" xfId="0" applyFont="1" applyBorder="1" applyAlignment="1">
      <alignment horizontal="left" vertical="center" wrapText="1"/>
    </xf>
    <xf numFmtId="0" fontId="25" fillId="0" borderId="10" xfId="0" quotePrefix="1" applyFont="1" applyBorder="1" applyAlignment="1">
      <alignment horizontal="center" vertical="center"/>
    </xf>
    <xf numFmtId="0" fontId="14" fillId="11" borderId="18" xfId="0" applyFont="1" applyFill="1" applyBorder="1" applyAlignment="1">
      <alignment horizontal="left" vertical="center" wrapText="1"/>
    </xf>
    <xf numFmtId="0" fontId="0" fillId="11" borderId="33" xfId="0" applyFill="1" applyBorder="1" applyAlignment="1">
      <alignment horizontal="center" vertical="center" wrapText="1"/>
    </xf>
    <xf numFmtId="0" fontId="19" fillId="11" borderId="11" xfId="0" applyFont="1" applyFill="1" applyBorder="1" applyAlignment="1">
      <alignment horizontal="center" vertical="center"/>
    </xf>
    <xf numFmtId="0" fontId="12" fillId="11" borderId="11" xfId="0" applyFont="1" applyFill="1" applyBorder="1" applyAlignment="1">
      <alignment horizontal="center" vertical="center"/>
    </xf>
    <xf numFmtId="0" fontId="14" fillId="11" borderId="11" xfId="0" applyFont="1" applyFill="1" applyBorder="1" applyAlignment="1">
      <alignment horizontal="center" vertical="center"/>
    </xf>
    <xf numFmtId="0" fontId="14" fillId="11" borderId="8" xfId="0" applyFont="1" applyFill="1" applyBorder="1" applyAlignment="1">
      <alignment horizontal="left" vertical="center" wrapText="1"/>
    </xf>
    <xf numFmtId="0" fontId="21" fillId="10" borderId="11" xfId="0" applyFont="1" applyFill="1" applyBorder="1" applyAlignment="1">
      <alignment horizontal="center" vertical="center"/>
    </xf>
    <xf numFmtId="0" fontId="14" fillId="11" borderId="15" xfId="0" applyFont="1" applyFill="1" applyBorder="1" applyAlignment="1">
      <alignment horizontal="center" vertical="center" wrapText="1"/>
    </xf>
    <xf numFmtId="0" fontId="14" fillId="0" borderId="28" xfId="0" applyFont="1" applyBorder="1" applyAlignment="1">
      <alignment horizontal="center" vertical="center" wrapText="1"/>
    </xf>
    <xf numFmtId="0" fontId="29" fillId="0" borderId="0" xfId="0" applyFont="1">
      <alignment vertical="center"/>
    </xf>
    <xf numFmtId="0" fontId="20" fillId="6" borderId="0" xfId="0" applyFont="1" applyFill="1" applyAlignment="1">
      <alignment horizontal="right" vertical="center"/>
    </xf>
    <xf numFmtId="0" fontId="30" fillId="6" borderId="0" xfId="0" applyFont="1" applyFill="1" applyAlignment="1">
      <alignment horizontal="right" vertical="center"/>
    </xf>
    <xf numFmtId="0" fontId="0" fillId="0" borderId="11" xfId="0" applyBorder="1" applyAlignment="1">
      <alignment vertical="center" wrapText="1"/>
    </xf>
    <xf numFmtId="49" fontId="0" fillId="0" borderId="11" xfId="0" applyNumberFormat="1" applyBorder="1" applyAlignment="1">
      <alignment horizontal="left" vertical="center"/>
    </xf>
    <xf numFmtId="0" fontId="0" fillId="0" borderId="30" xfId="0" quotePrefix="1" applyBorder="1" applyAlignment="1">
      <alignment horizontal="center" vertical="center"/>
    </xf>
    <xf numFmtId="49" fontId="0" fillId="0" borderId="30" xfId="0" quotePrefix="1" applyNumberFormat="1" applyBorder="1" applyAlignment="1">
      <alignment horizontal="center" vertical="center"/>
    </xf>
    <xf numFmtId="0" fontId="14" fillId="0" borderId="11" xfId="0" quotePrefix="1" applyFont="1" applyBorder="1" applyAlignment="1">
      <alignment horizontal="center" vertical="center"/>
    </xf>
    <xf numFmtId="0" fontId="12" fillId="14" borderId="0" xfId="0" applyFont="1" applyFill="1" applyAlignment="1">
      <alignment horizontal="center" vertical="center" wrapText="1"/>
    </xf>
    <xf numFmtId="0" fontId="0" fillId="0" borderId="11" xfId="0" quotePrefix="1" applyBorder="1" applyAlignment="1">
      <alignment vertical="center" wrapText="1"/>
    </xf>
    <xf numFmtId="0" fontId="14" fillId="0" borderId="9" xfId="0" applyFont="1" applyBorder="1" applyAlignment="1">
      <alignment vertical="center" wrapText="1"/>
    </xf>
    <xf numFmtId="0" fontId="14" fillId="0" borderId="28" xfId="0" applyFont="1" applyBorder="1" applyAlignment="1">
      <alignment horizontal="center" vertical="center"/>
    </xf>
    <xf numFmtId="0" fontId="12" fillId="0" borderId="0" xfId="0" applyFont="1" applyAlignment="1">
      <alignment horizontal="center" vertical="center"/>
    </xf>
    <xf numFmtId="0" fontId="0" fillId="0" borderId="11" xfId="0" applyBorder="1" applyAlignment="1">
      <alignment vertical="top" wrapText="1"/>
    </xf>
    <xf numFmtId="49" fontId="0" fillId="0" borderId="30" xfId="0" applyNumberFormat="1" applyBorder="1">
      <alignment vertical="center"/>
    </xf>
    <xf numFmtId="49" fontId="23" fillId="0" borderId="30" xfId="0" applyNumberFormat="1" applyFont="1" applyBorder="1" applyAlignment="1">
      <alignment horizontal="center" vertical="center"/>
    </xf>
    <xf numFmtId="0" fontId="21" fillId="11" borderId="11" xfId="0" applyFont="1" applyFill="1" applyBorder="1" applyAlignment="1">
      <alignment horizontal="center" vertical="center"/>
    </xf>
    <xf numFmtId="0" fontId="14" fillId="11" borderId="8" xfId="0" applyFont="1" applyFill="1" applyBorder="1" applyAlignment="1">
      <alignment horizontal="center" vertical="center" wrapText="1"/>
    </xf>
    <xf numFmtId="0" fontId="22" fillId="0" borderId="15" xfId="0" applyFont="1" applyBorder="1" applyAlignment="1">
      <alignment horizontal="center" vertical="center" wrapText="1"/>
    </xf>
    <xf numFmtId="0" fontId="0" fillId="0" borderId="28" xfId="0" applyBorder="1" applyAlignment="1">
      <alignment horizontal="center" vertical="center"/>
    </xf>
    <xf numFmtId="0" fontId="15" fillId="0" borderId="15" xfId="0" applyFont="1" applyBorder="1" applyAlignment="1">
      <alignment horizontal="center" vertical="center"/>
    </xf>
    <xf numFmtId="0" fontId="21" fillId="13" borderId="15" xfId="0" applyFont="1" applyFill="1" applyBorder="1" applyAlignment="1">
      <alignment horizontal="center" vertical="center"/>
    </xf>
    <xf numFmtId="0" fontId="12" fillId="0" borderId="15" xfId="0" applyFont="1" applyBorder="1" applyAlignment="1">
      <alignment horizontal="center" vertical="center"/>
    </xf>
    <xf numFmtId="0" fontId="21" fillId="0" borderId="15" xfId="0" applyFont="1" applyBorder="1" applyAlignment="1">
      <alignment horizontal="center" vertical="center"/>
    </xf>
    <xf numFmtId="0" fontId="14" fillId="16" borderId="11" xfId="0" applyFont="1" applyFill="1" applyBorder="1" applyAlignment="1">
      <alignment horizontal="center" vertical="center"/>
    </xf>
    <xf numFmtId="0" fontId="0" fillId="0" borderId="22" xfId="0" applyBorder="1">
      <alignment vertical="center"/>
    </xf>
    <xf numFmtId="0" fontId="5" fillId="0" borderId="0" xfId="0" applyFont="1" applyAlignment="1">
      <alignment horizontal="center" vertical="center"/>
    </xf>
    <xf numFmtId="0" fontId="14" fillId="0" borderId="11" xfId="0" applyFont="1" applyBorder="1">
      <alignment vertical="center"/>
    </xf>
    <xf numFmtId="0" fontId="14" fillId="0" borderId="36" xfId="0" applyFont="1" applyBorder="1" applyAlignment="1">
      <alignment horizontal="center" vertical="center"/>
    </xf>
    <xf numFmtId="0" fontId="14" fillId="19" borderId="10" xfId="0" applyFont="1" applyFill="1" applyBorder="1" applyAlignment="1">
      <alignment horizontal="center" vertical="center"/>
    </xf>
    <xf numFmtId="0" fontId="14" fillId="0" borderId="8" xfId="0" quotePrefix="1" applyFont="1" applyBorder="1" applyAlignment="1">
      <alignment vertical="center" wrapText="1"/>
    </xf>
    <xf numFmtId="0" fontId="14" fillId="0" borderId="39" xfId="0" applyFont="1" applyBorder="1" applyAlignment="1">
      <alignment vertical="top" wrapText="1"/>
    </xf>
    <xf numFmtId="0" fontId="14" fillId="0" borderId="18" xfId="0" quotePrefix="1" applyFont="1" applyBorder="1" applyAlignment="1">
      <alignment horizontal="left" vertical="center" wrapText="1"/>
    </xf>
    <xf numFmtId="0" fontId="14" fillId="13" borderId="8" xfId="0" applyFont="1" applyFill="1" applyBorder="1" applyAlignment="1">
      <alignment vertical="center" wrapText="1"/>
    </xf>
    <xf numFmtId="0" fontId="0" fillId="0" borderId="11" xfId="0" quotePrefix="1" applyBorder="1" applyAlignment="1">
      <alignment vertical="top" wrapText="1"/>
    </xf>
    <xf numFmtId="176" fontId="0" fillId="11" borderId="30" xfId="0" applyNumberFormat="1" applyFill="1" applyBorder="1" applyAlignment="1">
      <alignment horizontal="center" vertical="center" wrapText="1"/>
    </xf>
    <xf numFmtId="0" fontId="14" fillId="11" borderId="8" xfId="0" applyFont="1" applyFill="1" applyBorder="1" applyAlignment="1">
      <alignment horizontal="left" vertical="center"/>
    </xf>
    <xf numFmtId="176" fontId="0" fillId="11" borderId="30" xfId="0" applyNumberFormat="1" applyFill="1" applyBorder="1" applyAlignment="1">
      <alignment horizontal="center" vertical="center"/>
    </xf>
    <xf numFmtId="0" fontId="25" fillId="11" borderId="11" xfId="0" applyFont="1" applyFill="1" applyBorder="1" applyAlignment="1">
      <alignment horizontal="center" vertical="center"/>
    </xf>
    <xf numFmtId="0" fontId="0" fillId="11" borderId="11" xfId="0" applyFill="1" applyBorder="1" applyAlignment="1">
      <alignment horizontal="center" vertical="center"/>
    </xf>
    <xf numFmtId="0" fontId="2" fillId="4" borderId="20" xfId="0" applyFont="1" applyFill="1" applyBorder="1" applyAlignment="1">
      <alignment horizontal="center" vertical="center" wrapText="1"/>
    </xf>
    <xf numFmtId="0" fontId="2" fillId="4" borderId="20" xfId="0" applyFont="1" applyFill="1" applyBorder="1" applyAlignment="1">
      <alignment vertical="center" wrapText="1"/>
    </xf>
    <xf numFmtId="0" fontId="2" fillId="4" borderId="8" xfId="0" applyFont="1" applyFill="1" applyBorder="1" applyAlignment="1">
      <alignment vertical="center" wrapText="1"/>
    </xf>
    <xf numFmtId="0" fontId="32" fillId="0" borderId="11" xfId="0" applyFont="1" applyBorder="1">
      <alignment vertical="center"/>
    </xf>
    <xf numFmtId="0" fontId="14" fillId="12" borderId="15" xfId="0" applyFont="1" applyFill="1" applyBorder="1" applyAlignment="1">
      <alignment horizontal="center" vertical="center"/>
    </xf>
    <xf numFmtId="0" fontId="2" fillId="4" borderId="11" xfId="0" applyFont="1" applyFill="1" applyBorder="1" applyAlignment="1">
      <alignment horizontal="center" vertical="center"/>
    </xf>
    <xf numFmtId="0" fontId="0" fillId="10" borderId="30" xfId="0" applyFill="1" applyBorder="1" applyAlignment="1">
      <alignment vertical="center" wrapText="1"/>
    </xf>
    <xf numFmtId="0" fontId="19" fillId="10" borderId="30" xfId="0" applyFont="1" applyFill="1" applyBorder="1" applyAlignment="1">
      <alignment vertical="center" wrapText="1"/>
    </xf>
    <xf numFmtId="0" fontId="14" fillId="10" borderId="8" xfId="0" applyFont="1" applyFill="1" applyBorder="1" applyAlignment="1">
      <alignment horizontal="left" vertical="center" wrapText="1"/>
    </xf>
    <xf numFmtId="0" fontId="33" fillId="4" borderId="11" xfId="0" applyFont="1" applyFill="1" applyBorder="1" applyAlignment="1">
      <alignment horizontal="center" vertical="center"/>
    </xf>
    <xf numFmtId="0" fontId="12" fillId="0" borderId="11" xfId="0" applyFont="1" applyBorder="1" applyAlignment="1">
      <alignment horizontal="center" vertical="center" wrapText="1"/>
    </xf>
    <xf numFmtId="0" fontId="11" fillId="0" borderId="31" xfId="0" applyFont="1" applyBorder="1" applyAlignment="1">
      <alignment horizontal="center" vertical="center" wrapText="1"/>
    </xf>
    <xf numFmtId="0" fontId="0" fillId="0" borderId="18" xfId="0" applyBorder="1" applyAlignment="1">
      <alignment horizontal="center" vertical="center" wrapText="1"/>
    </xf>
    <xf numFmtId="0" fontId="12" fillId="0" borderId="31" xfId="0" applyFont="1" applyBorder="1" applyAlignment="1">
      <alignment horizontal="center" vertical="center" wrapText="1"/>
    </xf>
    <xf numFmtId="0" fontId="0" fillId="0" borderId="32" xfId="0" applyBorder="1" applyAlignment="1">
      <alignment horizontal="center" vertical="center" wrapText="1"/>
    </xf>
    <xf numFmtId="0" fontId="0" fillId="0" borderId="31" xfId="0" applyBorder="1" applyAlignment="1">
      <alignment horizontal="left" vertical="center" wrapText="1"/>
    </xf>
    <xf numFmtId="0" fontId="14" fillId="0" borderId="18" xfId="0" applyFont="1" applyBorder="1" applyAlignment="1">
      <alignment horizontal="center" vertical="center" wrapText="1"/>
    </xf>
    <xf numFmtId="0" fontId="27" fillId="0" borderId="9" xfId="0" applyFont="1" applyBorder="1" applyAlignment="1">
      <alignment horizontal="center" vertical="center" wrapText="1"/>
    </xf>
    <xf numFmtId="0" fontId="11" fillId="0" borderId="11" xfId="0" applyFont="1" applyBorder="1" applyAlignment="1">
      <alignment horizontal="center" vertical="center" wrapText="1"/>
    </xf>
    <xf numFmtId="0" fontId="0" fillId="10" borderId="11" xfId="0" applyFill="1" applyBorder="1">
      <alignment vertical="center"/>
    </xf>
    <xf numFmtId="0" fontId="0" fillId="10" borderId="11" xfId="0" applyFill="1" applyBorder="1" applyAlignment="1">
      <alignment horizontal="center" vertical="center"/>
    </xf>
    <xf numFmtId="0" fontId="0" fillId="14" borderId="11" xfId="0" applyFill="1" applyBorder="1" applyAlignment="1">
      <alignment horizontal="center" vertical="center"/>
    </xf>
    <xf numFmtId="0" fontId="0" fillId="15" borderId="11" xfId="0" applyFill="1" applyBorder="1" applyAlignment="1">
      <alignment horizontal="center" vertical="center"/>
    </xf>
    <xf numFmtId="0" fontId="14" fillId="20" borderId="8" xfId="0" applyFont="1" applyFill="1" applyBorder="1" applyAlignment="1">
      <alignment horizontal="left" vertical="center" wrapText="1"/>
    </xf>
    <xf numFmtId="0" fontId="14" fillId="20" borderId="11" xfId="0" applyFont="1" applyFill="1" applyBorder="1" applyAlignment="1">
      <alignment horizontal="center" vertical="center"/>
    </xf>
    <xf numFmtId="0" fontId="0" fillId="0" borderId="22" xfId="0" applyBorder="1" applyAlignment="1">
      <alignment vertical="center" wrapText="1"/>
    </xf>
    <xf numFmtId="0" fontId="0" fillId="0" borderId="38" xfId="0" quotePrefix="1" applyBorder="1" applyAlignment="1">
      <alignment vertical="top" wrapText="1"/>
    </xf>
    <xf numFmtId="0" fontId="0" fillId="0" borderId="27" xfId="0" applyBorder="1" applyAlignment="1">
      <alignment vertical="center" wrapText="1"/>
    </xf>
    <xf numFmtId="0" fontId="0" fillId="0" borderId="38" xfId="0" quotePrefix="1" applyBorder="1" applyAlignment="1">
      <alignment vertical="center" wrapText="1"/>
    </xf>
    <xf numFmtId="0" fontId="0" fillId="0" borderId="27" xfId="0" quotePrefix="1" applyBorder="1" applyAlignment="1">
      <alignment vertical="center" wrapText="1"/>
    </xf>
    <xf numFmtId="0" fontId="14" fillId="0" borderId="11" xfId="0" applyFont="1" applyBorder="1" applyAlignment="1">
      <alignment vertical="center" wrapText="1"/>
    </xf>
    <xf numFmtId="0" fontId="0" fillId="0" borderId="38" xfId="0" applyBorder="1" applyAlignment="1">
      <alignment vertical="center" wrapText="1"/>
    </xf>
    <xf numFmtId="0" fontId="14" fillId="0" borderId="38" xfId="0" applyFont="1" applyBorder="1" applyAlignment="1">
      <alignment vertical="center" wrapText="1"/>
    </xf>
    <xf numFmtId="0" fontId="0" fillId="0" borderId="40" xfId="0" quotePrefix="1" applyBorder="1" applyAlignment="1">
      <alignment vertical="center" wrapText="1"/>
    </xf>
    <xf numFmtId="0" fontId="12" fillId="6" borderId="0" xfId="0" applyFont="1" applyFill="1" applyAlignment="1">
      <alignment horizontal="left" vertical="center"/>
    </xf>
    <xf numFmtId="0" fontId="14" fillId="0" borderId="41" xfId="0" applyFont="1" applyBorder="1" applyAlignment="1">
      <alignment vertical="center" wrapText="1"/>
    </xf>
    <xf numFmtId="0" fontId="0" fillId="20" borderId="11" xfId="0" applyFill="1" applyBorder="1" applyAlignment="1">
      <alignment horizontal="center" vertical="center"/>
    </xf>
    <xf numFmtId="0" fontId="0" fillId="21" borderId="11" xfId="0" applyFill="1" applyBorder="1" applyAlignment="1">
      <alignment horizontal="center" vertical="center"/>
    </xf>
    <xf numFmtId="0" fontId="14" fillId="21" borderId="18" xfId="0" applyFont="1" applyFill="1" applyBorder="1" applyAlignment="1">
      <alignment horizontal="left" vertical="center" wrapText="1"/>
    </xf>
    <xf numFmtId="0" fontId="14" fillId="21" borderId="11" xfId="0" applyFont="1" applyFill="1" applyBorder="1" applyAlignment="1">
      <alignment horizontal="center" vertical="center"/>
    </xf>
    <xf numFmtId="0" fontId="0" fillId="21" borderId="15" xfId="0" applyFill="1" applyBorder="1" applyAlignment="1">
      <alignment horizontal="center" vertical="center"/>
    </xf>
    <xf numFmtId="0" fontId="0" fillId="0" borderId="30" xfId="0" applyBorder="1" applyAlignment="1">
      <alignment horizontal="left" vertical="center" wrapText="1"/>
    </xf>
    <xf numFmtId="0" fontId="0" fillId="0" borderId="13" xfId="0" applyBorder="1" applyAlignment="1">
      <alignment horizontal="center" vertical="center" wrapText="1"/>
    </xf>
    <xf numFmtId="176" fontId="0" fillId="10" borderId="30" xfId="0" applyNumberFormat="1" applyFill="1" applyBorder="1" applyAlignment="1">
      <alignment horizontal="center" vertical="center" wrapText="1"/>
    </xf>
    <xf numFmtId="0" fontId="0" fillId="11" borderId="15" xfId="0" applyFill="1" applyBorder="1" applyAlignment="1">
      <alignment horizontal="center" vertical="center"/>
    </xf>
    <xf numFmtId="0" fontId="2" fillId="3" borderId="30" xfId="0" applyFont="1" applyFill="1" applyBorder="1" applyAlignment="1">
      <alignment horizontal="center" vertical="center"/>
    </xf>
    <xf numFmtId="0" fontId="2" fillId="3" borderId="30" xfId="0" applyFont="1" applyFill="1" applyBorder="1" applyAlignment="1">
      <alignment horizontal="center" vertical="center" wrapText="1"/>
    </xf>
    <xf numFmtId="0" fontId="2" fillId="3" borderId="0" xfId="0" applyFont="1" applyFill="1">
      <alignment vertical="center"/>
    </xf>
    <xf numFmtId="0" fontId="0" fillId="0" borderId="42" xfId="0" applyBorder="1" applyAlignment="1">
      <alignment horizontal="center" vertical="center" wrapText="1"/>
    </xf>
    <xf numFmtId="0" fontId="12" fillId="0" borderId="43" xfId="0" applyFont="1" applyBorder="1">
      <alignment vertical="center"/>
    </xf>
    <xf numFmtId="0" fontId="12" fillId="0" borderId="28" xfId="0" applyFont="1" applyBorder="1">
      <alignment vertical="center"/>
    </xf>
    <xf numFmtId="0" fontId="0" fillId="0" borderId="28" xfId="0" applyBorder="1" applyAlignment="1">
      <alignment vertical="center" wrapText="1"/>
    </xf>
    <xf numFmtId="49" fontId="23" fillId="4" borderId="11" xfId="0" applyNumberFormat="1" applyFont="1" applyFill="1" applyBorder="1" applyAlignment="1">
      <alignment horizontal="center" vertical="center"/>
    </xf>
    <xf numFmtId="49" fontId="0" fillId="4" borderId="11" xfId="0" applyNumberFormat="1" applyFill="1" applyBorder="1" applyAlignment="1">
      <alignment horizontal="center" vertical="center"/>
    </xf>
    <xf numFmtId="0" fontId="34" fillId="17" borderId="30" xfId="0" applyFont="1" applyFill="1" applyBorder="1" applyAlignment="1">
      <alignment horizontal="center" vertical="center"/>
    </xf>
    <xf numFmtId="0" fontId="0" fillId="0" borderId="30" xfId="0" applyBorder="1">
      <alignment vertical="center"/>
    </xf>
    <xf numFmtId="0" fontId="21" fillId="0" borderId="18" xfId="0" applyFont="1" applyBorder="1" applyAlignment="1">
      <alignment horizontal="center" vertical="center"/>
    </xf>
    <xf numFmtId="0" fontId="14" fillId="0" borderId="10" xfId="0" applyFont="1" applyBorder="1" applyAlignment="1">
      <alignment horizontal="center" vertical="center"/>
    </xf>
    <xf numFmtId="0" fontId="35" fillId="0" borderId="22" xfId="0" applyFont="1" applyBorder="1" applyAlignment="1">
      <alignment vertical="center" wrapText="1"/>
    </xf>
    <xf numFmtId="0" fontId="36" fillId="0" borderId="0" xfId="0" applyFont="1">
      <alignment vertical="center"/>
    </xf>
    <xf numFmtId="0" fontId="14" fillId="19" borderId="30" xfId="0" applyFont="1" applyFill="1" applyBorder="1" applyAlignment="1">
      <alignment horizontal="center" vertical="center"/>
    </xf>
    <xf numFmtId="0" fontId="37" fillId="0" borderId="18" xfId="0" applyFont="1" applyBorder="1" applyAlignment="1">
      <alignment vertical="center" wrapText="1"/>
    </xf>
    <xf numFmtId="0" fontId="35" fillId="0" borderId="15" xfId="0" applyFont="1" applyBorder="1" applyAlignment="1">
      <alignment horizontal="center" vertical="center" wrapText="1"/>
    </xf>
    <xf numFmtId="0" fontId="38" fillId="0" borderId="11" xfId="0" applyFont="1" applyBorder="1" applyAlignment="1">
      <alignment horizontal="center" vertical="center"/>
    </xf>
    <xf numFmtId="0" fontId="14" fillId="0" borderId="23" xfId="0" applyFont="1" applyBorder="1" applyAlignment="1">
      <alignment vertical="center" wrapText="1"/>
    </xf>
    <xf numFmtId="0" fontId="39" fillId="0" borderId="22" xfId="0" applyFont="1" applyBorder="1" applyAlignment="1">
      <alignment vertical="center" wrapText="1"/>
    </xf>
    <xf numFmtId="0" fontId="21" fillId="0" borderId="27" xfId="0" applyFont="1" applyBorder="1" applyAlignment="1">
      <alignment horizontal="center" vertical="center"/>
    </xf>
    <xf numFmtId="0" fontId="39" fillId="0" borderId="0" xfId="0" applyFont="1" applyAlignment="1">
      <alignment vertical="center" wrapText="1"/>
    </xf>
    <xf numFmtId="0" fontId="39" fillId="0" borderId="18" xfId="0" applyFont="1" applyBorder="1" applyAlignment="1">
      <alignment vertical="center" wrapText="1"/>
    </xf>
    <xf numFmtId="0" fontId="39" fillId="0" borderId="23" xfId="0" applyFont="1" applyBorder="1" applyAlignment="1">
      <alignment vertical="center" wrapText="1"/>
    </xf>
    <xf numFmtId="0" fontId="38" fillId="0" borderId="27" xfId="0" applyFont="1" applyBorder="1" applyAlignment="1">
      <alignment horizontal="center" vertical="center"/>
    </xf>
    <xf numFmtId="0" fontId="39" fillId="0" borderId="29" xfId="0" applyFont="1" applyBorder="1" applyAlignment="1">
      <alignment vertical="center" wrapText="1"/>
    </xf>
    <xf numFmtId="0" fontId="35" fillId="0" borderId="31" xfId="0" applyFont="1" applyBorder="1" applyAlignment="1">
      <alignment horizontal="center" vertical="center" wrapText="1"/>
    </xf>
    <xf numFmtId="0" fontId="35" fillId="0" borderId="11" xfId="0" applyFont="1" applyBorder="1" applyAlignment="1">
      <alignment horizontal="center" vertical="center" wrapText="1"/>
    </xf>
    <xf numFmtId="0" fontId="35" fillId="0" borderId="0" xfId="0" applyFont="1" applyAlignment="1">
      <alignment horizontal="left" vertical="center" wrapText="1"/>
    </xf>
    <xf numFmtId="0" fontId="40" fillId="0" borderId="23" xfId="0" applyFont="1" applyBorder="1" applyAlignment="1">
      <alignment vertical="center" wrapText="1"/>
    </xf>
    <xf numFmtId="0" fontId="35" fillId="0" borderId="0" xfId="0" applyFont="1" applyAlignment="1">
      <alignment horizontal="center" vertical="center" wrapText="1"/>
    </xf>
    <xf numFmtId="0" fontId="35" fillId="0" borderId="0" xfId="0" applyFont="1" applyAlignment="1">
      <alignment vertical="center" wrapText="1"/>
    </xf>
    <xf numFmtId="0" fontId="14" fillId="0" borderId="30" xfId="0" applyFont="1" applyBorder="1" applyAlignment="1">
      <alignment vertical="center" wrapText="1"/>
    </xf>
    <xf numFmtId="0" fontId="14" fillId="0" borderId="10" xfId="0" applyFont="1" applyBorder="1">
      <alignment vertical="center"/>
    </xf>
    <xf numFmtId="0" fontId="14" fillId="0" borderId="31" xfId="0" applyFont="1" applyBorder="1" applyAlignment="1">
      <alignment horizontal="center" vertical="center" wrapText="1"/>
    </xf>
    <xf numFmtId="0" fontId="14" fillId="0" borderId="0" xfId="0" applyFont="1" applyAlignment="1">
      <alignment horizontal="left" vertical="center" wrapText="1"/>
    </xf>
    <xf numFmtId="0" fontId="14" fillId="10" borderId="10" xfId="0" applyFont="1" applyFill="1" applyBorder="1" applyAlignment="1">
      <alignment vertical="center" wrapText="1"/>
    </xf>
    <xf numFmtId="0" fontId="37" fillId="0" borderId="23" xfId="0" applyFont="1" applyBorder="1" applyAlignment="1">
      <alignment vertical="center" wrapText="1"/>
    </xf>
    <xf numFmtId="0" fontId="38" fillId="0" borderId="11" xfId="0" applyFont="1" applyBorder="1" applyAlignment="1">
      <alignment horizontal="center" vertical="center" wrapText="1"/>
    </xf>
    <xf numFmtId="0" fontId="38" fillId="0" borderId="0" xfId="0" applyFont="1" applyAlignment="1">
      <alignment horizontal="left" vertical="center" wrapText="1"/>
    </xf>
    <xf numFmtId="0" fontId="14" fillId="0" borderId="10" xfId="0" applyFont="1" applyBorder="1" applyAlignment="1">
      <alignment vertical="center" wrapText="1"/>
    </xf>
    <xf numFmtId="0" fontId="38" fillId="0" borderId="31" xfId="0" applyFont="1" applyBorder="1" applyAlignment="1">
      <alignment horizontal="center" vertical="center" wrapText="1"/>
    </xf>
    <xf numFmtId="0" fontId="38" fillId="0" borderId="0" xfId="0" applyFont="1" applyAlignment="1">
      <alignment horizontal="left" vertical="center"/>
    </xf>
    <xf numFmtId="0" fontId="41" fillId="0" borderId="0" xfId="0" applyFont="1" applyAlignment="1">
      <alignment horizontal="center" vertical="center" wrapText="1"/>
    </xf>
    <xf numFmtId="0" fontId="41" fillId="0" borderId="11" xfId="0" applyFont="1" applyBorder="1" applyAlignment="1">
      <alignment horizontal="center" vertical="center" wrapText="1"/>
    </xf>
    <xf numFmtId="0" fontId="41" fillId="0" borderId="0" xfId="0" applyFont="1" applyAlignment="1">
      <alignment vertical="center" wrapText="1"/>
    </xf>
    <xf numFmtId="0" fontId="38" fillId="0" borderId="15" xfId="0" applyFont="1" applyBorder="1" applyAlignment="1">
      <alignment horizontal="center" vertical="center" wrapText="1"/>
    </xf>
    <xf numFmtId="0" fontId="14" fillId="10" borderId="10" xfId="0" applyFont="1" applyFill="1" applyBorder="1" applyAlignment="1">
      <alignment horizontal="center" vertical="center"/>
    </xf>
    <xf numFmtId="0" fontId="39" fillId="11" borderId="23" xfId="0" applyFont="1" applyFill="1" applyBorder="1" applyAlignment="1">
      <alignment vertical="center" wrapText="1"/>
    </xf>
    <xf numFmtId="0" fontId="42" fillId="0" borderId="27" xfId="0" applyFont="1" applyBorder="1" applyAlignment="1">
      <alignment horizontal="center" vertical="center"/>
    </xf>
    <xf numFmtId="0" fontId="14" fillId="0" borderId="33" xfId="0" applyFont="1" applyBorder="1" applyAlignment="1">
      <alignment vertical="center" wrapText="1"/>
    </xf>
    <xf numFmtId="0" fontId="14" fillId="0" borderId="33" xfId="0" applyFont="1" applyBorder="1" applyAlignment="1">
      <alignment horizontal="center" vertical="center" wrapText="1"/>
    </xf>
    <xf numFmtId="0" fontId="14" fillId="0" borderId="32" xfId="0" applyFont="1" applyBorder="1" applyAlignment="1">
      <alignment horizontal="left" vertical="center" wrapText="1"/>
    </xf>
    <xf numFmtId="0" fontId="27" fillId="19" borderId="10" xfId="0" applyFont="1" applyFill="1" applyBorder="1" applyAlignment="1">
      <alignment horizontal="center" vertical="center"/>
    </xf>
    <xf numFmtId="0" fontId="14" fillId="0" borderId="30" xfId="0" quotePrefix="1" applyFont="1" applyBorder="1" applyAlignment="1">
      <alignment horizontal="center" vertical="center"/>
    </xf>
    <xf numFmtId="0" fontId="39" fillId="0" borderId="25" xfId="0" applyFont="1" applyBorder="1" applyAlignment="1">
      <alignment vertical="center" wrapText="1"/>
    </xf>
    <xf numFmtId="0" fontId="39" fillId="0" borderId="31" xfId="0" applyFont="1" applyBorder="1" applyAlignment="1">
      <alignment vertical="center" wrapText="1"/>
    </xf>
    <xf numFmtId="0" fontId="39" fillId="0" borderId="26" xfId="0" applyFont="1" applyBorder="1" applyAlignment="1">
      <alignment vertical="center" wrapText="1"/>
    </xf>
    <xf numFmtId="0" fontId="35" fillId="0" borderId="30" xfId="0" applyFont="1" applyBorder="1" applyAlignment="1">
      <alignment vertical="center" wrapText="1"/>
    </xf>
    <xf numFmtId="0" fontId="14" fillId="0" borderId="32" xfId="0" applyFont="1" applyBorder="1" applyAlignment="1">
      <alignment horizontal="center" vertical="center" wrapText="1"/>
    </xf>
    <xf numFmtId="0" fontId="25" fillId="0" borderId="23" xfId="0" applyFont="1" applyBorder="1" applyAlignment="1">
      <alignment vertical="center" wrapText="1"/>
    </xf>
    <xf numFmtId="0" fontId="43" fillId="0" borderId="11" xfId="0" applyFont="1" applyBorder="1" applyAlignment="1">
      <alignment vertical="center" wrapText="1"/>
    </xf>
    <xf numFmtId="0" fontId="39" fillId="21" borderId="23" xfId="0" applyFont="1" applyFill="1" applyBorder="1" applyAlignment="1">
      <alignment vertical="center" wrapText="1"/>
    </xf>
    <xf numFmtId="0" fontId="25" fillId="19" borderId="10" xfId="0" applyFont="1" applyFill="1" applyBorder="1" applyAlignment="1">
      <alignment horizontal="center" vertical="center"/>
    </xf>
    <xf numFmtId="0" fontId="36" fillId="0" borderId="0" xfId="0" applyFont="1" applyAlignment="1">
      <alignment vertical="center" wrapText="1"/>
    </xf>
    <xf numFmtId="0" fontId="14" fillId="0" borderId="35" xfId="0" applyFont="1" applyBorder="1" applyAlignment="1">
      <alignment horizontal="center" vertical="center"/>
    </xf>
    <xf numFmtId="0" fontId="14" fillId="0" borderId="36" xfId="0" applyFont="1" applyBorder="1">
      <alignment vertical="center"/>
    </xf>
    <xf numFmtId="0" fontId="14" fillId="0" borderId="28" xfId="0" applyFont="1" applyBorder="1">
      <alignment vertical="center"/>
    </xf>
    <xf numFmtId="0" fontId="14" fillId="0" borderId="27" xfId="0" applyFont="1" applyBorder="1" applyAlignment="1">
      <alignment vertical="center" wrapText="1"/>
    </xf>
    <xf numFmtId="0" fontId="14" fillId="0" borderId="27" xfId="0" quotePrefix="1" applyFont="1" applyBorder="1" applyAlignment="1">
      <alignment vertical="center" wrapText="1"/>
    </xf>
    <xf numFmtId="0" fontId="14" fillId="0" borderId="37" xfId="0" applyFont="1" applyBorder="1" applyAlignment="1">
      <alignment horizontal="center" vertical="center"/>
    </xf>
    <xf numFmtId="0" fontId="44" fillId="18" borderId="15" xfId="0" applyFont="1" applyFill="1" applyBorder="1" applyAlignment="1">
      <alignment horizontal="center" vertical="center"/>
    </xf>
    <xf numFmtId="0" fontId="14" fillId="16" borderId="8" xfId="0" applyFont="1" applyFill="1" applyBorder="1" applyAlignment="1">
      <alignment vertical="center" wrapText="1"/>
    </xf>
    <xf numFmtId="0" fontId="36" fillId="12" borderId="0" xfId="0" applyFont="1" applyFill="1" applyAlignment="1">
      <alignment vertical="center" wrapText="1"/>
    </xf>
    <xf numFmtId="0" fontId="36" fillId="12" borderId="11" xfId="0" applyFont="1" applyFill="1" applyBorder="1">
      <alignment vertical="center"/>
    </xf>
    <xf numFmtId="0" fontId="36" fillId="12" borderId="11" xfId="0" applyFont="1" applyFill="1" applyBorder="1" applyAlignment="1">
      <alignment vertical="center" wrapText="1"/>
    </xf>
    <xf numFmtId="0" fontId="0" fillId="22" borderId="30" xfId="0" applyFill="1" applyBorder="1" applyAlignment="1">
      <alignment horizontal="left" vertical="center" indent="1"/>
    </xf>
    <xf numFmtId="0" fontId="14" fillId="22" borderId="11" xfId="0" applyFont="1" applyFill="1" applyBorder="1" applyAlignment="1">
      <alignment horizontal="center" vertical="center"/>
    </xf>
    <xf numFmtId="0" fontId="45" fillId="0" borderId="8" xfId="0" applyFont="1" applyBorder="1" applyAlignment="1">
      <alignment vertical="center" wrapText="1"/>
    </xf>
    <xf numFmtId="0" fontId="14" fillId="0" borderId="47" xfId="0" applyFont="1" applyBorder="1" applyAlignment="1">
      <alignment horizontal="center" vertical="center" wrapText="1"/>
    </xf>
    <xf numFmtId="0" fontId="12" fillId="0" borderId="42" xfId="0" applyFont="1" applyBorder="1">
      <alignment vertical="center"/>
    </xf>
    <xf numFmtId="0" fontId="8" fillId="19" borderId="30" xfId="0" applyFont="1" applyFill="1" applyBorder="1" applyAlignment="1">
      <alignment horizontal="center" vertical="center"/>
    </xf>
    <xf numFmtId="0" fontId="35" fillId="0" borderId="22" xfId="0" quotePrefix="1" applyFont="1" applyBorder="1" applyAlignment="1">
      <alignment vertical="center" wrapText="1"/>
    </xf>
    <xf numFmtId="0" fontId="0" fillId="16" borderId="30" xfId="0" applyFill="1" applyBorder="1" applyAlignment="1">
      <alignment horizontal="left" vertical="center" indent="1"/>
    </xf>
    <xf numFmtId="0" fontId="8" fillId="0" borderId="8" xfId="0" applyFont="1" applyBorder="1" applyAlignment="1">
      <alignment vertical="center" wrapText="1"/>
    </xf>
    <xf numFmtId="0" fontId="8" fillId="0" borderId="36" xfId="0" applyFont="1" applyBorder="1">
      <alignment vertical="center"/>
    </xf>
    <xf numFmtId="0" fontId="8" fillId="0" borderId="36" xfId="0" applyFont="1" applyBorder="1" applyAlignment="1">
      <alignment vertical="center" wrapText="1"/>
    </xf>
    <xf numFmtId="0" fontId="47" fillId="18" borderId="15" xfId="0" applyFont="1" applyFill="1" applyBorder="1" applyAlignment="1">
      <alignment horizontal="center" vertical="center"/>
    </xf>
    <xf numFmtId="0" fontId="8" fillId="0" borderId="36" xfId="0" applyFont="1" applyBorder="1" applyAlignment="1">
      <alignment horizontal="center" vertical="center"/>
    </xf>
    <xf numFmtId="0" fontId="8" fillId="0" borderId="37" xfId="0" applyFont="1" applyBorder="1" applyAlignment="1">
      <alignment horizontal="center" vertical="center"/>
    </xf>
    <xf numFmtId="176" fontId="0" fillId="23" borderId="30" xfId="0" applyNumberFormat="1" applyFill="1" applyBorder="1" applyAlignment="1">
      <alignment horizontal="center" vertical="center" wrapText="1"/>
    </xf>
    <xf numFmtId="0" fontId="8" fillId="19" borderId="30" xfId="0" applyFont="1" applyFill="1" applyBorder="1" applyAlignment="1">
      <alignment horizontal="center" vertical="center" wrapText="1"/>
    </xf>
    <xf numFmtId="0" fontId="48" fillId="0" borderId="28" xfId="0" applyFont="1" applyBorder="1">
      <alignment vertical="center"/>
    </xf>
    <xf numFmtId="0" fontId="49" fillId="18" borderId="15" xfId="0" applyFont="1" applyFill="1" applyBorder="1" applyAlignment="1">
      <alignment horizontal="center" vertical="center"/>
    </xf>
    <xf numFmtId="0" fontId="48" fillId="0" borderId="28" xfId="0" quotePrefix="1" applyFont="1" applyBorder="1">
      <alignment vertical="center"/>
    </xf>
    <xf numFmtId="0" fontId="48" fillId="0" borderId="28" xfId="0" quotePrefix="1" applyFont="1" applyBorder="1" applyAlignment="1">
      <alignment vertical="center" wrapText="1"/>
    </xf>
    <xf numFmtId="49" fontId="0" fillId="0" borderId="0" xfId="0" applyNumberFormat="1">
      <alignment vertical="center"/>
    </xf>
    <xf numFmtId="49" fontId="0" fillId="0" borderId="48" xfId="0" applyNumberFormat="1" applyBorder="1" applyAlignment="1">
      <alignment horizontal="center" vertical="center"/>
    </xf>
    <xf numFmtId="0" fontId="14" fillId="19" borderId="30" xfId="0" applyFont="1" applyFill="1" applyBorder="1" applyAlignment="1">
      <alignment horizontal="center" vertical="center" wrapText="1"/>
    </xf>
    <xf numFmtId="0" fontId="15" fillId="3" borderId="15" xfId="0" applyFont="1" applyFill="1" applyBorder="1" applyAlignment="1">
      <alignment horizontal="center" vertical="center"/>
    </xf>
    <xf numFmtId="0" fontId="50" fillId="0" borderId="0" xfId="0" applyFont="1">
      <alignment vertical="center"/>
    </xf>
    <xf numFmtId="0" fontId="52" fillId="0" borderId="8" xfId="0" applyFont="1" applyBorder="1" applyAlignment="1">
      <alignment horizontal="left" vertical="center" wrapText="1"/>
    </xf>
    <xf numFmtId="0" fontId="52" fillId="0" borderId="8" xfId="0" applyFont="1" applyBorder="1" applyAlignment="1">
      <alignment vertical="center" wrapText="1"/>
    </xf>
    <xf numFmtId="0" fontId="52" fillId="0" borderId="9" xfId="0" applyFont="1" applyBorder="1" applyAlignment="1">
      <alignment vertical="center" wrapText="1"/>
    </xf>
    <xf numFmtId="0" fontId="52" fillId="0" borderId="41" xfId="0" applyFont="1" applyBorder="1" applyAlignment="1">
      <alignment vertical="center" wrapText="1"/>
    </xf>
    <xf numFmtId="0" fontId="50" fillId="0" borderId="30" xfId="0" applyFont="1" applyBorder="1" applyAlignment="1">
      <alignment horizontal="left" vertical="center" wrapText="1"/>
    </xf>
    <xf numFmtId="0" fontId="53" fillId="0" borderId="43" xfId="0" applyFont="1" applyBorder="1">
      <alignment vertical="center"/>
    </xf>
    <xf numFmtId="0" fontId="53" fillId="0" borderId="28" xfId="0" applyFont="1" applyBorder="1">
      <alignment vertical="center"/>
    </xf>
    <xf numFmtId="0" fontId="53" fillId="0" borderId="28" xfId="0" quotePrefix="1" applyFont="1" applyBorder="1" applyAlignment="1">
      <alignment vertical="center" wrapText="1"/>
    </xf>
    <xf numFmtId="0" fontId="53" fillId="0" borderId="28" xfId="0" quotePrefix="1" applyFont="1" applyBorder="1">
      <alignment vertical="center"/>
    </xf>
    <xf numFmtId="0" fontId="8" fillId="0" borderId="28" xfId="0" applyFont="1" applyBorder="1" applyAlignment="1">
      <alignment horizontal="center" vertical="center" wrapText="1"/>
    </xf>
    <xf numFmtId="0" fontId="8" fillId="0" borderId="28" xfId="0" applyFont="1" applyBorder="1" applyAlignment="1">
      <alignment horizontal="center" vertical="center"/>
    </xf>
    <xf numFmtId="0" fontId="8" fillId="0" borderId="36" xfId="0" applyFont="1" applyBorder="1" applyAlignment="1">
      <alignment horizontal="center" vertical="center" wrapText="1"/>
    </xf>
    <xf numFmtId="0" fontId="2" fillId="4" borderId="11" xfId="0" applyFont="1" applyFill="1" applyBorder="1" applyAlignment="1">
      <alignment horizontal="center" vertical="center" wrapText="1"/>
    </xf>
    <xf numFmtId="0" fontId="2" fillId="4" borderId="0" xfId="0" applyFont="1" applyFill="1" applyAlignment="1">
      <alignment horizontal="center" vertical="center"/>
    </xf>
    <xf numFmtId="0" fontId="51" fillId="3" borderId="24"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24" xfId="0" applyFont="1" applyFill="1" applyBorder="1" applyAlignment="1">
      <alignment horizontal="center" vertical="center" wrapText="1"/>
    </xf>
    <xf numFmtId="0" fontId="2" fillId="3" borderId="30" xfId="0" applyFont="1" applyFill="1" applyBorder="1" applyAlignment="1">
      <alignment horizontal="center" vertical="center"/>
    </xf>
    <xf numFmtId="0" fontId="2" fillId="3" borderId="31" xfId="0" applyFont="1" applyFill="1" applyBorder="1" applyAlignment="1">
      <alignment horizontal="center" vertical="center"/>
    </xf>
    <xf numFmtId="0" fontId="2" fillId="3" borderId="32" xfId="0" applyFont="1" applyFill="1" applyBorder="1" applyAlignment="1">
      <alignment horizontal="center" vertical="center"/>
    </xf>
    <xf numFmtId="0" fontId="2" fillId="3" borderId="33" xfId="0" applyFont="1" applyFill="1" applyBorder="1" applyAlignment="1">
      <alignment horizontal="center" vertical="center"/>
    </xf>
    <xf numFmtId="0" fontId="2" fillId="4" borderId="31"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4" borderId="21" xfId="0" applyFont="1" applyFill="1" applyBorder="1" applyAlignment="1">
      <alignment horizontal="center" vertical="center" wrapText="1"/>
    </xf>
    <xf numFmtId="0" fontId="2" fillId="3" borderId="30" xfId="0" applyFont="1" applyFill="1" applyBorder="1" applyAlignment="1">
      <alignment horizontal="center" vertical="center" wrapText="1"/>
    </xf>
    <xf numFmtId="0" fontId="2" fillId="3" borderId="45" xfId="0" applyFont="1" applyFill="1" applyBorder="1" applyAlignment="1">
      <alignment horizontal="center" vertical="center"/>
    </xf>
    <xf numFmtId="0" fontId="2" fillId="3" borderId="46" xfId="0" applyFont="1" applyFill="1" applyBorder="1" applyAlignment="1">
      <alignment horizontal="center" vertical="center"/>
    </xf>
    <xf numFmtId="0" fontId="2" fillId="4" borderId="15" xfId="0" applyFont="1" applyFill="1" applyBorder="1" applyAlignment="1">
      <alignment horizontal="center" vertical="center" wrapText="1"/>
    </xf>
    <xf numFmtId="0" fontId="2" fillId="4" borderId="38" xfId="0" applyFont="1" applyFill="1" applyBorder="1" applyAlignment="1">
      <alignment horizontal="center" vertical="center" wrapText="1"/>
    </xf>
    <xf numFmtId="0" fontId="2" fillId="4" borderId="27"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2" fillId="4" borderId="11" xfId="0" applyFont="1" applyFill="1" applyBorder="1" applyAlignment="1">
      <alignment horizontal="center" vertical="center"/>
    </xf>
    <xf numFmtId="0" fontId="51" fillId="3" borderId="32" xfId="0" applyFont="1" applyFill="1" applyBorder="1" applyAlignment="1">
      <alignment horizontal="center" vertical="center"/>
    </xf>
    <xf numFmtId="0" fontId="2" fillId="3" borderId="44" xfId="0" applyFont="1" applyFill="1" applyBorder="1" applyAlignment="1">
      <alignment horizontal="center" vertical="center"/>
    </xf>
    <xf numFmtId="0" fontId="2" fillId="3" borderId="24" xfId="0" applyFont="1" applyFill="1" applyBorder="1" applyAlignment="1">
      <alignment horizontal="center" vertical="center"/>
    </xf>
    <xf numFmtId="0" fontId="2" fillId="3" borderId="10" xfId="0" applyFont="1" applyFill="1" applyBorder="1" applyAlignment="1">
      <alignment horizontal="center" vertical="center"/>
    </xf>
  </cellXfs>
  <cellStyles count="2">
    <cellStyle name="Hyperlink" xfId="1" xr:uid="{00000000-0005-0000-0000-000000000000}"/>
    <cellStyle name="표준" xfId="0" builtinId="0"/>
  </cellStyles>
  <dxfs count="142">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보기1" id="{5EBE3FB6-FAB0-4C7C-94AA-5B2D9497C29D}"/>
  <namedSheetView name="보기2" id="{C8110FDF-6829-4AAD-9AEC-FFD584F1B3F5}"/>
  <namedSheetView name="보기3" id="{554F6091-F57E-44F2-8058-488F6E5CFFEC}"/>
  <namedSheetView name="보기4" id="{AA58584A-626D-489C-B767-C5BC60B047DF}">
    <nsvFilter filterId="{00000000-0009-0000-0000-000000000000}" ref="A9:AV1908" tableId="0"/>
  </namedSheetView>
  <namedSheetView name="보기5" id="{6EFBBD26-C4E2-405D-ACFC-D94FAD3E265D}">
    <nsvFilter filterId="{00000000-0009-0000-0000-000000000000}" ref="A9:AV1908" tableId="0"/>
  </namedSheetView>
  <namedSheetView name="보기6" id="{F72B2B5E-AD67-4B91-BFA4-E5A90180B49F}">
    <nsvFilter filterId="{00000000-0009-0000-0000-000000000000}" ref="A9:AV1908" tableId="0"/>
  </namedSheetView>
  <namedSheetView name="보기7" id="{F55B7836-25B5-4A95-8908-E9757D967476}">
    <nsvFilter filterId="{00000000-0009-0000-0000-000000000000}" ref="A9:AV1908" tableId="0"/>
  </namedSheetView>
  <namedSheetView name="보기8" id="{D053C463-A809-4E35-A568-E7FDE547EBFA}">
    <nsvFilter filterId="{00000000-0009-0000-0000-000000000000}" ref="A9:AV1908" tableId="0">
      <columnFilter colId="10">
        <filter colId="10">
          <x:filters>
            <x:filter val="김태용"/>
          </x:filters>
        </filter>
      </columnFilter>
    </nsvFilter>
  </namedSheetView>
</namedSheetView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8" sqref="C8"/>
    </sheetView>
  </sheetViews>
  <sheetFormatPr defaultRowHeight="16.5"/>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AV1925"/>
  <sheetViews>
    <sheetView tabSelected="1" zoomScale="85" zoomScaleNormal="85" workbookViewId="0">
      <pane ySplit="10" topLeftCell="A1903" activePane="bottomLeft" state="frozen"/>
      <selection pane="bottomLeft" activeCell="L1858" sqref="L1858"/>
    </sheetView>
  </sheetViews>
  <sheetFormatPr defaultColWidth="9" defaultRowHeight="16.5" customHeight="1" outlineLevelRow="1" outlineLevelCol="1"/>
  <cols>
    <col min="1" max="1" width="9" customWidth="1"/>
    <col min="2" max="2" width="5.875" customWidth="1"/>
    <col min="3" max="3" width="3.875" style="70" customWidth="1" outlineLevel="1"/>
    <col min="4" max="4" width="4.125" customWidth="1" outlineLevel="1"/>
    <col min="5" max="5" width="9" customWidth="1" outlineLevel="1"/>
    <col min="6" max="6" width="4.75" customWidth="1" outlineLevel="1"/>
    <col min="7" max="7" width="9" customWidth="1"/>
    <col min="8" max="8" width="9" style="70" customWidth="1"/>
    <col min="9" max="9" width="9.5" customWidth="1"/>
    <col min="10" max="10" width="21.75" customWidth="1" outlineLevel="1"/>
    <col min="11" max="11" width="9" customWidth="1"/>
    <col min="12" max="14" width="9.5" customWidth="1" outlineLevel="1"/>
    <col min="15" max="15" width="40.875" style="305" customWidth="1"/>
    <col min="16" max="16" width="64.75" customWidth="1" outlineLevel="1"/>
    <col min="17" max="17" width="6.5" style="70" customWidth="1"/>
    <col min="18" max="18" width="5.75" style="70" customWidth="1"/>
    <col min="19" max="20" width="5.375" customWidth="1"/>
    <col min="21" max="21" width="71.75" customWidth="1"/>
    <col min="22" max="23" width="18" style="70" customWidth="1"/>
    <col min="24" max="24" width="20.875" style="20" customWidth="1"/>
    <col min="25" max="25" width="0.625" style="20" customWidth="1"/>
    <col min="26" max="26" width="21.75" style="24" customWidth="1"/>
    <col min="27" max="27" width="9" style="71" customWidth="1"/>
    <col min="28" max="28" width="9" style="25" customWidth="1"/>
    <col min="29" max="48" width="9" customWidth="1"/>
  </cols>
  <sheetData>
    <row r="1" spans="1:48" ht="20.25">
      <c r="A1" s="2" t="s">
        <v>0</v>
      </c>
      <c r="B1" s="2"/>
      <c r="C1" s="145"/>
      <c r="AB1" s="25" t="s">
        <v>1</v>
      </c>
      <c r="AD1" s="35" t="s">
        <v>2</v>
      </c>
      <c r="AE1" s="35" t="s">
        <v>3</v>
      </c>
      <c r="AF1" s="35" t="s">
        <v>4</v>
      </c>
      <c r="AG1" s="35" t="s">
        <v>5</v>
      </c>
      <c r="AJ1" t="s">
        <v>6</v>
      </c>
      <c r="AK1" s="35" t="s">
        <v>7</v>
      </c>
      <c r="AL1" s="35" t="s">
        <v>8</v>
      </c>
      <c r="AM1" s="35" t="s">
        <v>9</v>
      </c>
      <c r="AN1" s="35" t="s">
        <v>10</v>
      </c>
      <c r="AO1" s="35" t="s">
        <v>11</v>
      </c>
      <c r="AP1" s="35" t="s">
        <v>5</v>
      </c>
      <c r="AR1" s="35" t="s">
        <v>8</v>
      </c>
      <c r="AS1" s="35" t="s">
        <v>9</v>
      </c>
      <c r="AT1" s="35" t="s">
        <v>10</v>
      </c>
      <c r="AU1" s="35" t="s">
        <v>11</v>
      </c>
      <c r="AV1" s="35" t="s">
        <v>5</v>
      </c>
    </row>
    <row r="2" spans="1:48" ht="20.25" hidden="1" customHeight="1" outlineLevel="1">
      <c r="A2" s="2"/>
      <c r="B2" s="2"/>
      <c r="C2" s="145"/>
      <c r="O2"/>
      <c r="AB2" s="70"/>
      <c r="AD2" s="35"/>
      <c r="AE2" s="35"/>
      <c r="AF2" s="35"/>
      <c r="AG2" s="35"/>
      <c r="AK2" s="35" t="s">
        <v>12</v>
      </c>
      <c r="AL2" s="35">
        <v>4</v>
      </c>
      <c r="AM2" s="35"/>
      <c r="AN2" s="35">
        <v>2</v>
      </c>
      <c r="AO2" s="35">
        <v>7</v>
      </c>
      <c r="AP2" s="35">
        <v>13</v>
      </c>
      <c r="AR2" s="193" t="s">
        <v>13</v>
      </c>
      <c r="AS2" s="35"/>
      <c r="AT2" s="35"/>
      <c r="AU2" s="35"/>
      <c r="AV2" s="35"/>
    </row>
    <row r="3" spans="1:48" ht="20.25" hidden="1" customHeight="1" outlineLevel="1">
      <c r="A3" s="2"/>
      <c r="B3" s="2"/>
      <c r="C3" s="145"/>
      <c r="O3"/>
      <c r="AB3" s="71"/>
      <c r="AD3" s="57" t="s">
        <v>14</v>
      </c>
      <c r="AE3" s="58">
        <v>620</v>
      </c>
      <c r="AF3" s="127">
        <v>1072</v>
      </c>
      <c r="AG3" s="59">
        <v>1692</v>
      </c>
      <c r="AI3" s="218"/>
      <c r="AK3" s="57" t="s">
        <v>14</v>
      </c>
      <c r="AL3" s="58">
        <v>1175</v>
      </c>
      <c r="AM3" s="58">
        <v>160</v>
      </c>
      <c r="AN3" s="58">
        <v>194</v>
      </c>
      <c r="AO3" s="58">
        <v>175</v>
      </c>
      <c r="AP3" s="59">
        <v>1704</v>
      </c>
      <c r="AR3" s="131" t="b">
        <v>0</v>
      </c>
      <c r="AS3" s="131" t="b">
        <v>0</v>
      </c>
      <c r="AT3" s="131" t="s">
        <v>15</v>
      </c>
      <c r="AU3" s="131" t="b">
        <v>0</v>
      </c>
      <c r="AV3" s="131" t="b">
        <v>0</v>
      </c>
    </row>
    <row r="4" spans="1:48" ht="20.25" hidden="1" customHeight="1" outlineLevel="1">
      <c r="A4" s="2" t="s">
        <v>16</v>
      </c>
      <c r="B4" s="2"/>
      <c r="C4" s="145"/>
      <c r="O4"/>
      <c r="AB4" s="71"/>
      <c r="AD4" s="36" t="s">
        <v>17</v>
      </c>
      <c r="AE4" s="45">
        <v>111</v>
      </c>
      <c r="AF4" s="45">
        <v>315</v>
      </c>
      <c r="AG4" s="45">
        <v>426</v>
      </c>
      <c r="AK4" s="36" t="s">
        <v>17</v>
      </c>
      <c r="AL4" s="120">
        <v>325</v>
      </c>
      <c r="AM4" s="120">
        <v>32</v>
      </c>
      <c r="AN4" s="120">
        <v>39</v>
      </c>
      <c r="AO4" s="120">
        <v>30</v>
      </c>
      <c r="AP4" s="120">
        <v>426</v>
      </c>
    </row>
    <row r="5" spans="1:48" ht="20.25" hidden="1" customHeight="1" outlineLevel="1">
      <c r="A5" s="2"/>
      <c r="B5" s="2"/>
      <c r="C5" s="145"/>
      <c r="O5"/>
      <c r="AB5" s="71"/>
      <c r="AD5" s="36" t="s">
        <v>18</v>
      </c>
      <c r="AE5" s="36">
        <v>0</v>
      </c>
      <c r="AF5" s="36">
        <v>0</v>
      </c>
      <c r="AG5" s="37">
        <v>0</v>
      </c>
      <c r="AK5" s="45" t="s">
        <v>19</v>
      </c>
      <c r="AL5" s="120">
        <v>0</v>
      </c>
      <c r="AM5" s="120">
        <v>0</v>
      </c>
      <c r="AN5" s="120">
        <v>0</v>
      </c>
      <c r="AO5" s="120">
        <v>0</v>
      </c>
      <c r="AP5" s="121">
        <v>0</v>
      </c>
    </row>
    <row r="6" spans="1:48" ht="20.25" hidden="1" customHeight="1" outlineLevel="1">
      <c r="A6" s="2"/>
      <c r="B6" s="2"/>
      <c r="C6" s="145"/>
      <c r="D6" s="206" t="s">
        <v>20</v>
      </c>
      <c r="E6" s="206"/>
      <c r="F6" s="206"/>
      <c r="G6" s="206"/>
      <c r="H6" s="319" t="s">
        <v>21</v>
      </c>
      <c r="I6" s="319"/>
      <c r="J6" s="319"/>
      <c r="O6"/>
      <c r="AB6" s="71"/>
      <c r="AD6" s="34" t="s">
        <v>22</v>
      </c>
      <c r="AE6" s="38">
        <v>503</v>
      </c>
      <c r="AF6" s="38">
        <v>754</v>
      </c>
      <c r="AG6" s="39">
        <v>1257</v>
      </c>
      <c r="AK6" s="34" t="s">
        <v>22</v>
      </c>
      <c r="AL6" s="38">
        <v>843</v>
      </c>
      <c r="AM6" s="38">
        <v>127</v>
      </c>
      <c r="AN6" s="38">
        <v>155</v>
      </c>
      <c r="AO6" s="38">
        <v>144</v>
      </c>
      <c r="AP6" s="39">
        <v>1269</v>
      </c>
      <c r="AR6" s="131" t="s">
        <v>15</v>
      </c>
      <c r="AS6" s="131" t="s">
        <v>15</v>
      </c>
      <c r="AT6" s="131" t="s">
        <v>15</v>
      </c>
      <c r="AU6" s="131" t="s">
        <v>15</v>
      </c>
      <c r="AV6" s="131" t="s">
        <v>15</v>
      </c>
    </row>
    <row r="7" spans="1:48" ht="16.5" hidden="1" customHeight="1" outlineLevel="1">
      <c r="O7"/>
      <c r="AB7" s="71"/>
      <c r="AD7" s="36" t="s">
        <v>23</v>
      </c>
      <c r="AE7" s="45">
        <v>375</v>
      </c>
      <c r="AF7" s="45">
        <v>696</v>
      </c>
      <c r="AG7" s="45">
        <v>1071</v>
      </c>
      <c r="AK7" s="36" t="s">
        <v>23</v>
      </c>
      <c r="AL7" s="51">
        <v>727</v>
      </c>
      <c r="AM7" s="51">
        <v>116</v>
      </c>
      <c r="AN7" s="51">
        <v>130</v>
      </c>
      <c r="AO7" s="51">
        <v>98</v>
      </c>
      <c r="AP7" s="120">
        <v>1071</v>
      </c>
    </row>
    <row r="8" spans="1:48" ht="36" customHeight="1" collapsed="1">
      <c r="A8" s="323" t="s">
        <v>24</v>
      </c>
      <c r="B8" s="323" t="s">
        <v>25</v>
      </c>
      <c r="C8" s="324" t="s">
        <v>26</v>
      </c>
      <c r="D8" s="325"/>
      <c r="E8" s="325"/>
      <c r="F8" s="325"/>
      <c r="G8" s="325"/>
      <c r="H8" s="326"/>
      <c r="I8" s="204" t="s">
        <v>27</v>
      </c>
      <c r="J8" s="205" t="s">
        <v>28</v>
      </c>
      <c r="K8" s="205" t="s">
        <v>29</v>
      </c>
      <c r="L8" s="324" t="s">
        <v>30</v>
      </c>
      <c r="M8" s="325"/>
      <c r="N8" s="325"/>
      <c r="O8" s="339"/>
      <c r="P8" s="340"/>
      <c r="Q8" s="328" t="s">
        <v>31</v>
      </c>
      <c r="R8" s="329"/>
      <c r="S8" s="329"/>
      <c r="T8" s="329"/>
      <c r="U8" s="330"/>
      <c r="V8" s="334" t="s">
        <v>32</v>
      </c>
      <c r="W8" s="318"/>
      <c r="X8" s="338" t="s">
        <v>33</v>
      </c>
      <c r="Y8" s="338"/>
      <c r="Z8" s="160"/>
      <c r="AA8" s="327" t="s">
        <v>34</v>
      </c>
      <c r="AB8" s="168">
        <v>0</v>
      </c>
      <c r="AC8" s="1"/>
      <c r="AD8" s="36" t="s">
        <v>35</v>
      </c>
      <c r="AE8" s="36">
        <v>33</v>
      </c>
      <c r="AF8" s="36">
        <v>24</v>
      </c>
      <c r="AG8" s="37">
        <v>57</v>
      </c>
      <c r="AK8" s="45" t="s">
        <v>35</v>
      </c>
      <c r="AL8" s="51">
        <f>COUNTIFS($Q:$Q,"검토중",$C:$C,"건축")</f>
        <v>8</v>
      </c>
      <c r="AM8" s="51">
        <f>COUNTIFS($Q:$Q,"검토중",$C:$C,"개발")</f>
        <v>0</v>
      </c>
      <c r="AN8" s="51">
        <f>COUNTIFS($Q:$Q,"검토중",$C:$C,"인프라")</f>
        <v>3</v>
      </c>
      <c r="AO8" s="51" cm="1">
        <f t="array" ref="AO8">+SUM(COUNTIFS($Q:$Q,"검토중",$C:$C,{"인사지원","기획실","기획","안전환경","직속부서","직속","법무실"}))</f>
        <v>2</v>
      </c>
      <c r="AP8" s="121">
        <f>SUM(AL8:AO8)</f>
        <v>13</v>
      </c>
    </row>
    <row r="9" spans="1:48" ht="28.5" customHeight="1">
      <c r="A9" s="323"/>
      <c r="B9" s="323"/>
      <c r="C9" s="323" t="s">
        <v>36</v>
      </c>
      <c r="D9" s="341" t="s">
        <v>37</v>
      </c>
      <c r="E9" s="341" t="s">
        <v>38</v>
      </c>
      <c r="F9" s="323" t="s">
        <v>39</v>
      </c>
      <c r="G9" s="323" t="s">
        <v>40</v>
      </c>
      <c r="H9" s="323" t="s">
        <v>41</v>
      </c>
      <c r="I9" s="323" t="s">
        <v>27</v>
      </c>
      <c r="J9" s="331" t="s">
        <v>42</v>
      </c>
      <c r="K9" s="331" t="s">
        <v>43</v>
      </c>
      <c r="L9" s="322" t="s">
        <v>44</v>
      </c>
      <c r="M9" s="322" t="s">
        <v>45</v>
      </c>
      <c r="N9" s="322" t="s">
        <v>46</v>
      </c>
      <c r="O9" s="320" t="s">
        <v>47</v>
      </c>
      <c r="P9" s="332" t="s">
        <v>48</v>
      </c>
      <c r="Q9" s="334" t="s">
        <v>49</v>
      </c>
      <c r="R9" s="335" t="s">
        <v>50</v>
      </c>
      <c r="S9" s="318" t="s">
        <v>51</v>
      </c>
      <c r="T9" s="318" t="s">
        <v>52</v>
      </c>
      <c r="U9" s="337" t="s">
        <v>53</v>
      </c>
      <c r="V9" s="334" t="s">
        <v>54</v>
      </c>
      <c r="W9" s="318" t="s">
        <v>55</v>
      </c>
      <c r="X9" s="338" t="s">
        <v>56</v>
      </c>
      <c r="Y9" s="338" t="s">
        <v>57</v>
      </c>
      <c r="Z9" s="159" t="s">
        <v>58</v>
      </c>
      <c r="AA9" s="327"/>
      <c r="AB9" s="164" t="s">
        <v>59</v>
      </c>
      <c r="AC9" s="1"/>
      <c r="AD9" s="57" t="s">
        <v>60</v>
      </c>
      <c r="AE9" s="58">
        <v>80</v>
      </c>
      <c r="AF9" s="58">
        <v>25</v>
      </c>
      <c r="AG9" s="59">
        <v>105</v>
      </c>
      <c r="AK9" s="57" t="s">
        <v>60</v>
      </c>
      <c r="AL9" s="58">
        <f>+COUNTIFS($R:$R,"o",$C:$C,"건축")+4</f>
        <v>84</v>
      </c>
      <c r="AM9" s="58">
        <f>+COUNTIFS($R:$R,"o",$C:$C,"개발")</f>
        <v>4</v>
      </c>
      <c r="AN9" s="58">
        <f>+COUNTIFS($R:$R,"o",$C:$C,"인프라")+2</f>
        <v>12</v>
      </c>
      <c r="AO9" s="58" cm="1">
        <f t="array" ref="AO9">SUM(COUNTIFS($R:$R,"O",$C:$C,{"인사지원","기획실","기획","안전환경","외주구매","직속부서","직속","법무실"}))+7</f>
        <v>36</v>
      </c>
      <c r="AP9" s="58">
        <f>SUM(AL9:AO9)</f>
        <v>136</v>
      </c>
    </row>
    <row r="10" spans="1:48" ht="17.45" hidden="1" customHeight="1">
      <c r="A10" s="323"/>
      <c r="B10" s="323"/>
      <c r="C10" s="323"/>
      <c r="D10" s="342"/>
      <c r="E10" s="342"/>
      <c r="F10" s="323"/>
      <c r="G10" s="323"/>
      <c r="H10" s="323"/>
      <c r="I10" s="323"/>
      <c r="J10" s="331"/>
      <c r="K10" s="331"/>
      <c r="L10" s="321"/>
      <c r="M10" s="321"/>
      <c r="N10" s="321"/>
      <c r="O10" s="321"/>
      <c r="P10" s="333"/>
      <c r="Q10" s="334"/>
      <c r="R10" s="336"/>
      <c r="S10" s="318"/>
      <c r="T10" s="318"/>
      <c r="U10" s="337"/>
      <c r="V10" s="334"/>
      <c r="W10" s="318"/>
      <c r="X10" s="338"/>
      <c r="Y10" s="338"/>
      <c r="Z10" s="161"/>
      <c r="AA10" s="327"/>
      <c r="AB10" s="164"/>
      <c r="AC10" s="1"/>
      <c r="AD10" s="34" t="s">
        <v>61</v>
      </c>
      <c r="AE10" s="38">
        <v>0</v>
      </c>
      <c r="AF10" s="38">
        <v>0</v>
      </c>
      <c r="AG10" s="39">
        <v>0</v>
      </c>
      <c r="AK10" s="34" t="s">
        <v>61</v>
      </c>
      <c r="AL10" s="34">
        <v>59</v>
      </c>
      <c r="AM10" s="34">
        <v>2</v>
      </c>
      <c r="AN10" s="34">
        <v>5</v>
      </c>
      <c r="AO10" s="34">
        <v>28</v>
      </c>
      <c r="AP10" s="34">
        <v>94</v>
      </c>
    </row>
    <row r="11" spans="1:48" ht="66" hidden="1">
      <c r="A11" s="88">
        <v>1</v>
      </c>
      <c r="B11" s="79" t="s">
        <v>62</v>
      </c>
      <c r="C11" s="219" t="s">
        <v>8</v>
      </c>
      <c r="D11" s="80" t="s">
        <v>63</v>
      </c>
      <c r="E11" s="82" t="s">
        <v>64</v>
      </c>
      <c r="F11" s="80" t="s">
        <v>65</v>
      </c>
      <c r="G11" s="81" t="s">
        <v>66</v>
      </c>
      <c r="H11" s="80" t="s">
        <v>67</v>
      </c>
      <c r="I11" s="83">
        <v>45474</v>
      </c>
      <c r="J11" s="80" t="s">
        <v>68</v>
      </c>
      <c r="K11" s="80" t="s">
        <v>69</v>
      </c>
      <c r="L11" s="84" t="s">
        <v>70</v>
      </c>
      <c r="M11" s="84" t="s">
        <v>71</v>
      </c>
      <c r="N11" s="84" t="s">
        <v>72</v>
      </c>
      <c r="O11" s="85" t="s">
        <v>73</v>
      </c>
      <c r="P11" s="85" t="s">
        <v>74</v>
      </c>
      <c r="Q11" s="49" t="s">
        <v>75</v>
      </c>
      <c r="R11" s="25" t="s">
        <v>75</v>
      </c>
      <c r="S11" s="56">
        <v>28</v>
      </c>
      <c r="T11" s="56">
        <v>82</v>
      </c>
      <c r="U11" s="220" t="s">
        <v>76</v>
      </c>
      <c r="V11" s="221" t="s">
        <v>75</v>
      </c>
      <c r="W11" s="222" t="s">
        <v>77</v>
      </c>
      <c r="X11" s="78" t="s">
        <v>78</v>
      </c>
      <c r="Y11" s="78" t="s">
        <v>78</v>
      </c>
      <c r="Z11" s="93" t="s">
        <v>79</v>
      </c>
      <c r="AA11" s="87"/>
      <c r="AC11" s="40"/>
      <c r="AD11" s="60" t="s">
        <v>80</v>
      </c>
      <c r="AL11" s="131" t="s">
        <v>8</v>
      </c>
      <c r="AM11" s="131" t="s">
        <v>9</v>
      </c>
      <c r="AN11" s="131" t="s">
        <v>10</v>
      </c>
      <c r="AO11" s="131" t="s">
        <v>11</v>
      </c>
      <c r="AP11" s="131" t="s">
        <v>81</v>
      </c>
    </row>
    <row r="12" spans="1:48" ht="185.25" hidden="1" customHeight="1">
      <c r="A12" s="88">
        <v>2</v>
      </c>
      <c r="B12" s="79" t="s">
        <v>82</v>
      </c>
      <c r="C12" s="148" t="s">
        <v>8</v>
      </c>
      <c r="D12" s="80" t="s">
        <v>83</v>
      </c>
      <c r="E12" s="82" t="s">
        <v>84</v>
      </c>
      <c r="F12" s="80" t="s">
        <v>65</v>
      </c>
      <c r="G12" s="81" t="s">
        <v>85</v>
      </c>
      <c r="H12" s="80" t="s">
        <v>86</v>
      </c>
      <c r="I12" s="83">
        <v>45474</v>
      </c>
      <c r="J12" s="80" t="s">
        <v>87</v>
      </c>
      <c r="K12" s="80" t="s">
        <v>69</v>
      </c>
      <c r="L12" s="84"/>
      <c r="M12" s="84" t="s">
        <v>88</v>
      </c>
      <c r="N12" s="84" t="s">
        <v>72</v>
      </c>
      <c r="O12" s="85" t="s">
        <v>89</v>
      </c>
      <c r="P12" s="85" t="s">
        <v>90</v>
      </c>
      <c r="Q12" s="49" t="s">
        <v>75</v>
      </c>
      <c r="R12" s="25" t="s">
        <v>91</v>
      </c>
      <c r="S12" s="56">
        <v>20</v>
      </c>
      <c r="T12" s="56">
        <v>68</v>
      </c>
      <c r="U12" s="223" t="s">
        <v>92</v>
      </c>
      <c r="V12" s="221"/>
      <c r="W12" s="222" t="s">
        <v>76</v>
      </c>
      <c r="X12" s="78" t="s">
        <v>78</v>
      </c>
      <c r="Y12" s="25"/>
      <c r="Z12" s="93" t="s">
        <v>93</v>
      </c>
      <c r="AA12" s="170"/>
      <c r="AB12" s="177"/>
      <c r="AC12" s="41"/>
      <c r="AL12">
        <v>13</v>
      </c>
    </row>
    <row r="13" spans="1:48" ht="76.5" hidden="1" customHeight="1">
      <c r="A13" s="88">
        <v>3</v>
      </c>
      <c r="B13" s="79" t="s">
        <v>94</v>
      </c>
      <c r="C13" s="148" t="s">
        <v>8</v>
      </c>
      <c r="D13" s="80" t="s">
        <v>83</v>
      </c>
      <c r="E13" s="82" t="s">
        <v>95</v>
      </c>
      <c r="F13" s="80" t="s">
        <v>65</v>
      </c>
      <c r="G13" s="81" t="s">
        <v>96</v>
      </c>
      <c r="H13" s="80" t="s">
        <v>97</v>
      </c>
      <c r="I13" s="83">
        <v>45474</v>
      </c>
      <c r="J13" s="80" t="s">
        <v>98</v>
      </c>
      <c r="K13" s="80" t="s">
        <v>99</v>
      </c>
      <c r="L13" s="84" t="s">
        <v>100</v>
      </c>
      <c r="M13" s="84" t="s">
        <v>101</v>
      </c>
      <c r="N13" s="84" t="s">
        <v>72</v>
      </c>
      <c r="O13" s="85" t="s">
        <v>102</v>
      </c>
      <c r="P13" s="85" t="s">
        <v>103</v>
      </c>
      <c r="Q13" s="49" t="s">
        <v>75</v>
      </c>
      <c r="R13" s="25" t="s">
        <v>75</v>
      </c>
      <c r="S13" s="56">
        <v>25</v>
      </c>
      <c r="T13" s="56">
        <v>71</v>
      </c>
      <c r="U13" s="224"/>
      <c r="V13" s="163" t="s">
        <v>75</v>
      </c>
      <c r="W13" s="225" t="s">
        <v>104</v>
      </c>
      <c r="X13" s="78" t="s">
        <v>78</v>
      </c>
      <c r="Y13" s="78" t="s">
        <v>105</v>
      </c>
      <c r="Z13" s="93" t="s">
        <v>106</v>
      </c>
      <c r="AA13" s="87"/>
      <c r="AC13" s="40"/>
      <c r="AL13">
        <v>62</v>
      </c>
      <c r="AO13">
        <v>45</v>
      </c>
    </row>
    <row r="14" spans="1:48" ht="165" hidden="1">
      <c r="A14" s="88">
        <v>4</v>
      </c>
      <c r="B14" s="79" t="s">
        <v>107</v>
      </c>
      <c r="C14" s="148" t="s">
        <v>8</v>
      </c>
      <c r="D14" s="80" t="s">
        <v>83</v>
      </c>
      <c r="E14" s="82" t="s">
        <v>108</v>
      </c>
      <c r="F14" s="80" t="s">
        <v>109</v>
      </c>
      <c r="G14" s="81" t="s">
        <v>96</v>
      </c>
      <c r="H14" s="80" t="s">
        <v>110</v>
      </c>
      <c r="I14" s="83">
        <v>45474</v>
      </c>
      <c r="J14" s="80" t="s">
        <v>111</v>
      </c>
      <c r="K14" s="80" t="s">
        <v>112</v>
      </c>
      <c r="L14" s="84" t="s">
        <v>113</v>
      </c>
      <c r="M14" s="84" t="s">
        <v>114</v>
      </c>
      <c r="N14" s="84" t="s">
        <v>72</v>
      </c>
      <c r="O14" s="85" t="s">
        <v>115</v>
      </c>
      <c r="P14" s="85" t="s">
        <v>116</v>
      </c>
      <c r="Q14" s="49" t="s">
        <v>75</v>
      </c>
      <c r="R14" s="25" t="s">
        <v>91</v>
      </c>
      <c r="S14" s="56">
        <v>18</v>
      </c>
      <c r="T14" s="56">
        <v>58</v>
      </c>
      <c r="U14" s="226" t="s">
        <v>117</v>
      </c>
      <c r="V14" s="137"/>
      <c r="W14" s="225" t="s">
        <v>76</v>
      </c>
      <c r="X14" s="78" t="s">
        <v>78</v>
      </c>
      <c r="Y14" s="25"/>
      <c r="Z14" s="93" t="s">
        <v>93</v>
      </c>
      <c r="AA14" s="87"/>
      <c r="AC14" s="40"/>
      <c r="AL14">
        <v>1106</v>
      </c>
      <c r="AO14">
        <v>181</v>
      </c>
    </row>
    <row r="15" spans="1:48" ht="33" hidden="1">
      <c r="A15" s="88">
        <v>5</v>
      </c>
      <c r="B15" s="79" t="s">
        <v>118</v>
      </c>
      <c r="C15" s="148" t="s">
        <v>8</v>
      </c>
      <c r="D15" s="80" t="s">
        <v>83</v>
      </c>
      <c r="E15" s="82" t="s">
        <v>119</v>
      </c>
      <c r="F15" s="80" t="s">
        <v>120</v>
      </c>
      <c r="G15" s="81" t="s">
        <v>96</v>
      </c>
      <c r="H15" s="80" t="s">
        <v>121</v>
      </c>
      <c r="I15" s="83">
        <v>45474</v>
      </c>
      <c r="J15" s="80" t="s">
        <v>111</v>
      </c>
      <c r="K15" s="80" t="s">
        <v>112</v>
      </c>
      <c r="L15" s="84" t="s">
        <v>122</v>
      </c>
      <c r="M15" s="84" t="s">
        <v>114</v>
      </c>
      <c r="N15" s="84" t="s">
        <v>72</v>
      </c>
      <c r="O15" s="85" t="s">
        <v>123</v>
      </c>
      <c r="P15" s="85" t="s">
        <v>124</v>
      </c>
      <c r="Q15" s="49" t="s">
        <v>75</v>
      </c>
      <c r="R15" s="25" t="s">
        <v>91</v>
      </c>
      <c r="S15" s="56">
        <v>21</v>
      </c>
      <c r="T15" s="56">
        <v>67</v>
      </c>
      <c r="U15" s="227" t="s">
        <v>125</v>
      </c>
      <c r="V15" s="63"/>
      <c r="W15" s="225" t="s">
        <v>76</v>
      </c>
      <c r="X15" s="78" t="s">
        <v>78</v>
      </c>
      <c r="Y15" s="25"/>
      <c r="Z15" s="93" t="s">
        <v>93</v>
      </c>
      <c r="AA15" s="87"/>
      <c r="AC15" s="40"/>
      <c r="AK15" t="s">
        <v>126</v>
      </c>
      <c r="AL15">
        <f>COUNTIFS($C:$C,"건축")</f>
        <v>1310</v>
      </c>
      <c r="AM15">
        <f>COUNTIFS($C:$C,"개발")</f>
        <v>164</v>
      </c>
      <c r="AN15">
        <f>COUNTIFS($C:$C,"인프라")</f>
        <v>250</v>
      </c>
      <c r="AO15">
        <f>1850-SUM(AL15:AN15)</f>
        <v>126</v>
      </c>
    </row>
    <row r="16" spans="1:48" ht="49.5" hidden="1">
      <c r="A16" s="88">
        <v>6</v>
      </c>
      <c r="B16" s="79" t="s">
        <v>127</v>
      </c>
      <c r="C16" s="148" t="s">
        <v>8</v>
      </c>
      <c r="D16" s="80" t="s">
        <v>83</v>
      </c>
      <c r="E16" s="82" t="s">
        <v>128</v>
      </c>
      <c r="F16" s="80" t="s">
        <v>65</v>
      </c>
      <c r="G16" s="81" t="s">
        <v>96</v>
      </c>
      <c r="H16" s="80" t="s">
        <v>129</v>
      </c>
      <c r="I16" s="83">
        <v>45474</v>
      </c>
      <c r="J16" s="80" t="s">
        <v>111</v>
      </c>
      <c r="K16" s="80" t="s">
        <v>112</v>
      </c>
      <c r="L16" s="84" t="s">
        <v>122</v>
      </c>
      <c r="M16" s="84" t="s">
        <v>114</v>
      </c>
      <c r="N16" s="84" t="s">
        <v>72</v>
      </c>
      <c r="O16" s="85" t="s">
        <v>130</v>
      </c>
      <c r="P16" s="85" t="s">
        <v>131</v>
      </c>
      <c r="Q16" s="49" t="s">
        <v>75</v>
      </c>
      <c r="R16" s="25" t="s">
        <v>91</v>
      </c>
      <c r="S16" s="56">
        <v>24</v>
      </c>
      <c r="T16" s="76" t="s">
        <v>132</v>
      </c>
      <c r="U16" s="228" t="s">
        <v>133</v>
      </c>
      <c r="V16" s="221"/>
      <c r="W16" s="229" t="s">
        <v>76</v>
      </c>
      <c r="X16" s="78" t="s">
        <v>78</v>
      </c>
      <c r="Y16" s="25"/>
      <c r="Z16" s="93" t="s">
        <v>93</v>
      </c>
      <c r="AA16" s="87" t="s">
        <v>132</v>
      </c>
      <c r="AC16" s="40"/>
      <c r="AK16" t="s">
        <v>134</v>
      </c>
      <c r="AL16">
        <v>82</v>
      </c>
      <c r="AM16">
        <v>4</v>
      </c>
      <c r="AN16">
        <v>12</v>
      </c>
      <c r="AO16">
        <v>36</v>
      </c>
    </row>
    <row r="17" spans="1:38" ht="49.5" hidden="1">
      <c r="A17" s="88">
        <v>7</v>
      </c>
      <c r="B17" s="79" t="s">
        <v>135</v>
      </c>
      <c r="C17" s="148" t="s">
        <v>8</v>
      </c>
      <c r="D17" s="80" t="s">
        <v>83</v>
      </c>
      <c r="E17" s="82" t="s">
        <v>136</v>
      </c>
      <c r="F17" s="80" t="s">
        <v>65</v>
      </c>
      <c r="G17" s="81" t="s">
        <v>96</v>
      </c>
      <c r="H17" s="80" t="s">
        <v>137</v>
      </c>
      <c r="I17" s="83">
        <v>45474</v>
      </c>
      <c r="J17" s="80" t="s">
        <v>68</v>
      </c>
      <c r="K17" s="80" t="s">
        <v>69</v>
      </c>
      <c r="L17" s="84" t="s">
        <v>70</v>
      </c>
      <c r="M17" s="84" t="s">
        <v>71</v>
      </c>
      <c r="N17" s="84" t="s">
        <v>72</v>
      </c>
      <c r="O17" s="85" t="s">
        <v>138</v>
      </c>
      <c r="P17" s="89" t="s">
        <v>139</v>
      </c>
      <c r="Q17" s="49" t="s">
        <v>75</v>
      </c>
      <c r="R17" s="25" t="s">
        <v>75</v>
      </c>
      <c r="S17" s="56">
        <v>26</v>
      </c>
      <c r="T17" s="56">
        <v>82</v>
      </c>
      <c r="U17" s="228" t="s">
        <v>76</v>
      </c>
      <c r="V17" s="221" t="s">
        <v>75</v>
      </c>
      <c r="W17" s="229" t="s">
        <v>77</v>
      </c>
      <c r="X17" s="78" t="s">
        <v>78</v>
      </c>
      <c r="Y17" s="78" t="s">
        <v>78</v>
      </c>
      <c r="Z17" s="93" t="s">
        <v>79</v>
      </c>
      <c r="AA17" s="87"/>
      <c r="AB17" s="52"/>
      <c r="AC17" s="42"/>
      <c r="AF17" s="23" t="s">
        <v>140</v>
      </c>
      <c r="AG17" s="23">
        <v>1114</v>
      </c>
      <c r="AH17" s="23">
        <v>144</v>
      </c>
      <c r="AI17" s="23">
        <v>162</v>
      </c>
      <c r="AJ17" s="23">
        <v>168</v>
      </c>
      <c r="AK17" s="23">
        <v>1588</v>
      </c>
      <c r="AL17" t="s">
        <v>141</v>
      </c>
    </row>
    <row r="18" spans="1:38" ht="82.5" hidden="1">
      <c r="A18" s="88">
        <v>8</v>
      </c>
      <c r="B18" s="79" t="s">
        <v>142</v>
      </c>
      <c r="C18" s="148" t="s">
        <v>8</v>
      </c>
      <c r="D18" s="80" t="s">
        <v>83</v>
      </c>
      <c r="E18" s="82" t="s">
        <v>143</v>
      </c>
      <c r="F18" s="80" t="s">
        <v>65</v>
      </c>
      <c r="G18" s="81" t="s">
        <v>96</v>
      </c>
      <c r="H18" s="80" t="s">
        <v>144</v>
      </c>
      <c r="I18" s="83">
        <v>45474</v>
      </c>
      <c r="J18" s="80" t="s">
        <v>145</v>
      </c>
      <c r="K18" s="80" t="s">
        <v>146</v>
      </c>
      <c r="L18" s="84" t="s">
        <v>147</v>
      </c>
      <c r="M18" s="84" t="s">
        <v>148</v>
      </c>
      <c r="N18" s="84" t="s">
        <v>72</v>
      </c>
      <c r="O18" s="85" t="s">
        <v>149</v>
      </c>
      <c r="P18" s="85" t="s">
        <v>150</v>
      </c>
      <c r="Q18" s="49" t="s">
        <v>75</v>
      </c>
      <c r="R18" s="25" t="s">
        <v>75</v>
      </c>
      <c r="S18" s="56">
        <v>25</v>
      </c>
      <c r="T18" s="56">
        <v>87</v>
      </c>
      <c r="U18" s="228" t="s">
        <v>76</v>
      </c>
      <c r="V18" s="221" t="s">
        <v>75</v>
      </c>
      <c r="W18" s="229" t="s">
        <v>77</v>
      </c>
      <c r="X18" s="78" t="s">
        <v>78</v>
      </c>
      <c r="Y18" s="78" t="s">
        <v>78</v>
      </c>
      <c r="Z18" s="93" t="s">
        <v>79</v>
      </c>
      <c r="AA18" s="87"/>
      <c r="AC18" s="40"/>
      <c r="AF18" s="23" t="s">
        <v>151</v>
      </c>
      <c r="AG18" s="178">
        <v>1175</v>
      </c>
      <c r="AH18" s="178">
        <v>160</v>
      </c>
      <c r="AI18" s="178">
        <v>194</v>
      </c>
      <c r="AJ18" s="178">
        <v>175</v>
      </c>
      <c r="AK18" s="178">
        <v>1704</v>
      </c>
    </row>
    <row r="19" spans="1:38" ht="82.5" hidden="1">
      <c r="A19" s="88">
        <v>9</v>
      </c>
      <c r="B19" s="79" t="s">
        <v>152</v>
      </c>
      <c r="C19" s="148" t="s">
        <v>8</v>
      </c>
      <c r="D19" s="80" t="s">
        <v>63</v>
      </c>
      <c r="E19" s="82" t="s">
        <v>153</v>
      </c>
      <c r="F19" s="80" t="s">
        <v>109</v>
      </c>
      <c r="G19" s="81" t="s">
        <v>154</v>
      </c>
      <c r="H19" s="80" t="s">
        <v>155</v>
      </c>
      <c r="I19" s="83">
        <v>45474</v>
      </c>
      <c r="J19" s="80" t="s">
        <v>98</v>
      </c>
      <c r="K19" s="80" t="s">
        <v>156</v>
      </c>
      <c r="L19" s="84" t="s">
        <v>100</v>
      </c>
      <c r="M19" s="84" t="s">
        <v>101</v>
      </c>
      <c r="N19" s="84" t="s">
        <v>72</v>
      </c>
      <c r="O19" s="85" t="s">
        <v>157</v>
      </c>
      <c r="P19" s="85" t="s">
        <v>158</v>
      </c>
      <c r="Q19" s="49" t="s">
        <v>75</v>
      </c>
      <c r="R19" s="25" t="s">
        <v>91</v>
      </c>
      <c r="S19" s="56">
        <v>20</v>
      </c>
      <c r="T19" s="56">
        <v>68</v>
      </c>
      <c r="U19" s="228" t="s">
        <v>159</v>
      </c>
      <c r="V19" s="62"/>
      <c r="W19" s="225" t="s">
        <v>76</v>
      </c>
      <c r="X19" s="78" t="s">
        <v>78</v>
      </c>
      <c r="Y19" s="25"/>
      <c r="Z19" s="93" t="s">
        <v>93</v>
      </c>
      <c r="AA19" s="87"/>
      <c r="AC19" s="40"/>
      <c r="AF19" s="23" t="s">
        <v>160</v>
      </c>
      <c r="AG19" s="162">
        <v>61</v>
      </c>
      <c r="AH19" s="162">
        <v>16</v>
      </c>
      <c r="AI19" s="162">
        <v>32</v>
      </c>
      <c r="AJ19" s="162">
        <v>7</v>
      </c>
      <c r="AK19" s="162">
        <v>116</v>
      </c>
    </row>
    <row r="20" spans="1:38" ht="49.5" hidden="1">
      <c r="A20" s="88">
        <v>10</v>
      </c>
      <c r="B20" s="79" t="s">
        <v>161</v>
      </c>
      <c r="C20" s="148" t="s">
        <v>8</v>
      </c>
      <c r="D20" s="80" t="s">
        <v>83</v>
      </c>
      <c r="E20" s="82" t="s">
        <v>162</v>
      </c>
      <c r="F20" s="80" t="s">
        <v>109</v>
      </c>
      <c r="G20" s="81" t="s">
        <v>96</v>
      </c>
      <c r="H20" s="80" t="s">
        <v>163</v>
      </c>
      <c r="I20" s="83">
        <v>45474</v>
      </c>
      <c r="J20" s="80" t="s">
        <v>145</v>
      </c>
      <c r="K20" s="80" t="s">
        <v>146</v>
      </c>
      <c r="L20" s="84" t="s">
        <v>147</v>
      </c>
      <c r="M20" s="84" t="s">
        <v>148</v>
      </c>
      <c r="N20" s="84" t="s">
        <v>72</v>
      </c>
      <c r="O20" s="85" t="s">
        <v>164</v>
      </c>
      <c r="P20" s="85" t="s">
        <v>165</v>
      </c>
      <c r="Q20" s="49" t="s">
        <v>75</v>
      </c>
      <c r="R20" s="25" t="s">
        <v>91</v>
      </c>
      <c r="S20" s="56">
        <v>21</v>
      </c>
      <c r="T20" s="76">
        <v>63</v>
      </c>
      <c r="U20" s="228" t="s">
        <v>166</v>
      </c>
      <c r="V20" s="73"/>
      <c r="W20" s="225" t="s">
        <v>76</v>
      </c>
      <c r="X20" s="78" t="s">
        <v>78</v>
      </c>
      <c r="Y20" s="25"/>
      <c r="Z20" s="93" t="s">
        <v>93</v>
      </c>
      <c r="AA20" s="87"/>
      <c r="AC20" s="40"/>
      <c r="AF20" s="23"/>
      <c r="AG20" s="78" t="s">
        <v>8</v>
      </c>
      <c r="AH20" s="78" t="s">
        <v>9</v>
      </c>
      <c r="AI20" s="78" t="s">
        <v>10</v>
      </c>
      <c r="AJ20" s="78" t="s">
        <v>11</v>
      </c>
      <c r="AK20" s="78" t="s">
        <v>81</v>
      </c>
    </row>
    <row r="21" spans="1:38" ht="132" hidden="1">
      <c r="A21" s="88">
        <v>11</v>
      </c>
      <c r="B21" s="79" t="s">
        <v>167</v>
      </c>
      <c r="C21" s="148" t="s">
        <v>8</v>
      </c>
      <c r="D21" s="80" t="s">
        <v>83</v>
      </c>
      <c r="E21" s="82" t="s">
        <v>168</v>
      </c>
      <c r="F21" s="80" t="s">
        <v>120</v>
      </c>
      <c r="G21" s="81" t="s">
        <v>96</v>
      </c>
      <c r="H21" s="80" t="s">
        <v>169</v>
      </c>
      <c r="I21" s="83">
        <v>45474</v>
      </c>
      <c r="J21" s="80" t="s">
        <v>170</v>
      </c>
      <c r="K21" s="80" t="s">
        <v>156</v>
      </c>
      <c r="L21" s="84" t="s">
        <v>171</v>
      </c>
      <c r="M21" s="84" t="s">
        <v>71</v>
      </c>
      <c r="N21" s="84" t="s">
        <v>72</v>
      </c>
      <c r="O21" s="85" t="s">
        <v>172</v>
      </c>
      <c r="P21" s="85" t="s">
        <v>173</v>
      </c>
      <c r="Q21" s="49" t="s">
        <v>75</v>
      </c>
      <c r="R21" s="25" t="s">
        <v>75</v>
      </c>
      <c r="S21" s="56">
        <v>19</v>
      </c>
      <c r="T21" s="56">
        <v>80</v>
      </c>
      <c r="U21" s="228" t="s">
        <v>174</v>
      </c>
      <c r="V21" s="62" t="s">
        <v>75</v>
      </c>
      <c r="W21" s="225" t="s">
        <v>175</v>
      </c>
      <c r="X21" s="78" t="s">
        <v>78</v>
      </c>
      <c r="Y21" s="25" t="s">
        <v>176</v>
      </c>
      <c r="Z21" s="93" t="s">
        <v>93</v>
      </c>
      <c r="AA21" s="87"/>
      <c r="AC21" s="40"/>
    </row>
    <row r="22" spans="1:38" ht="49.5" hidden="1">
      <c r="A22" s="88">
        <v>12</v>
      </c>
      <c r="B22" s="79" t="s">
        <v>177</v>
      </c>
      <c r="C22" s="148" t="s">
        <v>8</v>
      </c>
      <c r="D22" s="80" t="s">
        <v>178</v>
      </c>
      <c r="E22" s="82" t="s">
        <v>179</v>
      </c>
      <c r="F22" s="80" t="s">
        <v>109</v>
      </c>
      <c r="G22" s="81" t="s">
        <v>180</v>
      </c>
      <c r="H22" s="80" t="s">
        <v>181</v>
      </c>
      <c r="I22" s="83">
        <v>45474</v>
      </c>
      <c r="J22" s="80" t="s">
        <v>98</v>
      </c>
      <c r="K22" s="80" t="s">
        <v>156</v>
      </c>
      <c r="L22" s="84" t="s">
        <v>100</v>
      </c>
      <c r="M22" s="84" t="s">
        <v>101</v>
      </c>
      <c r="N22" s="84" t="s">
        <v>72</v>
      </c>
      <c r="O22" s="85" t="s">
        <v>182</v>
      </c>
      <c r="P22" s="85" t="s">
        <v>183</v>
      </c>
      <c r="Q22" s="49" t="s">
        <v>75</v>
      </c>
      <c r="R22" s="25" t="s">
        <v>91</v>
      </c>
      <c r="S22" s="56">
        <v>20</v>
      </c>
      <c r="T22" s="56">
        <v>68</v>
      </c>
      <c r="U22" s="228" t="s">
        <v>159</v>
      </c>
      <c r="V22" s="62"/>
      <c r="W22" s="225" t="s">
        <v>76</v>
      </c>
      <c r="X22" s="78" t="s">
        <v>78</v>
      </c>
      <c r="Y22" s="25"/>
      <c r="Z22" s="93" t="s">
        <v>93</v>
      </c>
      <c r="AA22" s="87"/>
      <c r="AC22" s="40"/>
    </row>
    <row r="23" spans="1:38" ht="107.25" hidden="1" customHeight="1">
      <c r="A23" s="88">
        <v>13</v>
      </c>
      <c r="B23" s="79" t="s">
        <v>184</v>
      </c>
      <c r="C23" s="148" t="s">
        <v>8</v>
      </c>
      <c r="D23" s="80" t="s">
        <v>83</v>
      </c>
      <c r="E23" s="82" t="s">
        <v>185</v>
      </c>
      <c r="F23" s="80" t="s">
        <v>120</v>
      </c>
      <c r="G23" s="81" t="s">
        <v>96</v>
      </c>
      <c r="H23" s="80" t="s">
        <v>186</v>
      </c>
      <c r="I23" s="83">
        <v>45474</v>
      </c>
      <c r="J23" s="80" t="s">
        <v>187</v>
      </c>
      <c r="K23" s="80" t="s">
        <v>188</v>
      </c>
      <c r="L23" s="84" t="s">
        <v>189</v>
      </c>
      <c r="M23" s="84" t="s">
        <v>114</v>
      </c>
      <c r="N23" s="84" t="s">
        <v>72</v>
      </c>
      <c r="O23" s="85" t="s">
        <v>190</v>
      </c>
      <c r="P23" s="85" t="s">
        <v>191</v>
      </c>
      <c r="Q23" s="49" t="s">
        <v>91</v>
      </c>
      <c r="R23" s="25"/>
      <c r="S23" s="56">
        <v>14</v>
      </c>
      <c r="T23" s="56"/>
      <c r="U23" s="230" t="s">
        <v>192</v>
      </c>
      <c r="V23" s="138"/>
      <c r="W23" s="225" t="s">
        <v>76</v>
      </c>
      <c r="X23" s="78"/>
      <c r="Y23" s="25"/>
      <c r="Z23" s="93" t="s">
        <v>193</v>
      </c>
      <c r="AA23" s="87"/>
      <c r="AC23" s="40"/>
    </row>
    <row r="24" spans="1:38" ht="102" hidden="1" customHeight="1">
      <c r="A24" s="88">
        <v>14</v>
      </c>
      <c r="B24" s="79" t="s">
        <v>194</v>
      </c>
      <c r="C24" s="148" t="s">
        <v>8</v>
      </c>
      <c r="D24" s="80" t="s">
        <v>83</v>
      </c>
      <c r="E24" s="82" t="s">
        <v>195</v>
      </c>
      <c r="F24" s="80" t="s">
        <v>120</v>
      </c>
      <c r="G24" s="81" t="s">
        <v>96</v>
      </c>
      <c r="H24" s="80" t="s">
        <v>196</v>
      </c>
      <c r="I24" s="83">
        <v>45474</v>
      </c>
      <c r="J24" s="80" t="s">
        <v>197</v>
      </c>
      <c r="K24" s="80" t="s">
        <v>198</v>
      </c>
      <c r="L24" s="84" t="s">
        <v>199</v>
      </c>
      <c r="M24" s="84" t="s">
        <v>200</v>
      </c>
      <c r="N24" s="84" t="s">
        <v>72</v>
      </c>
      <c r="O24" s="85" t="s">
        <v>201</v>
      </c>
      <c r="P24" s="85" t="s">
        <v>202</v>
      </c>
      <c r="Q24" s="49" t="s">
        <v>75</v>
      </c>
      <c r="R24" s="25" t="s">
        <v>91</v>
      </c>
      <c r="S24" s="56">
        <v>18</v>
      </c>
      <c r="T24" s="56">
        <v>69</v>
      </c>
      <c r="U24" s="228" t="s">
        <v>203</v>
      </c>
      <c r="V24" s="221"/>
      <c r="W24" s="229" t="s">
        <v>76</v>
      </c>
      <c r="X24" s="78" t="s">
        <v>78</v>
      </c>
      <c r="Y24" s="78"/>
      <c r="Z24" s="93" t="s">
        <v>93</v>
      </c>
      <c r="AA24" s="231"/>
      <c r="AB24" s="232"/>
      <c r="AC24" s="233"/>
    </row>
    <row r="25" spans="1:38" ht="99" hidden="1">
      <c r="A25" s="88">
        <v>15</v>
      </c>
      <c r="B25" s="79" t="s">
        <v>204</v>
      </c>
      <c r="C25" s="148" t="s">
        <v>8</v>
      </c>
      <c r="D25" s="80" t="s">
        <v>83</v>
      </c>
      <c r="E25" s="82" t="s">
        <v>195</v>
      </c>
      <c r="F25" s="80" t="s">
        <v>120</v>
      </c>
      <c r="G25" s="81" t="s">
        <v>96</v>
      </c>
      <c r="H25" s="80" t="s">
        <v>196</v>
      </c>
      <c r="I25" s="83">
        <v>45474</v>
      </c>
      <c r="J25" s="80" t="s">
        <v>111</v>
      </c>
      <c r="K25" s="80" t="s">
        <v>112</v>
      </c>
      <c r="L25" s="84" t="s">
        <v>122</v>
      </c>
      <c r="M25" s="84" t="s">
        <v>114</v>
      </c>
      <c r="N25" s="84" t="s">
        <v>72</v>
      </c>
      <c r="O25" s="85" t="s">
        <v>205</v>
      </c>
      <c r="P25" s="90" t="s">
        <v>206</v>
      </c>
      <c r="Q25" s="49" t="s">
        <v>91</v>
      </c>
      <c r="R25" s="25"/>
      <c r="S25" s="56">
        <v>14</v>
      </c>
      <c r="T25" s="56"/>
      <c r="U25" s="228" t="s">
        <v>207</v>
      </c>
      <c r="V25" s="63"/>
      <c r="W25" s="225" t="s">
        <v>76</v>
      </c>
      <c r="X25" s="78"/>
      <c r="Y25" s="25"/>
      <c r="Z25" s="93" t="s">
        <v>193</v>
      </c>
      <c r="AA25" s="231"/>
      <c r="AB25" s="232"/>
      <c r="AC25" s="233"/>
    </row>
    <row r="26" spans="1:38" ht="60.75" hidden="1" customHeight="1">
      <c r="A26" s="88">
        <v>16</v>
      </c>
      <c r="B26" s="79" t="s">
        <v>208</v>
      </c>
      <c r="C26" s="148" t="s">
        <v>8</v>
      </c>
      <c r="D26" s="80" t="s">
        <v>83</v>
      </c>
      <c r="E26" s="82" t="s">
        <v>209</v>
      </c>
      <c r="F26" s="80" t="s">
        <v>65</v>
      </c>
      <c r="G26" s="81" t="s">
        <v>96</v>
      </c>
      <c r="H26" s="80" t="s">
        <v>210</v>
      </c>
      <c r="I26" s="83">
        <v>45474</v>
      </c>
      <c r="J26" s="80" t="s">
        <v>98</v>
      </c>
      <c r="K26" s="80" t="s">
        <v>99</v>
      </c>
      <c r="L26" s="84" t="s">
        <v>100</v>
      </c>
      <c r="M26" s="84" t="s">
        <v>101</v>
      </c>
      <c r="N26" s="84" t="s">
        <v>72</v>
      </c>
      <c r="O26" s="85" t="s">
        <v>211</v>
      </c>
      <c r="P26" s="85" t="s">
        <v>212</v>
      </c>
      <c r="Q26" s="49" t="s">
        <v>75</v>
      </c>
      <c r="R26" s="25" t="s">
        <v>91</v>
      </c>
      <c r="S26" s="56">
        <v>22</v>
      </c>
      <c r="T26" s="56">
        <v>50</v>
      </c>
      <c r="U26" s="228" t="s">
        <v>213</v>
      </c>
      <c r="V26" s="62"/>
      <c r="W26" s="225" t="s">
        <v>76</v>
      </c>
      <c r="X26" s="78" t="s">
        <v>78</v>
      </c>
      <c r="Y26" s="25"/>
      <c r="Z26" s="93" t="s">
        <v>93</v>
      </c>
      <c r="AA26" s="87"/>
      <c r="AC26" s="40"/>
    </row>
    <row r="27" spans="1:38" ht="99" hidden="1">
      <c r="A27" s="88">
        <v>17</v>
      </c>
      <c r="B27" s="79" t="s">
        <v>214</v>
      </c>
      <c r="C27" s="148" t="s">
        <v>8</v>
      </c>
      <c r="D27" s="80" t="s">
        <v>83</v>
      </c>
      <c r="E27" s="82" t="s">
        <v>215</v>
      </c>
      <c r="F27" s="80" t="s">
        <v>109</v>
      </c>
      <c r="G27" s="81" t="s">
        <v>96</v>
      </c>
      <c r="H27" s="80" t="s">
        <v>216</v>
      </c>
      <c r="I27" s="83">
        <v>45474</v>
      </c>
      <c r="J27" s="80" t="s">
        <v>111</v>
      </c>
      <c r="K27" s="80" t="s">
        <v>112</v>
      </c>
      <c r="L27" s="84" t="s">
        <v>113</v>
      </c>
      <c r="M27" s="84" t="s">
        <v>114</v>
      </c>
      <c r="N27" s="84" t="s">
        <v>72</v>
      </c>
      <c r="O27" s="85" t="s">
        <v>217</v>
      </c>
      <c r="P27" s="85" t="s">
        <v>218</v>
      </c>
      <c r="Q27" s="49" t="s">
        <v>75</v>
      </c>
      <c r="R27" s="25" t="s">
        <v>91</v>
      </c>
      <c r="S27" s="56">
        <v>19</v>
      </c>
      <c r="T27" s="56">
        <v>65</v>
      </c>
      <c r="U27" s="228" t="s">
        <v>117</v>
      </c>
      <c r="V27" s="73"/>
      <c r="W27" s="225" t="s">
        <v>76</v>
      </c>
      <c r="X27" s="78" t="s">
        <v>78</v>
      </c>
      <c r="Y27" s="25"/>
      <c r="Z27" s="93" t="s">
        <v>93</v>
      </c>
      <c r="AA27" s="87"/>
      <c r="AC27" s="40"/>
    </row>
    <row r="28" spans="1:38" ht="99" hidden="1">
      <c r="A28" s="88">
        <v>18</v>
      </c>
      <c r="B28" s="79" t="s">
        <v>219</v>
      </c>
      <c r="C28" s="148" t="s">
        <v>8</v>
      </c>
      <c r="D28" s="80" t="s">
        <v>83</v>
      </c>
      <c r="E28" s="82" t="s">
        <v>215</v>
      </c>
      <c r="F28" s="80" t="s">
        <v>109</v>
      </c>
      <c r="G28" s="81" t="s">
        <v>96</v>
      </c>
      <c r="H28" s="80" t="s">
        <v>216</v>
      </c>
      <c r="I28" s="83">
        <v>45474</v>
      </c>
      <c r="J28" s="80" t="s">
        <v>220</v>
      </c>
      <c r="K28" s="80" t="s">
        <v>112</v>
      </c>
      <c r="L28" s="84" t="s">
        <v>122</v>
      </c>
      <c r="M28" s="84" t="s">
        <v>221</v>
      </c>
      <c r="N28" s="84" t="s">
        <v>72</v>
      </c>
      <c r="O28" s="85" t="s">
        <v>222</v>
      </c>
      <c r="P28" s="85" t="s">
        <v>223</v>
      </c>
      <c r="Q28" s="49" t="s">
        <v>75</v>
      </c>
      <c r="R28" s="25" t="s">
        <v>91</v>
      </c>
      <c r="S28" s="56">
        <v>18</v>
      </c>
      <c r="T28" s="56">
        <v>64</v>
      </c>
      <c r="U28" s="228" t="s">
        <v>224</v>
      </c>
      <c r="V28" s="73"/>
      <c r="W28" s="225" t="s">
        <v>76</v>
      </c>
      <c r="X28" s="78" t="s">
        <v>78</v>
      </c>
      <c r="Y28" s="25"/>
      <c r="Z28" s="93" t="s">
        <v>93</v>
      </c>
      <c r="AA28" s="87"/>
      <c r="AC28" s="40"/>
    </row>
    <row r="29" spans="1:38" ht="165" hidden="1">
      <c r="A29" s="88">
        <v>19</v>
      </c>
      <c r="B29" s="79" t="s">
        <v>225</v>
      </c>
      <c r="C29" s="148" t="s">
        <v>8</v>
      </c>
      <c r="D29" s="80" t="s">
        <v>83</v>
      </c>
      <c r="E29" s="82" t="s">
        <v>215</v>
      </c>
      <c r="F29" s="80" t="s">
        <v>109</v>
      </c>
      <c r="G29" s="81" t="s">
        <v>96</v>
      </c>
      <c r="H29" s="80" t="s">
        <v>216</v>
      </c>
      <c r="I29" s="83">
        <v>45474</v>
      </c>
      <c r="J29" s="80" t="s">
        <v>111</v>
      </c>
      <c r="K29" s="80" t="s">
        <v>112</v>
      </c>
      <c r="L29" s="84" t="s">
        <v>122</v>
      </c>
      <c r="M29" s="84" t="s">
        <v>114</v>
      </c>
      <c r="N29" s="84" t="s">
        <v>72</v>
      </c>
      <c r="O29" s="85" t="s">
        <v>226</v>
      </c>
      <c r="P29" s="85" t="s">
        <v>227</v>
      </c>
      <c r="Q29" s="49" t="s">
        <v>75</v>
      </c>
      <c r="R29" s="25" t="s">
        <v>91</v>
      </c>
      <c r="S29" s="56">
        <v>24</v>
      </c>
      <c r="T29" s="76" t="s">
        <v>228</v>
      </c>
      <c r="U29" s="228" t="s">
        <v>229</v>
      </c>
      <c r="V29" s="73"/>
      <c r="W29" s="225" t="s">
        <v>76</v>
      </c>
      <c r="X29" s="78" t="s">
        <v>78</v>
      </c>
      <c r="Y29" s="25"/>
      <c r="Z29" s="93" t="s">
        <v>93</v>
      </c>
      <c r="AA29" s="87"/>
      <c r="AC29" s="40"/>
    </row>
    <row r="30" spans="1:38" ht="33" hidden="1">
      <c r="A30" s="88">
        <v>20</v>
      </c>
      <c r="B30" s="79" t="s">
        <v>230</v>
      </c>
      <c r="C30" s="148" t="s">
        <v>8</v>
      </c>
      <c r="D30" s="80" t="s">
        <v>83</v>
      </c>
      <c r="E30" s="82" t="s">
        <v>231</v>
      </c>
      <c r="F30" s="80" t="s">
        <v>65</v>
      </c>
      <c r="G30" s="81" t="s">
        <v>96</v>
      </c>
      <c r="H30" s="80" t="s">
        <v>232</v>
      </c>
      <c r="I30" s="83">
        <v>45474</v>
      </c>
      <c r="J30" s="80" t="s">
        <v>145</v>
      </c>
      <c r="K30" s="80" t="s">
        <v>146</v>
      </c>
      <c r="L30" s="84" t="s">
        <v>147</v>
      </c>
      <c r="M30" s="84" t="s">
        <v>148</v>
      </c>
      <c r="N30" s="84" t="s">
        <v>72</v>
      </c>
      <c r="O30" s="85" t="s">
        <v>233</v>
      </c>
      <c r="P30" s="85" t="s">
        <v>234</v>
      </c>
      <c r="Q30" s="49" t="s">
        <v>75</v>
      </c>
      <c r="R30" s="25" t="s">
        <v>91</v>
      </c>
      <c r="S30" s="56">
        <v>18</v>
      </c>
      <c r="T30" s="56">
        <v>62</v>
      </c>
      <c r="U30" s="228" t="s">
        <v>235</v>
      </c>
      <c r="V30" s="62"/>
      <c r="W30" s="225" t="s">
        <v>76</v>
      </c>
      <c r="X30" s="78" t="s">
        <v>78</v>
      </c>
      <c r="Y30" s="25"/>
      <c r="Z30" s="93" t="s">
        <v>93</v>
      </c>
      <c r="AA30" s="87"/>
      <c r="AC30" s="40"/>
    </row>
    <row r="31" spans="1:38" ht="54" hidden="1">
      <c r="A31" s="88">
        <v>21</v>
      </c>
      <c r="B31" s="79" t="s">
        <v>236</v>
      </c>
      <c r="C31" s="148" t="s">
        <v>237</v>
      </c>
      <c r="D31" s="80" t="s">
        <v>83</v>
      </c>
      <c r="E31" s="82" t="s">
        <v>238</v>
      </c>
      <c r="F31" s="80" t="s">
        <v>65</v>
      </c>
      <c r="G31" s="81" t="s">
        <v>239</v>
      </c>
      <c r="H31" s="80" t="s">
        <v>240</v>
      </c>
      <c r="I31" s="83">
        <v>45474</v>
      </c>
      <c r="J31" s="80" t="s">
        <v>241</v>
      </c>
      <c r="K31" s="80" t="s">
        <v>198</v>
      </c>
      <c r="L31" s="84" t="s">
        <v>199</v>
      </c>
      <c r="M31" s="84" t="s">
        <v>221</v>
      </c>
      <c r="N31" s="84" t="s">
        <v>72</v>
      </c>
      <c r="O31" s="24" t="s">
        <v>242</v>
      </c>
      <c r="P31" s="85" t="s">
        <v>243</v>
      </c>
      <c r="Q31" s="49" t="s">
        <v>75</v>
      </c>
      <c r="R31" s="25" t="s">
        <v>91</v>
      </c>
      <c r="S31" s="56">
        <v>18</v>
      </c>
      <c r="T31" s="76"/>
      <c r="U31" s="234" t="s">
        <v>244</v>
      </c>
      <c r="V31" s="221"/>
      <c r="W31" s="229" t="s">
        <v>76</v>
      </c>
      <c r="X31" s="78" t="s">
        <v>78</v>
      </c>
      <c r="Y31" s="78"/>
      <c r="Z31" s="93" t="s">
        <v>93</v>
      </c>
      <c r="AA31" s="235" t="s">
        <v>245</v>
      </c>
      <c r="AB31" s="232"/>
      <c r="AC31" s="236"/>
    </row>
    <row r="32" spans="1:38" ht="49.5" hidden="1">
      <c r="A32" s="88">
        <v>22</v>
      </c>
      <c r="B32" s="79" t="s">
        <v>246</v>
      </c>
      <c r="C32" s="148" t="s">
        <v>8</v>
      </c>
      <c r="D32" s="80" t="s">
        <v>83</v>
      </c>
      <c r="E32" s="82" t="s">
        <v>247</v>
      </c>
      <c r="F32" s="80" t="s">
        <v>109</v>
      </c>
      <c r="G32" s="81" t="s">
        <v>248</v>
      </c>
      <c r="H32" s="80" t="s">
        <v>249</v>
      </c>
      <c r="I32" s="83">
        <v>45474</v>
      </c>
      <c r="J32" s="80" t="s">
        <v>250</v>
      </c>
      <c r="K32" s="80" t="s">
        <v>69</v>
      </c>
      <c r="L32" s="84" t="s">
        <v>251</v>
      </c>
      <c r="M32" s="84" t="s">
        <v>252</v>
      </c>
      <c r="N32" s="84" t="s">
        <v>253</v>
      </c>
      <c r="O32" s="85" t="s">
        <v>254</v>
      </c>
      <c r="P32" s="85" t="s">
        <v>255</v>
      </c>
      <c r="Q32" s="49" t="s">
        <v>75</v>
      </c>
      <c r="R32" s="25" t="s">
        <v>91</v>
      </c>
      <c r="S32" s="56">
        <v>20</v>
      </c>
      <c r="T32" s="76" t="s">
        <v>256</v>
      </c>
      <c r="U32" s="228" t="s">
        <v>76</v>
      </c>
      <c r="V32" s="73"/>
      <c r="W32" s="225" t="s">
        <v>76</v>
      </c>
      <c r="X32" s="78" t="s">
        <v>78</v>
      </c>
      <c r="Y32" s="25"/>
      <c r="Z32" s="93" t="s">
        <v>93</v>
      </c>
      <c r="AA32" s="87"/>
      <c r="AC32" s="40"/>
    </row>
    <row r="33" spans="1:29" ht="49.5" hidden="1">
      <c r="A33" s="88">
        <v>23</v>
      </c>
      <c r="B33" s="79" t="s">
        <v>257</v>
      </c>
      <c r="C33" s="148" t="s">
        <v>8</v>
      </c>
      <c r="D33" s="80" t="s">
        <v>83</v>
      </c>
      <c r="E33" s="82" t="s">
        <v>247</v>
      </c>
      <c r="F33" s="80" t="s">
        <v>109</v>
      </c>
      <c r="G33" s="81" t="s">
        <v>248</v>
      </c>
      <c r="H33" s="80" t="s">
        <v>249</v>
      </c>
      <c r="I33" s="83">
        <v>45474</v>
      </c>
      <c r="J33" s="80" t="s">
        <v>98</v>
      </c>
      <c r="K33" s="80" t="s">
        <v>146</v>
      </c>
      <c r="L33" s="84" t="s">
        <v>100</v>
      </c>
      <c r="M33" s="84" t="s">
        <v>101</v>
      </c>
      <c r="N33" s="84" t="s">
        <v>72</v>
      </c>
      <c r="O33" s="85" t="s">
        <v>258</v>
      </c>
      <c r="P33" s="85" t="s">
        <v>259</v>
      </c>
      <c r="Q33" s="49" t="s">
        <v>75</v>
      </c>
      <c r="R33" s="25" t="s">
        <v>91</v>
      </c>
      <c r="S33" s="56">
        <v>24</v>
      </c>
      <c r="T33" s="76" t="s">
        <v>260</v>
      </c>
      <c r="U33" s="228" t="s">
        <v>261</v>
      </c>
      <c r="V33" s="49"/>
      <c r="W33" s="225" t="s">
        <v>76</v>
      </c>
      <c r="X33" s="78" t="s">
        <v>78</v>
      </c>
      <c r="Y33" s="25"/>
      <c r="Z33" s="93" t="s">
        <v>93</v>
      </c>
      <c r="AA33" s="87"/>
      <c r="AC33" s="40"/>
    </row>
    <row r="34" spans="1:29" ht="148.5" hidden="1">
      <c r="A34" s="88">
        <v>24</v>
      </c>
      <c r="B34" s="79" t="s">
        <v>262</v>
      </c>
      <c r="C34" s="148" t="s">
        <v>8</v>
      </c>
      <c r="D34" s="80" t="s">
        <v>83</v>
      </c>
      <c r="E34" s="82" t="s">
        <v>263</v>
      </c>
      <c r="F34" s="80" t="s">
        <v>120</v>
      </c>
      <c r="G34" s="81" t="s">
        <v>248</v>
      </c>
      <c r="H34" s="80" t="s">
        <v>264</v>
      </c>
      <c r="I34" s="83">
        <v>45474</v>
      </c>
      <c r="J34" s="80" t="s">
        <v>250</v>
      </c>
      <c r="K34" s="80" t="s">
        <v>69</v>
      </c>
      <c r="L34" s="84" t="s">
        <v>251</v>
      </c>
      <c r="M34" s="84" t="s">
        <v>252</v>
      </c>
      <c r="N34" s="84" t="s">
        <v>72</v>
      </c>
      <c r="O34" s="85" t="s">
        <v>265</v>
      </c>
      <c r="P34" s="85" t="s">
        <v>266</v>
      </c>
      <c r="Q34" s="49" t="s">
        <v>75</v>
      </c>
      <c r="R34" s="25" t="s">
        <v>91</v>
      </c>
      <c r="S34" s="56">
        <v>23</v>
      </c>
      <c r="T34" s="56">
        <v>56</v>
      </c>
      <c r="U34" s="223" t="s">
        <v>267</v>
      </c>
      <c r="V34" s="221"/>
      <c r="W34" s="229" t="s">
        <v>76</v>
      </c>
      <c r="X34" s="78" t="s">
        <v>78</v>
      </c>
      <c r="Y34" s="25"/>
      <c r="Z34" s="93" t="s">
        <v>93</v>
      </c>
      <c r="AA34" s="87"/>
      <c r="AC34" s="40"/>
    </row>
    <row r="35" spans="1:29" ht="49.5" hidden="1">
      <c r="A35" s="88">
        <v>25</v>
      </c>
      <c r="B35" s="79" t="s">
        <v>268</v>
      </c>
      <c r="C35" s="148" t="s">
        <v>8</v>
      </c>
      <c r="D35" s="80" t="s">
        <v>83</v>
      </c>
      <c r="E35" s="82" t="s">
        <v>269</v>
      </c>
      <c r="F35" s="80" t="s">
        <v>120</v>
      </c>
      <c r="G35" s="81" t="s">
        <v>248</v>
      </c>
      <c r="H35" s="80" t="s">
        <v>270</v>
      </c>
      <c r="I35" s="83">
        <v>45474</v>
      </c>
      <c r="J35" s="80" t="s">
        <v>271</v>
      </c>
      <c r="K35" s="80" t="s">
        <v>69</v>
      </c>
      <c r="L35" s="84" t="s">
        <v>70</v>
      </c>
      <c r="M35" s="84" t="s">
        <v>101</v>
      </c>
      <c r="N35" s="84" t="s">
        <v>72</v>
      </c>
      <c r="O35" s="85" t="s">
        <v>272</v>
      </c>
      <c r="P35" s="89" t="s">
        <v>273</v>
      </c>
      <c r="Q35" s="49" t="s">
        <v>91</v>
      </c>
      <c r="R35" s="25"/>
      <c r="S35" s="56">
        <v>14</v>
      </c>
      <c r="T35" s="56"/>
      <c r="U35" s="228" t="s">
        <v>274</v>
      </c>
      <c r="V35" s="62"/>
      <c r="W35" s="225" t="s">
        <v>76</v>
      </c>
      <c r="X35" s="78"/>
      <c r="Y35" s="25"/>
      <c r="Z35" s="93" t="s">
        <v>193</v>
      </c>
      <c r="AA35" s="87"/>
      <c r="AC35" s="40"/>
    </row>
    <row r="36" spans="1:29" ht="33" hidden="1">
      <c r="A36" s="88">
        <v>26</v>
      </c>
      <c r="B36" s="79" t="s">
        <v>275</v>
      </c>
      <c r="C36" s="148" t="s">
        <v>8</v>
      </c>
      <c r="D36" s="80" t="s">
        <v>63</v>
      </c>
      <c r="E36" s="82" t="s">
        <v>276</v>
      </c>
      <c r="F36" s="80" t="s">
        <v>120</v>
      </c>
      <c r="G36" s="81" t="s">
        <v>277</v>
      </c>
      <c r="H36" s="80" t="s">
        <v>278</v>
      </c>
      <c r="I36" s="83">
        <v>45474</v>
      </c>
      <c r="J36" s="80" t="s">
        <v>250</v>
      </c>
      <c r="K36" s="80" t="s">
        <v>69</v>
      </c>
      <c r="L36" s="84" t="s">
        <v>251</v>
      </c>
      <c r="M36" s="84" t="s">
        <v>252</v>
      </c>
      <c r="N36" s="84" t="s">
        <v>72</v>
      </c>
      <c r="O36" s="85" t="s">
        <v>279</v>
      </c>
      <c r="P36" s="89" t="s">
        <v>280</v>
      </c>
      <c r="Q36" s="49" t="s">
        <v>91</v>
      </c>
      <c r="R36" s="25"/>
      <c r="S36" s="56">
        <v>12</v>
      </c>
      <c r="T36" s="56"/>
      <c r="U36" s="228" t="s">
        <v>281</v>
      </c>
      <c r="V36" s="62"/>
      <c r="W36" s="225" t="s">
        <v>76</v>
      </c>
      <c r="X36" s="78"/>
      <c r="Y36" s="25"/>
      <c r="Z36" s="93" t="s">
        <v>193</v>
      </c>
      <c r="AA36" s="87"/>
      <c r="AC36" s="40"/>
    </row>
    <row r="37" spans="1:29" ht="49.5" hidden="1">
      <c r="A37" s="88">
        <v>27</v>
      </c>
      <c r="B37" s="79" t="s">
        <v>282</v>
      </c>
      <c r="C37" s="148" t="s">
        <v>8</v>
      </c>
      <c r="D37" s="80" t="s">
        <v>83</v>
      </c>
      <c r="E37" s="82" t="s">
        <v>283</v>
      </c>
      <c r="F37" s="80" t="s">
        <v>284</v>
      </c>
      <c r="G37" s="81" t="s">
        <v>248</v>
      </c>
      <c r="H37" s="80" t="s">
        <v>285</v>
      </c>
      <c r="I37" s="83">
        <v>45474</v>
      </c>
      <c r="J37" s="80" t="s">
        <v>250</v>
      </c>
      <c r="K37" s="80" t="s">
        <v>69</v>
      </c>
      <c r="L37" s="84" t="s">
        <v>251</v>
      </c>
      <c r="M37" s="84" t="s">
        <v>252</v>
      </c>
      <c r="N37" s="84" t="s">
        <v>253</v>
      </c>
      <c r="O37" s="85" t="s">
        <v>286</v>
      </c>
      <c r="P37" s="89" t="s">
        <v>287</v>
      </c>
      <c r="Q37" s="49" t="s">
        <v>75</v>
      </c>
      <c r="R37" s="25" t="s">
        <v>91</v>
      </c>
      <c r="S37" s="56">
        <v>20</v>
      </c>
      <c r="T37" s="76" t="s">
        <v>256</v>
      </c>
      <c r="U37" s="228" t="s">
        <v>76</v>
      </c>
      <c r="V37" s="63"/>
      <c r="W37" s="225" t="s">
        <v>76</v>
      </c>
      <c r="X37" s="78" t="s">
        <v>78</v>
      </c>
      <c r="Y37" s="25"/>
      <c r="Z37" s="93" t="s">
        <v>93</v>
      </c>
      <c r="AA37" s="87"/>
      <c r="AC37" s="40"/>
    </row>
    <row r="38" spans="1:29" ht="49.5" hidden="1">
      <c r="A38" s="88">
        <v>28</v>
      </c>
      <c r="B38" s="79" t="s">
        <v>288</v>
      </c>
      <c r="C38" s="148" t="s">
        <v>8</v>
      </c>
      <c r="D38" s="80" t="s">
        <v>83</v>
      </c>
      <c r="E38" s="82" t="s">
        <v>289</v>
      </c>
      <c r="F38" s="80" t="s">
        <v>120</v>
      </c>
      <c r="G38" s="81" t="s">
        <v>290</v>
      </c>
      <c r="H38" s="80" t="s">
        <v>291</v>
      </c>
      <c r="I38" s="83">
        <v>45474</v>
      </c>
      <c r="J38" s="80" t="s">
        <v>250</v>
      </c>
      <c r="K38" s="80" t="s">
        <v>69</v>
      </c>
      <c r="L38" s="84" t="s">
        <v>251</v>
      </c>
      <c r="M38" s="84" t="s">
        <v>252</v>
      </c>
      <c r="N38" s="84" t="s">
        <v>253</v>
      </c>
      <c r="O38" s="85" t="s">
        <v>292</v>
      </c>
      <c r="P38" s="85" t="s">
        <v>293</v>
      </c>
      <c r="Q38" s="49" t="s">
        <v>91</v>
      </c>
      <c r="R38" s="25"/>
      <c r="S38" s="56">
        <v>9</v>
      </c>
      <c r="T38" s="56"/>
      <c r="U38" s="228" t="s">
        <v>294</v>
      </c>
      <c r="V38" s="62"/>
      <c r="W38" s="225" t="s">
        <v>76</v>
      </c>
      <c r="X38" s="78"/>
      <c r="Y38" s="25"/>
      <c r="Z38" s="93" t="s">
        <v>193</v>
      </c>
      <c r="AA38" s="87"/>
      <c r="AC38" s="40"/>
    </row>
    <row r="39" spans="1:29" ht="222" hidden="1" customHeight="1">
      <c r="A39" s="88">
        <v>29</v>
      </c>
      <c r="B39" s="79" t="s">
        <v>295</v>
      </c>
      <c r="C39" s="148" t="s">
        <v>8</v>
      </c>
      <c r="D39" s="80" t="s">
        <v>83</v>
      </c>
      <c r="E39" s="82" t="s">
        <v>296</v>
      </c>
      <c r="F39" s="80" t="s">
        <v>109</v>
      </c>
      <c r="G39" s="81" t="s">
        <v>248</v>
      </c>
      <c r="H39" s="80" t="s">
        <v>297</v>
      </c>
      <c r="I39" s="83">
        <v>45474</v>
      </c>
      <c r="J39" s="80" t="s">
        <v>298</v>
      </c>
      <c r="K39" s="80" t="s">
        <v>299</v>
      </c>
      <c r="L39" s="84" t="s">
        <v>300</v>
      </c>
      <c r="M39" s="84" t="s">
        <v>252</v>
      </c>
      <c r="N39" s="84" t="s">
        <v>72</v>
      </c>
      <c r="O39" s="85" t="s">
        <v>301</v>
      </c>
      <c r="P39" s="89" t="s">
        <v>302</v>
      </c>
      <c r="Q39" s="49" t="s">
        <v>75</v>
      </c>
      <c r="R39" s="25" t="s">
        <v>75</v>
      </c>
      <c r="S39" s="56">
        <v>23</v>
      </c>
      <c r="T39" s="56" t="s">
        <v>303</v>
      </c>
      <c r="U39" s="228" t="s">
        <v>304</v>
      </c>
      <c r="V39" s="137"/>
      <c r="W39" s="225" t="s">
        <v>305</v>
      </c>
      <c r="X39" s="78" t="s">
        <v>78</v>
      </c>
      <c r="Y39" s="25"/>
      <c r="Z39" s="93" t="s">
        <v>106</v>
      </c>
      <c r="AA39" s="87" t="s">
        <v>306</v>
      </c>
      <c r="AC39" s="40"/>
    </row>
    <row r="40" spans="1:29" ht="82.5" hidden="1">
      <c r="A40" s="88">
        <v>30</v>
      </c>
      <c r="B40" s="79" t="s">
        <v>307</v>
      </c>
      <c r="C40" s="148" t="s">
        <v>8</v>
      </c>
      <c r="D40" s="80" t="s">
        <v>83</v>
      </c>
      <c r="E40" s="82" t="s">
        <v>308</v>
      </c>
      <c r="F40" s="80" t="s">
        <v>109</v>
      </c>
      <c r="G40" s="81" t="s">
        <v>248</v>
      </c>
      <c r="H40" s="80" t="s">
        <v>309</v>
      </c>
      <c r="I40" s="83">
        <v>45474</v>
      </c>
      <c r="J40" s="80" t="s">
        <v>187</v>
      </c>
      <c r="K40" s="80" t="s">
        <v>188</v>
      </c>
      <c r="L40" s="84" t="s">
        <v>189</v>
      </c>
      <c r="M40" s="84" t="s">
        <v>114</v>
      </c>
      <c r="N40" s="84" t="s">
        <v>310</v>
      </c>
      <c r="O40" s="85" t="s">
        <v>311</v>
      </c>
      <c r="P40" s="89" t="s">
        <v>312</v>
      </c>
      <c r="Q40" s="49" t="s">
        <v>75</v>
      </c>
      <c r="R40" s="25" t="s">
        <v>91</v>
      </c>
      <c r="S40" s="56">
        <v>20</v>
      </c>
      <c r="T40" s="56" t="s">
        <v>313</v>
      </c>
      <c r="U40" s="228" t="s">
        <v>76</v>
      </c>
      <c r="V40" s="49"/>
      <c r="W40" s="225" t="s">
        <v>76</v>
      </c>
      <c r="X40" s="78" t="s">
        <v>78</v>
      </c>
      <c r="Y40" s="25"/>
      <c r="Z40" s="93" t="s">
        <v>93</v>
      </c>
      <c r="AA40" s="87"/>
      <c r="AC40" s="40"/>
    </row>
    <row r="41" spans="1:29" ht="33" hidden="1">
      <c r="A41" s="88">
        <v>31</v>
      </c>
      <c r="B41" s="79" t="s">
        <v>314</v>
      </c>
      <c r="C41" s="148" t="s">
        <v>8</v>
      </c>
      <c r="D41" s="80" t="s">
        <v>83</v>
      </c>
      <c r="E41" s="82" t="s">
        <v>315</v>
      </c>
      <c r="F41" s="80" t="s">
        <v>109</v>
      </c>
      <c r="G41" s="81" t="s">
        <v>248</v>
      </c>
      <c r="H41" s="80" t="s">
        <v>316</v>
      </c>
      <c r="I41" s="83">
        <v>45474</v>
      </c>
      <c r="J41" s="80" t="s">
        <v>317</v>
      </c>
      <c r="K41" s="80" t="s">
        <v>69</v>
      </c>
      <c r="L41" s="84" t="s">
        <v>251</v>
      </c>
      <c r="M41" s="84" t="s">
        <v>318</v>
      </c>
      <c r="N41" s="84" t="s">
        <v>72</v>
      </c>
      <c r="O41" s="165" t="s">
        <v>319</v>
      </c>
      <c r="P41" s="89" t="s">
        <v>320</v>
      </c>
      <c r="Q41" s="49" t="s">
        <v>75</v>
      </c>
      <c r="R41" s="25" t="s">
        <v>75</v>
      </c>
      <c r="S41" s="56">
        <v>28</v>
      </c>
      <c r="T41" s="56">
        <v>90</v>
      </c>
      <c r="U41" s="228"/>
      <c r="V41" s="221" t="s">
        <v>75</v>
      </c>
      <c r="W41" s="229" t="s">
        <v>77</v>
      </c>
      <c r="X41" s="78" t="s">
        <v>78</v>
      </c>
      <c r="Y41" s="78" t="s">
        <v>78</v>
      </c>
      <c r="Z41" s="93" t="s">
        <v>79</v>
      </c>
      <c r="AA41" s="87"/>
      <c r="AC41" s="40"/>
    </row>
    <row r="42" spans="1:29" ht="271.5" hidden="1" customHeight="1">
      <c r="A42" s="88">
        <v>32</v>
      </c>
      <c r="B42" s="79" t="s">
        <v>321</v>
      </c>
      <c r="C42" s="148" t="s">
        <v>8</v>
      </c>
      <c r="D42" s="80" t="s">
        <v>83</v>
      </c>
      <c r="E42" s="82" t="s">
        <v>315</v>
      </c>
      <c r="F42" s="80" t="s">
        <v>109</v>
      </c>
      <c r="G42" s="81" t="s">
        <v>248</v>
      </c>
      <c r="H42" s="80" t="s">
        <v>316</v>
      </c>
      <c r="I42" s="83">
        <v>45474</v>
      </c>
      <c r="J42" s="80" t="s">
        <v>111</v>
      </c>
      <c r="K42" s="80" t="s">
        <v>112</v>
      </c>
      <c r="L42" s="84" t="s">
        <v>122</v>
      </c>
      <c r="M42" s="84" t="s">
        <v>114</v>
      </c>
      <c r="N42" s="84" t="s">
        <v>72</v>
      </c>
      <c r="O42" s="85" t="s">
        <v>322</v>
      </c>
      <c r="P42" s="89" t="s">
        <v>323</v>
      </c>
      <c r="Q42" s="49" t="s">
        <v>75</v>
      </c>
      <c r="R42" s="25" t="s">
        <v>91</v>
      </c>
      <c r="S42" s="56">
        <v>19</v>
      </c>
      <c r="T42" s="56">
        <v>58</v>
      </c>
      <c r="U42" s="228" t="s">
        <v>324</v>
      </c>
      <c r="V42" s="99"/>
      <c r="W42" s="225" t="s">
        <v>76</v>
      </c>
      <c r="X42" s="78" t="s">
        <v>78</v>
      </c>
      <c r="Y42" s="25"/>
      <c r="Z42" s="93" t="s">
        <v>93</v>
      </c>
      <c r="AA42" s="87"/>
      <c r="AC42" s="40"/>
    </row>
    <row r="43" spans="1:29" ht="33" hidden="1">
      <c r="A43" s="88">
        <v>33</v>
      </c>
      <c r="B43" s="79" t="s">
        <v>325</v>
      </c>
      <c r="C43" s="148" t="s">
        <v>8</v>
      </c>
      <c r="D43" s="80" t="s">
        <v>83</v>
      </c>
      <c r="E43" s="82" t="s">
        <v>315</v>
      </c>
      <c r="F43" s="80" t="s">
        <v>109</v>
      </c>
      <c r="G43" s="81" t="s">
        <v>248</v>
      </c>
      <c r="H43" s="80" t="s">
        <v>316</v>
      </c>
      <c r="I43" s="83">
        <v>45474</v>
      </c>
      <c r="J43" s="80" t="s">
        <v>187</v>
      </c>
      <c r="K43" s="80" t="s">
        <v>188</v>
      </c>
      <c r="L43" s="84" t="s">
        <v>189</v>
      </c>
      <c r="M43" s="84" t="s">
        <v>114</v>
      </c>
      <c r="N43" s="84" t="s">
        <v>72</v>
      </c>
      <c r="O43" s="85" t="s">
        <v>326</v>
      </c>
      <c r="P43" s="89" t="s">
        <v>327</v>
      </c>
      <c r="Q43" s="49" t="s">
        <v>91</v>
      </c>
      <c r="R43" s="25"/>
      <c r="S43" s="56">
        <v>12</v>
      </c>
      <c r="T43" s="56"/>
      <c r="U43" s="228" t="s">
        <v>328</v>
      </c>
      <c r="V43" s="49"/>
      <c r="W43" s="225" t="s">
        <v>76</v>
      </c>
      <c r="X43" s="78"/>
      <c r="Y43" s="25"/>
      <c r="Z43" s="93" t="s">
        <v>193</v>
      </c>
      <c r="AA43" s="87"/>
      <c r="AC43" s="40"/>
    </row>
    <row r="44" spans="1:29" ht="49.5" hidden="1">
      <c r="A44" s="88">
        <v>34</v>
      </c>
      <c r="B44" s="79" t="s">
        <v>329</v>
      </c>
      <c r="C44" s="148" t="s">
        <v>8</v>
      </c>
      <c r="D44" s="80" t="s">
        <v>83</v>
      </c>
      <c r="E44" s="82" t="s">
        <v>330</v>
      </c>
      <c r="F44" s="80" t="s">
        <v>120</v>
      </c>
      <c r="G44" s="81" t="s">
        <v>248</v>
      </c>
      <c r="H44" s="80" t="s">
        <v>331</v>
      </c>
      <c r="I44" s="83">
        <v>45474</v>
      </c>
      <c r="J44" s="80" t="s">
        <v>332</v>
      </c>
      <c r="K44" s="80" t="s">
        <v>198</v>
      </c>
      <c r="L44" s="84" t="s">
        <v>189</v>
      </c>
      <c r="M44" s="84" t="s">
        <v>200</v>
      </c>
      <c r="N44" s="84" t="s">
        <v>72</v>
      </c>
      <c r="O44" s="89" t="s">
        <v>333</v>
      </c>
      <c r="P44" s="89" t="s">
        <v>334</v>
      </c>
      <c r="Q44" s="49" t="s">
        <v>75</v>
      </c>
      <c r="R44" s="25" t="s">
        <v>91</v>
      </c>
      <c r="S44" s="56">
        <v>20</v>
      </c>
      <c r="T44" s="56"/>
      <c r="U44" s="228" t="s">
        <v>335</v>
      </c>
      <c r="V44" s="221"/>
      <c r="W44" s="229"/>
      <c r="X44" s="78" t="s">
        <v>78</v>
      </c>
      <c r="Y44" s="78"/>
      <c r="Z44" s="111" t="s">
        <v>93</v>
      </c>
      <c r="AA44" s="87"/>
      <c r="AC44" s="40"/>
    </row>
    <row r="45" spans="1:29" ht="99" hidden="1">
      <c r="A45" s="88">
        <v>35</v>
      </c>
      <c r="B45" s="79" t="s">
        <v>336</v>
      </c>
      <c r="C45" s="148" t="s">
        <v>8</v>
      </c>
      <c r="D45" s="80" t="s">
        <v>83</v>
      </c>
      <c r="E45" s="124" t="s">
        <v>337</v>
      </c>
      <c r="F45" s="80" t="s">
        <v>338</v>
      </c>
      <c r="G45" s="81" t="s">
        <v>339</v>
      </c>
      <c r="H45" s="80" t="s">
        <v>340</v>
      </c>
      <c r="I45" s="83">
        <v>45474</v>
      </c>
      <c r="J45" s="80" t="s">
        <v>341</v>
      </c>
      <c r="K45" s="80" t="s">
        <v>69</v>
      </c>
      <c r="L45" s="84" t="s">
        <v>70</v>
      </c>
      <c r="M45" s="84" t="s">
        <v>252</v>
      </c>
      <c r="N45" s="84" t="s">
        <v>72</v>
      </c>
      <c r="O45" s="237" t="s">
        <v>342</v>
      </c>
      <c r="P45" s="89" t="s">
        <v>343</v>
      </c>
      <c r="Q45" s="49" t="s">
        <v>75</v>
      </c>
      <c r="R45" s="25" t="s">
        <v>91</v>
      </c>
      <c r="S45" s="56">
        <v>20</v>
      </c>
      <c r="T45" s="56">
        <v>60</v>
      </c>
      <c r="U45" s="228" t="s">
        <v>344</v>
      </c>
      <c r="V45" s="73"/>
      <c r="W45" s="225" t="s">
        <v>76</v>
      </c>
      <c r="X45" s="78" t="s">
        <v>78</v>
      </c>
      <c r="Y45" s="25"/>
      <c r="Z45" s="93" t="s">
        <v>93</v>
      </c>
      <c r="AA45" s="87"/>
      <c r="AC45" s="40"/>
    </row>
    <row r="46" spans="1:29" ht="33" hidden="1">
      <c r="A46" s="88">
        <v>36</v>
      </c>
      <c r="B46" s="79" t="s">
        <v>345</v>
      </c>
      <c r="C46" s="148" t="s">
        <v>8</v>
      </c>
      <c r="D46" s="80" t="s">
        <v>83</v>
      </c>
      <c r="E46" s="82" t="s">
        <v>337</v>
      </c>
      <c r="F46" s="80" t="s">
        <v>338</v>
      </c>
      <c r="G46" s="81" t="s">
        <v>339</v>
      </c>
      <c r="H46" s="80" t="s">
        <v>340</v>
      </c>
      <c r="I46" s="83">
        <v>45474</v>
      </c>
      <c r="J46" s="80" t="s">
        <v>241</v>
      </c>
      <c r="K46" s="80" t="s">
        <v>198</v>
      </c>
      <c r="L46" s="84" t="s">
        <v>199</v>
      </c>
      <c r="M46" s="84" t="s">
        <v>221</v>
      </c>
      <c r="N46" s="84" t="s">
        <v>72</v>
      </c>
      <c r="O46" s="238" t="s">
        <v>346</v>
      </c>
      <c r="P46" s="89" t="s">
        <v>347</v>
      </c>
      <c r="Q46" s="49" t="s">
        <v>75</v>
      </c>
      <c r="R46" s="25" t="s">
        <v>91</v>
      </c>
      <c r="S46" s="56">
        <v>20</v>
      </c>
      <c r="T46" s="56">
        <v>46</v>
      </c>
      <c r="U46" s="228" t="s">
        <v>348</v>
      </c>
      <c r="V46" s="66"/>
      <c r="W46" s="225" t="s">
        <v>76</v>
      </c>
      <c r="X46" s="78" t="s">
        <v>78</v>
      </c>
      <c r="Y46" s="78"/>
      <c r="Z46" s="93" t="s">
        <v>93</v>
      </c>
      <c r="AA46" s="239"/>
      <c r="AB46" s="55"/>
      <c r="AC46" s="240"/>
    </row>
    <row r="47" spans="1:29" ht="66" hidden="1">
      <c r="A47" s="88">
        <v>37</v>
      </c>
      <c r="B47" s="79" t="s">
        <v>349</v>
      </c>
      <c r="C47" s="148" t="s">
        <v>8</v>
      </c>
      <c r="D47" s="80" t="s">
        <v>83</v>
      </c>
      <c r="E47" s="82" t="s">
        <v>350</v>
      </c>
      <c r="F47" s="80" t="s">
        <v>109</v>
      </c>
      <c r="G47" s="81" t="s">
        <v>339</v>
      </c>
      <c r="H47" s="80" t="s">
        <v>351</v>
      </c>
      <c r="I47" s="83">
        <v>45474</v>
      </c>
      <c r="J47" s="80" t="s">
        <v>111</v>
      </c>
      <c r="K47" s="80" t="s">
        <v>112</v>
      </c>
      <c r="L47" s="84" t="s">
        <v>122</v>
      </c>
      <c r="M47" s="84" t="s">
        <v>114</v>
      </c>
      <c r="N47" s="84" t="s">
        <v>72</v>
      </c>
      <c r="O47" s="238" t="s">
        <v>352</v>
      </c>
      <c r="P47" s="89" t="s">
        <v>353</v>
      </c>
      <c r="Q47" s="49" t="s">
        <v>75</v>
      </c>
      <c r="R47" s="25" t="s">
        <v>91</v>
      </c>
      <c r="S47" s="56">
        <v>23</v>
      </c>
      <c r="T47" s="56">
        <v>68</v>
      </c>
      <c r="U47" s="228" t="s">
        <v>354</v>
      </c>
      <c r="V47" s="63"/>
      <c r="W47" s="225" t="s">
        <v>76</v>
      </c>
      <c r="X47" s="78" t="s">
        <v>78</v>
      </c>
      <c r="Y47" s="25"/>
      <c r="Z47" s="93" t="s">
        <v>93</v>
      </c>
      <c r="AA47" s="87"/>
      <c r="AC47" s="40"/>
    </row>
    <row r="48" spans="1:29" ht="66" hidden="1">
      <c r="A48" s="88">
        <v>38</v>
      </c>
      <c r="B48" s="79" t="s">
        <v>355</v>
      </c>
      <c r="C48" s="148" t="s">
        <v>8</v>
      </c>
      <c r="D48" s="80" t="s">
        <v>83</v>
      </c>
      <c r="E48" s="82" t="s">
        <v>356</v>
      </c>
      <c r="F48" s="80" t="s">
        <v>120</v>
      </c>
      <c r="G48" s="81" t="s">
        <v>339</v>
      </c>
      <c r="H48" s="80" t="s">
        <v>357</v>
      </c>
      <c r="I48" s="83">
        <v>45474</v>
      </c>
      <c r="J48" s="80" t="s">
        <v>197</v>
      </c>
      <c r="K48" s="80" t="s">
        <v>198</v>
      </c>
      <c r="L48" s="84" t="s">
        <v>199</v>
      </c>
      <c r="M48" s="84" t="s">
        <v>200</v>
      </c>
      <c r="N48" s="84" t="s">
        <v>72</v>
      </c>
      <c r="O48" s="241" t="s">
        <v>358</v>
      </c>
      <c r="P48" s="89" t="s">
        <v>359</v>
      </c>
      <c r="Q48" s="49" t="s">
        <v>75</v>
      </c>
      <c r="R48" s="25" t="s">
        <v>75</v>
      </c>
      <c r="S48" s="56">
        <v>24</v>
      </c>
      <c r="T48" s="76">
        <v>75</v>
      </c>
      <c r="U48" s="242" t="s">
        <v>360</v>
      </c>
      <c r="V48" s="62" t="s">
        <v>75</v>
      </c>
      <c r="W48" s="225" t="s">
        <v>77</v>
      </c>
      <c r="X48" s="78" t="s">
        <v>78</v>
      </c>
      <c r="Y48" s="78" t="s">
        <v>78</v>
      </c>
      <c r="Z48" s="93" t="s">
        <v>79</v>
      </c>
      <c r="AA48" s="171" t="s">
        <v>361</v>
      </c>
      <c r="AB48" s="243"/>
      <c r="AC48" s="244"/>
    </row>
    <row r="49" spans="1:30" ht="49.5" hidden="1">
      <c r="A49" s="88">
        <v>39</v>
      </c>
      <c r="B49" s="79" t="s">
        <v>362</v>
      </c>
      <c r="C49" s="148" t="s">
        <v>8</v>
      </c>
      <c r="D49" s="80" t="s">
        <v>83</v>
      </c>
      <c r="E49" s="82" t="s">
        <v>363</v>
      </c>
      <c r="F49" s="80" t="s">
        <v>65</v>
      </c>
      <c r="G49" s="81" t="s">
        <v>339</v>
      </c>
      <c r="H49" s="80" t="s">
        <v>364</v>
      </c>
      <c r="I49" s="83">
        <v>45474</v>
      </c>
      <c r="J49" s="80" t="s">
        <v>241</v>
      </c>
      <c r="K49" s="80" t="s">
        <v>198</v>
      </c>
      <c r="L49" s="84" t="s">
        <v>199</v>
      </c>
      <c r="M49" s="84" t="s">
        <v>221</v>
      </c>
      <c r="N49" s="84" t="s">
        <v>72</v>
      </c>
      <c r="O49" s="238" t="s">
        <v>365</v>
      </c>
      <c r="P49" s="89" t="s">
        <v>366</v>
      </c>
      <c r="Q49" s="49" t="s">
        <v>75</v>
      </c>
      <c r="R49" s="25" t="s">
        <v>75</v>
      </c>
      <c r="S49" s="56">
        <v>18</v>
      </c>
      <c r="T49" s="112">
        <v>73</v>
      </c>
      <c r="U49" s="242" t="s">
        <v>367</v>
      </c>
      <c r="V49" s="62" t="s">
        <v>75</v>
      </c>
      <c r="W49" s="229" t="s">
        <v>368</v>
      </c>
      <c r="X49" s="78" t="s">
        <v>78</v>
      </c>
      <c r="Y49" s="113" t="s">
        <v>369</v>
      </c>
      <c r="Z49" s="111" t="s">
        <v>106</v>
      </c>
    </row>
    <row r="50" spans="1:30" ht="33" hidden="1">
      <c r="A50" s="88">
        <v>40</v>
      </c>
      <c r="B50" s="79" t="s">
        <v>370</v>
      </c>
      <c r="C50" s="148" t="s">
        <v>8</v>
      </c>
      <c r="D50" s="80" t="s">
        <v>83</v>
      </c>
      <c r="E50" s="82" t="s">
        <v>371</v>
      </c>
      <c r="F50" s="80" t="s">
        <v>109</v>
      </c>
      <c r="G50" s="81" t="s">
        <v>339</v>
      </c>
      <c r="H50" s="80" t="s">
        <v>372</v>
      </c>
      <c r="I50" s="83">
        <v>45474</v>
      </c>
      <c r="J50" s="80" t="s">
        <v>241</v>
      </c>
      <c r="K50" s="80" t="s">
        <v>198</v>
      </c>
      <c r="L50" s="84" t="s">
        <v>199</v>
      </c>
      <c r="M50" s="84" t="s">
        <v>221</v>
      </c>
      <c r="N50" s="84" t="s">
        <v>72</v>
      </c>
      <c r="O50" s="245" t="s">
        <v>373</v>
      </c>
      <c r="P50" s="89" t="s">
        <v>374</v>
      </c>
      <c r="Q50" s="49" t="s">
        <v>75</v>
      </c>
      <c r="R50" s="25" t="s">
        <v>75</v>
      </c>
      <c r="S50" s="56">
        <v>30</v>
      </c>
      <c r="T50" s="76">
        <v>88</v>
      </c>
      <c r="U50" s="242" t="s">
        <v>375</v>
      </c>
      <c r="V50" s="62" t="s">
        <v>75</v>
      </c>
      <c r="W50" s="225" t="s">
        <v>376</v>
      </c>
      <c r="X50" s="78" t="s">
        <v>78</v>
      </c>
      <c r="Y50" s="78" t="s">
        <v>78</v>
      </c>
      <c r="Z50" s="93" t="s">
        <v>79</v>
      </c>
      <c r="AA50" s="171" t="s">
        <v>361</v>
      </c>
      <c r="AB50" s="243"/>
      <c r="AC50" s="244"/>
    </row>
    <row r="51" spans="1:30" ht="49.5" hidden="1">
      <c r="A51" s="88">
        <v>41</v>
      </c>
      <c r="B51" s="79" t="s">
        <v>377</v>
      </c>
      <c r="C51" s="148" t="s">
        <v>8</v>
      </c>
      <c r="D51" s="80" t="s">
        <v>83</v>
      </c>
      <c r="E51" s="82" t="s">
        <v>378</v>
      </c>
      <c r="F51" s="80" t="s">
        <v>109</v>
      </c>
      <c r="G51" s="81" t="s">
        <v>339</v>
      </c>
      <c r="H51" s="80" t="s">
        <v>379</v>
      </c>
      <c r="I51" s="83">
        <v>45474</v>
      </c>
      <c r="J51" s="80" t="s">
        <v>241</v>
      </c>
      <c r="K51" s="80" t="s">
        <v>198</v>
      </c>
      <c r="L51" s="84" t="s">
        <v>199</v>
      </c>
      <c r="M51" s="84" t="s">
        <v>221</v>
      </c>
      <c r="N51" s="84" t="s">
        <v>72</v>
      </c>
      <c r="O51" s="245" t="s">
        <v>380</v>
      </c>
      <c r="P51" s="89" t="s">
        <v>381</v>
      </c>
      <c r="Q51" s="49" t="s">
        <v>75</v>
      </c>
      <c r="R51" s="25" t="s">
        <v>91</v>
      </c>
      <c r="S51" s="56">
        <v>30</v>
      </c>
      <c r="T51" s="55"/>
      <c r="U51" s="228" t="s">
        <v>382</v>
      </c>
      <c r="V51" s="62"/>
      <c r="W51" s="229" t="s">
        <v>76</v>
      </c>
      <c r="X51" s="78" t="s">
        <v>78</v>
      </c>
      <c r="Y51" s="78"/>
      <c r="Z51" s="93" t="s">
        <v>93</v>
      </c>
      <c r="AA51" s="87" t="s">
        <v>383</v>
      </c>
      <c r="AB51" s="169"/>
      <c r="AC51" s="43"/>
      <c r="AD51" t="s">
        <v>384</v>
      </c>
    </row>
    <row r="52" spans="1:30" ht="49.5" hidden="1">
      <c r="A52" s="88">
        <v>42</v>
      </c>
      <c r="B52" s="79" t="s">
        <v>385</v>
      </c>
      <c r="C52" s="148" t="s">
        <v>8</v>
      </c>
      <c r="D52" s="80" t="s">
        <v>83</v>
      </c>
      <c r="E52" s="82" t="s">
        <v>386</v>
      </c>
      <c r="F52" s="80" t="s">
        <v>65</v>
      </c>
      <c r="G52" s="81" t="s">
        <v>339</v>
      </c>
      <c r="H52" s="80" t="s">
        <v>387</v>
      </c>
      <c r="I52" s="83">
        <v>45474</v>
      </c>
      <c r="J52" s="80" t="s">
        <v>241</v>
      </c>
      <c r="K52" s="80" t="s">
        <v>198</v>
      </c>
      <c r="L52" s="84" t="s">
        <v>199</v>
      </c>
      <c r="M52" s="84" t="s">
        <v>221</v>
      </c>
      <c r="N52" s="84" t="s">
        <v>72</v>
      </c>
      <c r="O52" s="238" t="s">
        <v>388</v>
      </c>
      <c r="P52" s="89" t="s">
        <v>389</v>
      </c>
      <c r="Q52" s="49" t="s">
        <v>91</v>
      </c>
      <c r="R52" s="25"/>
      <c r="S52" s="56">
        <v>11</v>
      </c>
      <c r="T52" s="56"/>
      <c r="U52" s="228" t="s">
        <v>390</v>
      </c>
      <c r="V52" s="62"/>
      <c r="W52" s="225" t="s">
        <v>76</v>
      </c>
      <c r="X52" s="78"/>
      <c r="Y52" s="25"/>
      <c r="Z52" s="93" t="s">
        <v>193</v>
      </c>
      <c r="AA52" s="172"/>
      <c r="AB52" s="169"/>
      <c r="AC52" s="43"/>
    </row>
    <row r="53" spans="1:30" ht="135" hidden="1">
      <c r="A53" s="88">
        <v>43</v>
      </c>
      <c r="B53" s="79" t="s">
        <v>391</v>
      </c>
      <c r="C53" s="148" t="s">
        <v>8</v>
      </c>
      <c r="D53" s="80" t="s">
        <v>83</v>
      </c>
      <c r="E53" s="82" t="s">
        <v>392</v>
      </c>
      <c r="F53" s="80" t="s">
        <v>120</v>
      </c>
      <c r="G53" s="81" t="s">
        <v>339</v>
      </c>
      <c r="H53" s="80" t="s">
        <v>393</v>
      </c>
      <c r="I53" s="83">
        <v>45474</v>
      </c>
      <c r="J53" s="80" t="s">
        <v>197</v>
      </c>
      <c r="K53" s="80" t="s">
        <v>198</v>
      </c>
      <c r="L53" s="84" t="s">
        <v>199</v>
      </c>
      <c r="M53" s="84" t="s">
        <v>200</v>
      </c>
      <c r="N53" s="84" t="s">
        <v>72</v>
      </c>
      <c r="O53" s="238" t="s">
        <v>394</v>
      </c>
      <c r="P53" s="89" t="s">
        <v>395</v>
      </c>
      <c r="Q53" s="49" t="s">
        <v>75</v>
      </c>
      <c r="R53" s="25" t="s">
        <v>91</v>
      </c>
      <c r="S53" s="56">
        <v>23</v>
      </c>
      <c r="T53" s="56">
        <v>55</v>
      </c>
      <c r="U53" s="228" t="s">
        <v>396</v>
      </c>
      <c r="V53" s="62"/>
      <c r="W53" s="229"/>
      <c r="X53" s="78" t="s">
        <v>78</v>
      </c>
      <c r="Y53" s="78"/>
      <c r="Z53" s="111" t="s">
        <v>93</v>
      </c>
      <c r="AA53" s="235" t="s">
        <v>397</v>
      </c>
      <c r="AC53" s="40"/>
    </row>
    <row r="54" spans="1:30" ht="33" hidden="1">
      <c r="A54" s="88">
        <v>44</v>
      </c>
      <c r="B54" s="79" t="s">
        <v>398</v>
      </c>
      <c r="C54" s="148" t="s">
        <v>399</v>
      </c>
      <c r="D54" s="80" t="s">
        <v>83</v>
      </c>
      <c r="E54" s="82" t="s">
        <v>400</v>
      </c>
      <c r="F54" s="80" t="s">
        <v>65</v>
      </c>
      <c r="G54" s="81" t="s">
        <v>401</v>
      </c>
      <c r="H54" s="80" t="s">
        <v>402</v>
      </c>
      <c r="I54" s="83">
        <v>45474</v>
      </c>
      <c r="J54" s="80" t="s">
        <v>111</v>
      </c>
      <c r="K54" s="80" t="s">
        <v>112</v>
      </c>
      <c r="L54" s="84" t="s">
        <v>122</v>
      </c>
      <c r="M54" s="84" t="s">
        <v>114</v>
      </c>
      <c r="N54" s="84" t="s">
        <v>72</v>
      </c>
      <c r="O54" s="245" t="s">
        <v>403</v>
      </c>
      <c r="P54" s="89" t="s">
        <v>404</v>
      </c>
      <c r="Q54" s="49" t="s">
        <v>75</v>
      </c>
      <c r="R54" s="25" t="s">
        <v>91</v>
      </c>
      <c r="S54" s="56">
        <v>18</v>
      </c>
      <c r="T54" s="56">
        <v>57</v>
      </c>
      <c r="U54" s="228" t="s">
        <v>405</v>
      </c>
      <c r="V54" s="63"/>
      <c r="W54" s="225" t="s">
        <v>76</v>
      </c>
      <c r="X54" s="78" t="s">
        <v>78</v>
      </c>
      <c r="Y54" s="25"/>
      <c r="Z54" s="93" t="s">
        <v>93</v>
      </c>
      <c r="AA54" s="87"/>
      <c r="AC54" s="40"/>
    </row>
    <row r="55" spans="1:30" ht="66" hidden="1">
      <c r="A55" s="88">
        <v>45</v>
      </c>
      <c r="B55" s="79" t="s">
        <v>406</v>
      </c>
      <c r="C55" s="148" t="s">
        <v>8</v>
      </c>
      <c r="D55" s="80" t="s">
        <v>83</v>
      </c>
      <c r="E55" s="82" t="s">
        <v>407</v>
      </c>
      <c r="F55" s="80" t="s">
        <v>120</v>
      </c>
      <c r="G55" s="81" t="s">
        <v>339</v>
      </c>
      <c r="H55" s="80" t="s">
        <v>408</v>
      </c>
      <c r="I55" s="83">
        <v>45474</v>
      </c>
      <c r="J55" s="80" t="s">
        <v>111</v>
      </c>
      <c r="K55" s="80" t="s">
        <v>112</v>
      </c>
      <c r="L55" s="84" t="s">
        <v>122</v>
      </c>
      <c r="M55" s="84" t="s">
        <v>114</v>
      </c>
      <c r="N55" s="84" t="s">
        <v>72</v>
      </c>
      <c r="O55" s="245" t="s">
        <v>409</v>
      </c>
      <c r="P55" s="85" t="s">
        <v>410</v>
      </c>
      <c r="Q55" s="49" t="s">
        <v>75</v>
      </c>
      <c r="R55" s="25" t="s">
        <v>91</v>
      </c>
      <c r="S55" s="56">
        <v>19</v>
      </c>
      <c r="T55" s="76" t="s">
        <v>228</v>
      </c>
      <c r="U55" s="228" t="s">
        <v>411</v>
      </c>
      <c r="V55" s="63"/>
      <c r="W55" s="225" t="s">
        <v>76</v>
      </c>
      <c r="X55" s="78" t="s">
        <v>78</v>
      </c>
      <c r="Y55" s="25"/>
      <c r="Z55" s="93" t="s">
        <v>93</v>
      </c>
      <c r="AA55" s="87"/>
      <c r="AC55" s="40"/>
    </row>
    <row r="56" spans="1:30" ht="33" hidden="1">
      <c r="A56" s="88">
        <v>46</v>
      </c>
      <c r="B56" s="79" t="s">
        <v>412</v>
      </c>
      <c r="C56" s="148" t="s">
        <v>8</v>
      </c>
      <c r="D56" s="80" t="s">
        <v>83</v>
      </c>
      <c r="E56" s="82" t="s">
        <v>413</v>
      </c>
      <c r="F56" s="80" t="s">
        <v>65</v>
      </c>
      <c r="G56" s="81" t="s">
        <v>339</v>
      </c>
      <c r="H56" s="80" t="s">
        <v>414</v>
      </c>
      <c r="I56" s="83">
        <v>45474</v>
      </c>
      <c r="J56" s="80" t="s">
        <v>241</v>
      </c>
      <c r="K56" s="80" t="s">
        <v>198</v>
      </c>
      <c r="L56" s="84" t="s">
        <v>199</v>
      </c>
      <c r="M56" s="84" t="s">
        <v>221</v>
      </c>
      <c r="N56" s="84" t="s">
        <v>72</v>
      </c>
      <c r="O56" s="238" t="s">
        <v>415</v>
      </c>
      <c r="P56" s="85" t="s">
        <v>416</v>
      </c>
      <c r="Q56" s="49" t="s">
        <v>75</v>
      </c>
      <c r="R56" s="50" t="s">
        <v>75</v>
      </c>
      <c r="S56" s="56">
        <v>23</v>
      </c>
      <c r="T56" s="76">
        <v>84</v>
      </c>
      <c r="U56" s="228" t="s">
        <v>417</v>
      </c>
      <c r="V56" s="62" t="s">
        <v>75</v>
      </c>
      <c r="W56" s="229" t="s">
        <v>418</v>
      </c>
      <c r="X56" s="78" t="s">
        <v>78</v>
      </c>
      <c r="Y56" s="113" t="s">
        <v>369</v>
      </c>
      <c r="Z56" s="93" t="s">
        <v>79</v>
      </c>
      <c r="AA56" s="171" t="s">
        <v>361</v>
      </c>
      <c r="AC56" s="40"/>
    </row>
    <row r="57" spans="1:30" ht="49.5" hidden="1">
      <c r="A57" s="88">
        <v>47</v>
      </c>
      <c r="B57" s="79" t="s">
        <v>419</v>
      </c>
      <c r="C57" s="148" t="s">
        <v>8</v>
      </c>
      <c r="D57" s="80" t="s">
        <v>83</v>
      </c>
      <c r="E57" s="82" t="s">
        <v>420</v>
      </c>
      <c r="F57" s="80" t="s">
        <v>109</v>
      </c>
      <c r="G57" s="81" t="s">
        <v>339</v>
      </c>
      <c r="H57" s="80" t="s">
        <v>421</v>
      </c>
      <c r="I57" s="83">
        <v>45474</v>
      </c>
      <c r="J57" s="80" t="s">
        <v>241</v>
      </c>
      <c r="K57" s="80" t="s">
        <v>198</v>
      </c>
      <c r="L57" s="84" t="s">
        <v>199</v>
      </c>
      <c r="M57" s="84" t="s">
        <v>221</v>
      </c>
      <c r="N57" s="84" t="s">
        <v>72</v>
      </c>
      <c r="O57" s="245" t="s">
        <v>422</v>
      </c>
      <c r="P57" s="85" t="s">
        <v>423</v>
      </c>
      <c r="Q57" s="49" t="s">
        <v>75</v>
      </c>
      <c r="R57" s="25" t="s">
        <v>75</v>
      </c>
      <c r="S57" s="56">
        <v>23</v>
      </c>
      <c r="T57" s="56">
        <v>81</v>
      </c>
      <c r="U57" s="228" t="s">
        <v>424</v>
      </c>
      <c r="V57" s="62" t="s">
        <v>75</v>
      </c>
      <c r="W57" s="229" t="s">
        <v>425</v>
      </c>
      <c r="X57" s="78" t="s">
        <v>78</v>
      </c>
      <c r="Y57" s="78" t="s">
        <v>105</v>
      </c>
      <c r="Z57" s="93" t="s">
        <v>79</v>
      </c>
      <c r="AA57" s="246"/>
      <c r="AB57" s="222"/>
      <c r="AC57" s="247"/>
    </row>
    <row r="58" spans="1:30" ht="33" hidden="1">
      <c r="A58" s="88">
        <v>48</v>
      </c>
      <c r="B58" s="79" t="s">
        <v>426</v>
      </c>
      <c r="C58" s="148" t="s">
        <v>8</v>
      </c>
      <c r="D58" s="80" t="s">
        <v>83</v>
      </c>
      <c r="E58" s="82" t="s">
        <v>427</v>
      </c>
      <c r="F58" s="80" t="s">
        <v>109</v>
      </c>
      <c r="G58" s="81" t="s">
        <v>339</v>
      </c>
      <c r="H58" s="80" t="s">
        <v>428</v>
      </c>
      <c r="I58" s="83">
        <v>45474</v>
      </c>
      <c r="J58" s="80" t="s">
        <v>241</v>
      </c>
      <c r="K58" s="80" t="s">
        <v>69</v>
      </c>
      <c r="L58" s="84" t="s">
        <v>199</v>
      </c>
      <c r="M58" s="84" t="s">
        <v>221</v>
      </c>
      <c r="N58" s="84" t="s">
        <v>72</v>
      </c>
      <c r="O58" s="245" t="s">
        <v>429</v>
      </c>
      <c r="P58" s="85" t="s">
        <v>430</v>
      </c>
      <c r="Q58" s="49" t="s">
        <v>75</v>
      </c>
      <c r="R58" s="25" t="s">
        <v>75</v>
      </c>
      <c r="S58" s="56">
        <v>26</v>
      </c>
      <c r="T58" s="56">
        <v>80</v>
      </c>
      <c r="U58" s="228"/>
      <c r="V58" s="62" t="s">
        <v>75</v>
      </c>
      <c r="W58" s="229" t="s">
        <v>418</v>
      </c>
      <c r="X58" s="78" t="s">
        <v>78</v>
      </c>
      <c r="Y58" s="113" t="s">
        <v>369</v>
      </c>
      <c r="Z58" s="93" t="s">
        <v>79</v>
      </c>
      <c r="AA58" s="87"/>
      <c r="AC58" s="40"/>
    </row>
    <row r="59" spans="1:30" ht="49.5" hidden="1">
      <c r="A59" s="88">
        <v>49</v>
      </c>
      <c r="B59" s="79" t="s">
        <v>431</v>
      </c>
      <c r="C59" s="148" t="s">
        <v>8</v>
      </c>
      <c r="D59" s="80" t="s">
        <v>83</v>
      </c>
      <c r="E59" s="82" t="s">
        <v>432</v>
      </c>
      <c r="F59" s="80" t="s">
        <v>120</v>
      </c>
      <c r="G59" s="81" t="s">
        <v>339</v>
      </c>
      <c r="H59" s="80" t="s">
        <v>433</v>
      </c>
      <c r="I59" s="83">
        <v>45474</v>
      </c>
      <c r="J59" s="80" t="s">
        <v>434</v>
      </c>
      <c r="K59" s="80" t="s">
        <v>198</v>
      </c>
      <c r="L59" s="84" t="s">
        <v>199</v>
      </c>
      <c r="M59" s="84" t="s">
        <v>114</v>
      </c>
      <c r="N59" s="84" t="s">
        <v>72</v>
      </c>
      <c r="O59" s="238" t="s">
        <v>435</v>
      </c>
      <c r="P59" s="85" t="s">
        <v>436</v>
      </c>
      <c r="Q59" s="49" t="s">
        <v>75</v>
      </c>
      <c r="R59" s="25" t="s">
        <v>91</v>
      </c>
      <c r="S59" s="56">
        <v>20</v>
      </c>
      <c r="T59" s="56">
        <v>67</v>
      </c>
      <c r="U59" s="228" t="s">
        <v>437</v>
      </c>
      <c r="V59" s="62"/>
      <c r="W59" s="225" t="s">
        <v>76</v>
      </c>
      <c r="X59" s="78" t="s">
        <v>78</v>
      </c>
      <c r="Y59" s="78"/>
      <c r="Z59" s="93" t="s">
        <v>93</v>
      </c>
      <c r="AA59" s="248"/>
      <c r="AB59" s="249"/>
      <c r="AC59" s="250"/>
    </row>
    <row r="60" spans="1:30" ht="49.5" hidden="1">
      <c r="A60" s="88">
        <v>50</v>
      </c>
      <c r="B60" s="79" t="s">
        <v>438</v>
      </c>
      <c r="C60" s="148" t="s">
        <v>8</v>
      </c>
      <c r="D60" s="80" t="s">
        <v>63</v>
      </c>
      <c r="E60" s="82" t="s">
        <v>439</v>
      </c>
      <c r="F60" s="80" t="s">
        <v>109</v>
      </c>
      <c r="G60" s="81" t="s">
        <v>440</v>
      </c>
      <c r="H60" s="80" t="s">
        <v>441</v>
      </c>
      <c r="I60" s="83">
        <v>45474</v>
      </c>
      <c r="J60" s="80" t="s">
        <v>145</v>
      </c>
      <c r="K60" s="80" t="s">
        <v>146</v>
      </c>
      <c r="L60" s="84" t="s">
        <v>147</v>
      </c>
      <c r="M60" s="84" t="s">
        <v>148</v>
      </c>
      <c r="N60" s="84" t="s">
        <v>72</v>
      </c>
      <c r="O60" s="85" t="s">
        <v>442</v>
      </c>
      <c r="P60" s="85" t="s">
        <v>443</v>
      </c>
      <c r="Q60" s="49" t="s">
        <v>91</v>
      </c>
      <c r="R60" s="25"/>
      <c r="S60" s="56">
        <v>12</v>
      </c>
      <c r="T60" s="56"/>
      <c r="U60" s="228" t="s">
        <v>444</v>
      </c>
      <c r="V60" s="62"/>
      <c r="W60" s="225" t="s">
        <v>76</v>
      </c>
      <c r="X60" s="78"/>
      <c r="Y60" s="25"/>
      <c r="Z60" s="93" t="s">
        <v>93</v>
      </c>
      <c r="AA60" s="87"/>
      <c r="AC60" s="40"/>
    </row>
    <row r="61" spans="1:30" ht="49.5" hidden="1">
      <c r="A61" s="88">
        <v>51</v>
      </c>
      <c r="B61" s="79" t="s">
        <v>445</v>
      </c>
      <c r="C61" s="148" t="s">
        <v>8</v>
      </c>
      <c r="D61" s="80" t="s">
        <v>63</v>
      </c>
      <c r="E61" s="82" t="s">
        <v>439</v>
      </c>
      <c r="F61" s="80" t="s">
        <v>109</v>
      </c>
      <c r="G61" s="81" t="s">
        <v>440</v>
      </c>
      <c r="H61" s="80" t="s">
        <v>441</v>
      </c>
      <c r="I61" s="83">
        <v>45474</v>
      </c>
      <c r="J61" s="80" t="s">
        <v>145</v>
      </c>
      <c r="K61" s="80" t="s">
        <v>146</v>
      </c>
      <c r="L61" s="84" t="s">
        <v>147</v>
      </c>
      <c r="M61" s="84" t="s">
        <v>148</v>
      </c>
      <c r="N61" s="84" t="s">
        <v>72</v>
      </c>
      <c r="O61" s="85" t="s">
        <v>446</v>
      </c>
      <c r="P61" s="85" t="s">
        <v>447</v>
      </c>
      <c r="Q61" s="49" t="s">
        <v>75</v>
      </c>
      <c r="R61" s="25" t="s">
        <v>91</v>
      </c>
      <c r="S61" s="56">
        <v>24</v>
      </c>
      <c r="T61" s="76">
        <v>82</v>
      </c>
      <c r="U61" s="228" t="s">
        <v>448</v>
      </c>
      <c r="V61" s="221"/>
      <c r="W61" s="229"/>
      <c r="X61" s="78" t="s">
        <v>78</v>
      </c>
      <c r="Y61" s="25"/>
      <c r="Z61" s="93" t="s">
        <v>106</v>
      </c>
      <c r="AA61" s="87"/>
      <c r="AC61" s="40"/>
    </row>
    <row r="62" spans="1:30" ht="49.5" hidden="1">
      <c r="A62" s="88">
        <v>52</v>
      </c>
      <c r="B62" s="79" t="s">
        <v>449</v>
      </c>
      <c r="C62" s="148" t="s">
        <v>8</v>
      </c>
      <c r="D62" s="80" t="s">
        <v>63</v>
      </c>
      <c r="E62" s="82" t="s">
        <v>439</v>
      </c>
      <c r="F62" s="80" t="s">
        <v>109</v>
      </c>
      <c r="G62" s="81" t="s">
        <v>440</v>
      </c>
      <c r="H62" s="80" t="s">
        <v>441</v>
      </c>
      <c r="I62" s="83">
        <v>45474</v>
      </c>
      <c r="J62" s="80" t="s">
        <v>145</v>
      </c>
      <c r="K62" s="80" t="s">
        <v>146</v>
      </c>
      <c r="L62" s="84" t="s">
        <v>147</v>
      </c>
      <c r="M62" s="84" t="s">
        <v>148</v>
      </c>
      <c r="N62" s="84" t="s">
        <v>72</v>
      </c>
      <c r="O62" s="85" t="s">
        <v>450</v>
      </c>
      <c r="P62" s="85" t="s">
        <v>451</v>
      </c>
      <c r="Q62" s="49" t="s">
        <v>75</v>
      </c>
      <c r="R62" s="25" t="s">
        <v>91</v>
      </c>
      <c r="S62" s="56">
        <v>24</v>
      </c>
      <c r="T62" s="76" t="s">
        <v>452</v>
      </c>
      <c r="U62" s="228" t="s">
        <v>453</v>
      </c>
      <c r="V62" s="221"/>
      <c r="W62" s="229" t="s">
        <v>76</v>
      </c>
      <c r="X62" s="78" t="s">
        <v>78</v>
      </c>
      <c r="Y62" s="25"/>
      <c r="Z62" s="93" t="s">
        <v>93</v>
      </c>
      <c r="AA62" s="87"/>
      <c r="AC62" s="40"/>
    </row>
    <row r="63" spans="1:30" ht="66" hidden="1">
      <c r="A63" s="88">
        <v>53</v>
      </c>
      <c r="B63" s="79" t="s">
        <v>454</v>
      </c>
      <c r="C63" s="148" t="s">
        <v>8</v>
      </c>
      <c r="D63" s="80" t="s">
        <v>83</v>
      </c>
      <c r="E63" s="82" t="s">
        <v>455</v>
      </c>
      <c r="F63" s="80" t="s">
        <v>120</v>
      </c>
      <c r="G63" s="81" t="s">
        <v>456</v>
      </c>
      <c r="H63" s="80" t="s">
        <v>457</v>
      </c>
      <c r="I63" s="83">
        <v>45474</v>
      </c>
      <c r="J63" s="80" t="s">
        <v>145</v>
      </c>
      <c r="K63" s="80" t="s">
        <v>146</v>
      </c>
      <c r="L63" s="84" t="s">
        <v>147</v>
      </c>
      <c r="M63" s="84" t="s">
        <v>148</v>
      </c>
      <c r="N63" s="84" t="s">
        <v>72</v>
      </c>
      <c r="O63" s="47" t="s">
        <v>458</v>
      </c>
      <c r="P63" s="85" t="s">
        <v>459</v>
      </c>
      <c r="Q63" s="49" t="s">
        <v>75</v>
      </c>
      <c r="R63" s="25" t="s">
        <v>75</v>
      </c>
      <c r="S63" s="56">
        <v>28</v>
      </c>
      <c r="T63" s="76">
        <v>91</v>
      </c>
      <c r="U63" s="228"/>
      <c r="V63" s="221" t="s">
        <v>75</v>
      </c>
      <c r="W63" s="229" t="s">
        <v>460</v>
      </c>
      <c r="X63" s="78" t="s">
        <v>78</v>
      </c>
      <c r="Y63" s="78" t="s">
        <v>78</v>
      </c>
      <c r="Z63" s="93" t="s">
        <v>79</v>
      </c>
      <c r="AA63" s="87"/>
      <c r="AC63" s="40"/>
    </row>
    <row r="64" spans="1:30" ht="132" hidden="1">
      <c r="A64" s="88">
        <v>54</v>
      </c>
      <c r="B64" s="79" t="s">
        <v>461</v>
      </c>
      <c r="C64" s="148" t="s">
        <v>8</v>
      </c>
      <c r="D64" s="80" t="s">
        <v>83</v>
      </c>
      <c r="E64" s="82" t="s">
        <v>455</v>
      </c>
      <c r="F64" s="80" t="s">
        <v>120</v>
      </c>
      <c r="G64" s="81" t="s">
        <v>456</v>
      </c>
      <c r="H64" s="80" t="s">
        <v>457</v>
      </c>
      <c r="I64" s="83">
        <v>45474</v>
      </c>
      <c r="J64" s="80" t="s">
        <v>145</v>
      </c>
      <c r="K64" s="80" t="s">
        <v>146</v>
      </c>
      <c r="L64" s="84" t="s">
        <v>147</v>
      </c>
      <c r="M64" s="84" t="s">
        <v>148</v>
      </c>
      <c r="N64" s="84" t="s">
        <v>72</v>
      </c>
      <c r="O64" s="48" t="s">
        <v>462</v>
      </c>
      <c r="P64" s="85" t="s">
        <v>463</v>
      </c>
      <c r="Q64" s="49" t="s">
        <v>75</v>
      </c>
      <c r="R64" s="25" t="s">
        <v>91</v>
      </c>
      <c r="S64" s="56">
        <v>21</v>
      </c>
      <c r="T64" s="76">
        <v>63</v>
      </c>
      <c r="U64" s="228" t="s">
        <v>166</v>
      </c>
      <c r="V64" s="221"/>
      <c r="W64" s="229"/>
      <c r="X64" s="78" t="s">
        <v>78</v>
      </c>
      <c r="Y64" s="25"/>
      <c r="Z64" s="93" t="s">
        <v>93</v>
      </c>
      <c r="AA64" s="87"/>
      <c r="AC64" s="40"/>
    </row>
    <row r="65" spans="1:29" ht="132" hidden="1">
      <c r="A65" s="88">
        <v>55</v>
      </c>
      <c r="B65" s="79" t="s">
        <v>464</v>
      </c>
      <c r="C65" s="148" t="s">
        <v>8</v>
      </c>
      <c r="D65" s="80" t="s">
        <v>83</v>
      </c>
      <c r="E65" s="82" t="s">
        <v>455</v>
      </c>
      <c r="F65" s="80" t="s">
        <v>120</v>
      </c>
      <c r="G65" s="81" t="s">
        <v>456</v>
      </c>
      <c r="H65" s="80" t="s">
        <v>457</v>
      </c>
      <c r="I65" s="83">
        <v>45474</v>
      </c>
      <c r="J65" s="80" t="s">
        <v>145</v>
      </c>
      <c r="K65" s="80" t="s">
        <v>146</v>
      </c>
      <c r="L65" s="84" t="s">
        <v>147</v>
      </c>
      <c r="M65" s="84" t="s">
        <v>148</v>
      </c>
      <c r="N65" s="84" t="s">
        <v>72</v>
      </c>
      <c r="O65" s="46" t="s">
        <v>465</v>
      </c>
      <c r="P65" s="85" t="s">
        <v>466</v>
      </c>
      <c r="Q65" s="49" t="s">
        <v>75</v>
      </c>
      <c r="R65" s="25" t="s">
        <v>91</v>
      </c>
      <c r="S65" s="56">
        <v>25</v>
      </c>
      <c r="T65" s="76" t="s">
        <v>467</v>
      </c>
      <c r="U65" s="228" t="s">
        <v>468</v>
      </c>
      <c r="V65" s="62"/>
      <c r="W65" s="225" t="s">
        <v>76</v>
      </c>
      <c r="X65" s="78" t="s">
        <v>78</v>
      </c>
      <c r="Y65" s="25"/>
      <c r="Z65" s="93" t="s">
        <v>93</v>
      </c>
      <c r="AA65" s="87"/>
      <c r="AC65" s="40"/>
    </row>
    <row r="66" spans="1:29" ht="82.5" hidden="1">
      <c r="A66" s="88">
        <v>56</v>
      </c>
      <c r="B66" s="79" t="s">
        <v>469</v>
      </c>
      <c r="C66" s="148" t="s">
        <v>8</v>
      </c>
      <c r="D66" s="80" t="s">
        <v>83</v>
      </c>
      <c r="E66" s="82" t="s">
        <v>470</v>
      </c>
      <c r="F66" s="80" t="s">
        <v>120</v>
      </c>
      <c r="G66" s="81" t="s">
        <v>456</v>
      </c>
      <c r="H66" s="80" t="s">
        <v>471</v>
      </c>
      <c r="I66" s="83">
        <v>45474</v>
      </c>
      <c r="J66" s="80" t="s">
        <v>145</v>
      </c>
      <c r="K66" s="80" t="s">
        <v>146</v>
      </c>
      <c r="L66" s="84" t="s">
        <v>147</v>
      </c>
      <c r="M66" s="84" t="s">
        <v>148</v>
      </c>
      <c r="N66" s="84" t="s">
        <v>72</v>
      </c>
      <c r="O66" s="85" t="s">
        <v>472</v>
      </c>
      <c r="P66" s="85" t="s">
        <v>473</v>
      </c>
      <c r="Q66" s="49" t="s">
        <v>75</v>
      </c>
      <c r="R66" s="25" t="s">
        <v>91</v>
      </c>
      <c r="S66" s="56">
        <v>18</v>
      </c>
      <c r="T66" s="56">
        <v>20</v>
      </c>
      <c r="U66" s="228" t="s">
        <v>474</v>
      </c>
      <c r="V66" s="66"/>
      <c r="W66" s="225" t="s">
        <v>76</v>
      </c>
      <c r="X66" s="78" t="s">
        <v>78</v>
      </c>
      <c r="Y66" s="25"/>
      <c r="Z66" s="93" t="s">
        <v>93</v>
      </c>
      <c r="AA66" s="87"/>
      <c r="AC66" s="40"/>
    </row>
    <row r="67" spans="1:29" ht="82.5" hidden="1">
      <c r="A67" s="88">
        <v>57</v>
      </c>
      <c r="B67" s="79" t="s">
        <v>475</v>
      </c>
      <c r="C67" s="148" t="s">
        <v>8</v>
      </c>
      <c r="D67" s="80" t="s">
        <v>83</v>
      </c>
      <c r="E67" s="82" t="s">
        <v>476</v>
      </c>
      <c r="F67" s="80" t="s">
        <v>109</v>
      </c>
      <c r="G67" s="81" t="s">
        <v>477</v>
      </c>
      <c r="H67" s="80" t="s">
        <v>478</v>
      </c>
      <c r="I67" s="83">
        <v>45474</v>
      </c>
      <c r="J67" s="80" t="s">
        <v>170</v>
      </c>
      <c r="K67" s="80" t="s">
        <v>156</v>
      </c>
      <c r="L67" s="84" t="s">
        <v>171</v>
      </c>
      <c r="M67" s="84" t="s">
        <v>71</v>
      </c>
      <c r="N67" s="84" t="s">
        <v>72</v>
      </c>
      <c r="O67" s="85" t="s">
        <v>479</v>
      </c>
      <c r="P67" s="85" t="s">
        <v>480</v>
      </c>
      <c r="Q67" s="49" t="s">
        <v>75</v>
      </c>
      <c r="R67" s="25" t="s">
        <v>75</v>
      </c>
      <c r="S67" s="56">
        <v>26</v>
      </c>
      <c r="T67" s="56">
        <v>84</v>
      </c>
      <c r="U67" s="228"/>
      <c r="V67" s="62" t="s">
        <v>75</v>
      </c>
      <c r="W67" s="225" t="s">
        <v>376</v>
      </c>
      <c r="X67" s="78" t="s">
        <v>78</v>
      </c>
      <c r="Y67" s="78" t="s">
        <v>78</v>
      </c>
      <c r="Z67" s="93" t="s">
        <v>79</v>
      </c>
      <c r="AA67" s="87"/>
      <c r="AC67" s="40"/>
    </row>
    <row r="68" spans="1:29" ht="49.5" hidden="1">
      <c r="A68" s="88">
        <v>58</v>
      </c>
      <c r="B68" s="79" t="s">
        <v>481</v>
      </c>
      <c r="C68" s="148" t="s">
        <v>8</v>
      </c>
      <c r="D68" s="80" t="s">
        <v>83</v>
      </c>
      <c r="E68" s="82" t="s">
        <v>476</v>
      </c>
      <c r="F68" s="80" t="s">
        <v>109</v>
      </c>
      <c r="G68" s="81" t="s">
        <v>477</v>
      </c>
      <c r="H68" s="80" t="s">
        <v>478</v>
      </c>
      <c r="I68" s="83">
        <v>45474</v>
      </c>
      <c r="J68" s="80" t="s">
        <v>482</v>
      </c>
      <c r="K68" s="80" t="s">
        <v>156</v>
      </c>
      <c r="L68" s="84" t="s">
        <v>189</v>
      </c>
      <c r="M68" s="84" t="s">
        <v>71</v>
      </c>
      <c r="N68" s="84" t="s">
        <v>72</v>
      </c>
      <c r="O68" s="85" t="s">
        <v>483</v>
      </c>
      <c r="P68" s="85" t="s">
        <v>484</v>
      </c>
      <c r="Q68" s="49" t="s">
        <v>75</v>
      </c>
      <c r="R68" s="25" t="s">
        <v>91</v>
      </c>
      <c r="S68" s="56">
        <v>24</v>
      </c>
      <c r="T68" s="56">
        <v>68</v>
      </c>
      <c r="U68" s="228" t="s">
        <v>485</v>
      </c>
      <c r="V68" s="62"/>
      <c r="W68" s="225"/>
      <c r="X68" s="78"/>
      <c r="Y68" s="25"/>
      <c r="Z68" s="93" t="s">
        <v>106</v>
      </c>
      <c r="AA68" s="87"/>
      <c r="AC68" s="40"/>
    </row>
    <row r="69" spans="1:29" ht="115.5" hidden="1">
      <c r="A69" s="88">
        <v>59</v>
      </c>
      <c r="B69" s="79" t="s">
        <v>486</v>
      </c>
      <c r="C69" s="148" t="s">
        <v>8</v>
      </c>
      <c r="D69" s="80" t="s">
        <v>83</v>
      </c>
      <c r="E69" s="82" t="s">
        <v>487</v>
      </c>
      <c r="F69" s="80" t="s">
        <v>109</v>
      </c>
      <c r="G69" s="81" t="s">
        <v>488</v>
      </c>
      <c r="H69" s="80" t="s">
        <v>489</v>
      </c>
      <c r="I69" s="83">
        <v>45474</v>
      </c>
      <c r="J69" s="80" t="s">
        <v>490</v>
      </c>
      <c r="K69" s="80" t="s">
        <v>491</v>
      </c>
      <c r="L69" s="84" t="s">
        <v>251</v>
      </c>
      <c r="M69" s="84" t="s">
        <v>71</v>
      </c>
      <c r="N69" s="84" t="s">
        <v>492</v>
      </c>
      <c r="O69" s="85" t="s">
        <v>493</v>
      </c>
      <c r="P69" s="85" t="s">
        <v>494</v>
      </c>
      <c r="Q69" s="49" t="s">
        <v>75</v>
      </c>
      <c r="R69" s="25" t="s">
        <v>91</v>
      </c>
      <c r="S69" s="56">
        <v>18</v>
      </c>
      <c r="T69" s="56"/>
      <c r="U69" s="228" t="s">
        <v>495</v>
      </c>
      <c r="V69" s="49"/>
      <c r="W69" s="225" t="s">
        <v>76</v>
      </c>
      <c r="X69" s="78" t="s">
        <v>78</v>
      </c>
      <c r="Y69" s="25"/>
      <c r="Z69" s="93" t="s">
        <v>106</v>
      </c>
      <c r="AA69" s="87" t="s">
        <v>496</v>
      </c>
      <c r="AC69" s="40"/>
    </row>
    <row r="70" spans="1:29" ht="49.5" hidden="1">
      <c r="A70" s="88">
        <v>60</v>
      </c>
      <c r="B70" s="79" t="s">
        <v>497</v>
      </c>
      <c r="C70" s="148" t="s">
        <v>8</v>
      </c>
      <c r="D70" s="80" t="s">
        <v>83</v>
      </c>
      <c r="E70" s="82" t="s">
        <v>487</v>
      </c>
      <c r="F70" s="80" t="s">
        <v>109</v>
      </c>
      <c r="G70" s="81" t="s">
        <v>488</v>
      </c>
      <c r="H70" s="80" t="s">
        <v>489</v>
      </c>
      <c r="I70" s="83">
        <v>45474</v>
      </c>
      <c r="J70" s="80" t="s">
        <v>170</v>
      </c>
      <c r="K70" s="80" t="s">
        <v>156</v>
      </c>
      <c r="L70" s="84" t="s">
        <v>171</v>
      </c>
      <c r="M70" s="84" t="s">
        <v>71</v>
      </c>
      <c r="N70" s="84" t="s">
        <v>72</v>
      </c>
      <c r="O70" s="85" t="s">
        <v>498</v>
      </c>
      <c r="P70" s="85" t="s">
        <v>499</v>
      </c>
      <c r="Q70" s="49" t="s">
        <v>91</v>
      </c>
      <c r="R70" s="25"/>
      <c r="S70" s="56">
        <v>17</v>
      </c>
      <c r="T70" s="56"/>
      <c r="U70" s="228" t="s">
        <v>500</v>
      </c>
      <c r="V70" s="62"/>
      <c r="W70" s="225" t="s">
        <v>76</v>
      </c>
      <c r="X70" s="78"/>
      <c r="Y70" s="25"/>
      <c r="Z70" s="93" t="s">
        <v>193</v>
      </c>
      <c r="AA70" s="87"/>
      <c r="AC70" s="40"/>
    </row>
    <row r="71" spans="1:29" ht="82.5" hidden="1">
      <c r="A71" s="88">
        <v>61</v>
      </c>
      <c r="B71" s="79" t="s">
        <v>501</v>
      </c>
      <c r="C71" s="148" t="s">
        <v>8</v>
      </c>
      <c r="D71" s="80" t="s">
        <v>83</v>
      </c>
      <c r="E71" s="82" t="s">
        <v>487</v>
      </c>
      <c r="F71" s="80" t="s">
        <v>109</v>
      </c>
      <c r="G71" s="81" t="s">
        <v>488</v>
      </c>
      <c r="H71" s="80" t="s">
        <v>489</v>
      </c>
      <c r="I71" s="83">
        <v>45474</v>
      </c>
      <c r="J71" s="80" t="s">
        <v>170</v>
      </c>
      <c r="K71" s="80" t="s">
        <v>156</v>
      </c>
      <c r="L71" s="84" t="s">
        <v>171</v>
      </c>
      <c r="M71" s="84" t="s">
        <v>71</v>
      </c>
      <c r="N71" s="84" t="s">
        <v>72</v>
      </c>
      <c r="O71" s="85" t="s">
        <v>502</v>
      </c>
      <c r="P71" s="85" t="s">
        <v>503</v>
      </c>
      <c r="Q71" s="49" t="s">
        <v>75</v>
      </c>
      <c r="R71" s="25" t="s">
        <v>504</v>
      </c>
      <c r="S71" s="56">
        <v>18</v>
      </c>
      <c r="T71" s="56" t="s">
        <v>505</v>
      </c>
      <c r="U71" s="228" t="s">
        <v>506</v>
      </c>
      <c r="V71" s="62"/>
      <c r="W71" s="225"/>
      <c r="X71" s="78" t="s">
        <v>78</v>
      </c>
      <c r="Y71" s="25"/>
      <c r="Z71" s="93" t="s">
        <v>106</v>
      </c>
      <c r="AA71" s="87"/>
      <c r="AC71" s="40"/>
    </row>
    <row r="72" spans="1:29" ht="82.5" hidden="1">
      <c r="A72" s="88">
        <v>62</v>
      </c>
      <c r="B72" s="79" t="s">
        <v>507</v>
      </c>
      <c r="C72" s="148" t="s">
        <v>8</v>
      </c>
      <c r="D72" s="80" t="s">
        <v>83</v>
      </c>
      <c r="E72" s="82" t="s">
        <v>487</v>
      </c>
      <c r="F72" s="80" t="s">
        <v>109</v>
      </c>
      <c r="G72" s="81" t="s">
        <v>488</v>
      </c>
      <c r="H72" s="80" t="s">
        <v>489</v>
      </c>
      <c r="I72" s="83">
        <v>45474</v>
      </c>
      <c r="J72" s="80" t="s">
        <v>98</v>
      </c>
      <c r="K72" s="80" t="s">
        <v>99</v>
      </c>
      <c r="L72" s="84" t="s">
        <v>100</v>
      </c>
      <c r="M72" s="84" t="s">
        <v>101</v>
      </c>
      <c r="N72" s="84" t="s">
        <v>72</v>
      </c>
      <c r="O72" s="85" t="s">
        <v>508</v>
      </c>
      <c r="P72" s="85" t="s">
        <v>509</v>
      </c>
      <c r="Q72" s="49" t="s">
        <v>75</v>
      </c>
      <c r="R72" s="25" t="s">
        <v>91</v>
      </c>
      <c r="S72" s="56">
        <v>21</v>
      </c>
      <c r="T72" s="56">
        <v>57</v>
      </c>
      <c r="U72" s="228" t="s">
        <v>510</v>
      </c>
      <c r="V72" s="49"/>
      <c r="W72" s="225" t="s">
        <v>76</v>
      </c>
      <c r="X72" s="78" t="s">
        <v>78</v>
      </c>
      <c r="Y72" s="25"/>
      <c r="Z72" s="93" t="s">
        <v>93</v>
      </c>
      <c r="AA72" s="87">
        <v>1040</v>
      </c>
      <c r="AC72" s="40"/>
    </row>
    <row r="73" spans="1:29" ht="49.5" hidden="1">
      <c r="A73" s="88">
        <v>63</v>
      </c>
      <c r="B73" s="79" t="s">
        <v>511</v>
      </c>
      <c r="C73" s="148" t="s">
        <v>8</v>
      </c>
      <c r="D73" s="80" t="s">
        <v>83</v>
      </c>
      <c r="E73" s="82" t="s">
        <v>512</v>
      </c>
      <c r="F73" s="80" t="s">
        <v>120</v>
      </c>
      <c r="G73" s="81" t="s">
        <v>477</v>
      </c>
      <c r="H73" s="80" t="s">
        <v>513</v>
      </c>
      <c r="I73" s="83">
        <v>45474</v>
      </c>
      <c r="J73" s="80" t="s">
        <v>170</v>
      </c>
      <c r="K73" s="80" t="s">
        <v>156</v>
      </c>
      <c r="L73" s="84" t="s">
        <v>171</v>
      </c>
      <c r="M73" s="84" t="s">
        <v>71</v>
      </c>
      <c r="N73" s="84" t="s">
        <v>72</v>
      </c>
      <c r="O73" s="85" t="s">
        <v>514</v>
      </c>
      <c r="P73" s="85" t="s">
        <v>515</v>
      </c>
      <c r="Q73" s="49" t="s">
        <v>75</v>
      </c>
      <c r="R73" s="25" t="s">
        <v>75</v>
      </c>
      <c r="S73" s="56">
        <v>20</v>
      </c>
      <c r="T73" s="56">
        <v>71</v>
      </c>
      <c r="U73" s="228"/>
      <c r="V73" s="62" t="s">
        <v>75</v>
      </c>
      <c r="W73" s="225" t="s">
        <v>104</v>
      </c>
      <c r="X73" s="78" t="s">
        <v>78</v>
      </c>
      <c r="Y73" s="78" t="s">
        <v>516</v>
      </c>
      <c r="Z73" s="111" t="s">
        <v>79</v>
      </c>
      <c r="AA73" s="87"/>
      <c r="AC73" s="40"/>
    </row>
    <row r="74" spans="1:29" ht="33" hidden="1">
      <c r="A74" s="88">
        <v>64</v>
      </c>
      <c r="B74" s="79" t="s">
        <v>517</v>
      </c>
      <c r="C74" s="148" t="s">
        <v>8</v>
      </c>
      <c r="D74" s="80" t="s">
        <v>83</v>
      </c>
      <c r="E74" s="82" t="s">
        <v>518</v>
      </c>
      <c r="F74" s="80" t="s">
        <v>65</v>
      </c>
      <c r="G74" s="81" t="s">
        <v>477</v>
      </c>
      <c r="H74" s="80" t="s">
        <v>519</v>
      </c>
      <c r="I74" s="83">
        <v>45474</v>
      </c>
      <c r="J74" s="80" t="s">
        <v>170</v>
      </c>
      <c r="K74" s="80" t="s">
        <v>156</v>
      </c>
      <c r="L74" s="84" t="s">
        <v>171</v>
      </c>
      <c r="M74" s="84" t="s">
        <v>71</v>
      </c>
      <c r="N74" s="84" t="s">
        <v>72</v>
      </c>
      <c r="O74" s="165" t="s">
        <v>520</v>
      </c>
      <c r="P74" s="85" t="s">
        <v>521</v>
      </c>
      <c r="Q74" s="49" t="s">
        <v>75</v>
      </c>
      <c r="R74" s="25" t="s">
        <v>75</v>
      </c>
      <c r="S74" s="56">
        <v>25</v>
      </c>
      <c r="T74" s="56">
        <v>83</v>
      </c>
      <c r="U74" s="228"/>
      <c r="V74" s="62" t="s">
        <v>75</v>
      </c>
      <c r="W74" s="225" t="s">
        <v>77</v>
      </c>
      <c r="X74" s="78" t="s">
        <v>78</v>
      </c>
      <c r="Y74" s="78" t="s">
        <v>78</v>
      </c>
      <c r="Z74" s="93" t="s">
        <v>79</v>
      </c>
      <c r="AA74" s="87"/>
      <c r="AC74" s="40"/>
    </row>
    <row r="75" spans="1:29" ht="165" hidden="1">
      <c r="A75" s="88">
        <v>65</v>
      </c>
      <c r="B75" s="79" t="s">
        <v>522</v>
      </c>
      <c r="C75" s="148" t="s">
        <v>8</v>
      </c>
      <c r="D75" s="80" t="s">
        <v>178</v>
      </c>
      <c r="E75" s="82" t="s">
        <v>523</v>
      </c>
      <c r="F75" s="80" t="s">
        <v>109</v>
      </c>
      <c r="G75" s="81" t="s">
        <v>180</v>
      </c>
      <c r="H75" s="80" t="s">
        <v>524</v>
      </c>
      <c r="I75" s="83">
        <v>45474</v>
      </c>
      <c r="J75" s="80" t="s">
        <v>525</v>
      </c>
      <c r="K75" s="80" t="s">
        <v>146</v>
      </c>
      <c r="L75" s="84" t="s">
        <v>300</v>
      </c>
      <c r="M75" s="84" t="s">
        <v>148</v>
      </c>
      <c r="N75" s="84" t="s">
        <v>72</v>
      </c>
      <c r="O75" s="85" t="s">
        <v>526</v>
      </c>
      <c r="P75" s="85" t="s">
        <v>527</v>
      </c>
      <c r="Q75" s="49" t="s">
        <v>75</v>
      </c>
      <c r="R75" s="25" t="s">
        <v>91</v>
      </c>
      <c r="S75" s="56">
        <v>23</v>
      </c>
      <c r="T75" s="56">
        <v>76</v>
      </c>
      <c r="U75" s="242" t="s">
        <v>528</v>
      </c>
      <c r="V75" s="251"/>
      <c r="W75" s="229"/>
      <c r="X75" s="78" t="s">
        <v>78</v>
      </c>
      <c r="Y75" s="25"/>
      <c r="Z75" s="93" t="s">
        <v>93</v>
      </c>
      <c r="AA75" s="87"/>
      <c r="AC75" s="40"/>
    </row>
    <row r="76" spans="1:29" ht="148.5" hidden="1">
      <c r="A76" s="88">
        <v>66</v>
      </c>
      <c r="B76" s="79" t="s">
        <v>529</v>
      </c>
      <c r="C76" s="148" t="s">
        <v>8</v>
      </c>
      <c r="D76" s="80" t="s">
        <v>178</v>
      </c>
      <c r="E76" s="82" t="s">
        <v>523</v>
      </c>
      <c r="F76" s="80" t="s">
        <v>109</v>
      </c>
      <c r="G76" s="81" t="s">
        <v>180</v>
      </c>
      <c r="H76" s="80" t="s">
        <v>524</v>
      </c>
      <c r="I76" s="83">
        <v>45474</v>
      </c>
      <c r="J76" s="80" t="s">
        <v>145</v>
      </c>
      <c r="K76" s="80" t="s">
        <v>146</v>
      </c>
      <c r="L76" s="84" t="s">
        <v>147</v>
      </c>
      <c r="M76" s="84" t="s">
        <v>148</v>
      </c>
      <c r="N76" s="84" t="s">
        <v>72</v>
      </c>
      <c r="O76" s="85" t="s">
        <v>530</v>
      </c>
      <c r="P76" s="85" t="s">
        <v>531</v>
      </c>
      <c r="Q76" s="49" t="s">
        <v>75</v>
      </c>
      <c r="R76" s="25" t="s">
        <v>75</v>
      </c>
      <c r="S76" s="56">
        <v>26</v>
      </c>
      <c r="T76" s="56">
        <v>88</v>
      </c>
      <c r="U76" s="228"/>
      <c r="V76" s="221" t="s">
        <v>75</v>
      </c>
      <c r="W76" s="225" t="s">
        <v>376</v>
      </c>
      <c r="X76" s="78" t="s">
        <v>78</v>
      </c>
      <c r="Y76" s="78" t="s">
        <v>78</v>
      </c>
      <c r="Z76" s="93" t="s">
        <v>79</v>
      </c>
      <c r="AA76" s="87"/>
      <c r="AC76" s="40"/>
    </row>
    <row r="77" spans="1:29" ht="99" hidden="1">
      <c r="A77" s="88">
        <v>67</v>
      </c>
      <c r="B77" s="79" t="s">
        <v>532</v>
      </c>
      <c r="C77" s="148" t="s">
        <v>8</v>
      </c>
      <c r="D77" s="80" t="s">
        <v>178</v>
      </c>
      <c r="E77" s="82" t="s">
        <v>523</v>
      </c>
      <c r="F77" s="80" t="s">
        <v>109</v>
      </c>
      <c r="G77" s="81" t="s">
        <v>180</v>
      </c>
      <c r="H77" s="80" t="s">
        <v>524</v>
      </c>
      <c r="I77" s="83">
        <v>45474</v>
      </c>
      <c r="J77" s="80" t="s">
        <v>145</v>
      </c>
      <c r="K77" s="80" t="s">
        <v>146</v>
      </c>
      <c r="L77" s="84" t="s">
        <v>147</v>
      </c>
      <c r="M77" s="84" t="s">
        <v>148</v>
      </c>
      <c r="N77" s="84" t="s">
        <v>72</v>
      </c>
      <c r="O77" s="85" t="s">
        <v>533</v>
      </c>
      <c r="P77" s="85" t="s">
        <v>534</v>
      </c>
      <c r="Q77" s="49" t="s">
        <v>91</v>
      </c>
      <c r="R77" s="25"/>
      <c r="S77" s="56">
        <v>15</v>
      </c>
      <c r="T77" s="56"/>
      <c r="U77" s="228" t="s">
        <v>535</v>
      </c>
      <c r="V77" s="62"/>
      <c r="W77" s="225" t="s">
        <v>76</v>
      </c>
      <c r="X77" s="78"/>
      <c r="Y77" s="25"/>
      <c r="Z77" s="93" t="s">
        <v>193</v>
      </c>
      <c r="AA77" s="87"/>
      <c r="AC77" s="40"/>
    </row>
    <row r="78" spans="1:29" ht="82.5" hidden="1">
      <c r="A78" s="88">
        <v>68</v>
      </c>
      <c r="B78" s="79" t="s">
        <v>536</v>
      </c>
      <c r="C78" s="148" t="s">
        <v>8</v>
      </c>
      <c r="D78" s="80" t="s">
        <v>178</v>
      </c>
      <c r="E78" s="82" t="s">
        <v>523</v>
      </c>
      <c r="F78" s="80" t="s">
        <v>109</v>
      </c>
      <c r="G78" s="81" t="s">
        <v>180</v>
      </c>
      <c r="H78" s="80" t="s">
        <v>524</v>
      </c>
      <c r="I78" s="83">
        <v>45474</v>
      </c>
      <c r="J78" s="80" t="s">
        <v>98</v>
      </c>
      <c r="K78" s="80" t="s">
        <v>99</v>
      </c>
      <c r="L78" s="84" t="s">
        <v>100</v>
      </c>
      <c r="M78" s="84" t="s">
        <v>101</v>
      </c>
      <c r="N78" s="84" t="s">
        <v>72</v>
      </c>
      <c r="O78" s="85" t="s">
        <v>537</v>
      </c>
      <c r="P78" s="85" t="s">
        <v>538</v>
      </c>
      <c r="Q78" s="49" t="s">
        <v>91</v>
      </c>
      <c r="R78" s="25"/>
      <c r="S78" s="56">
        <v>11</v>
      </c>
      <c r="T78" s="56"/>
      <c r="U78" s="228" t="s">
        <v>539</v>
      </c>
      <c r="V78" s="62"/>
      <c r="W78" s="225" t="s">
        <v>76</v>
      </c>
      <c r="X78" s="78"/>
      <c r="Y78" s="25"/>
      <c r="Z78" s="93" t="s">
        <v>193</v>
      </c>
      <c r="AA78" s="87"/>
      <c r="AC78" s="40"/>
    </row>
    <row r="79" spans="1:29" ht="115.5" hidden="1">
      <c r="A79" s="88">
        <v>69</v>
      </c>
      <c r="B79" s="79" t="s">
        <v>540</v>
      </c>
      <c r="C79" s="148" t="s">
        <v>8</v>
      </c>
      <c r="D79" s="80" t="s">
        <v>178</v>
      </c>
      <c r="E79" s="82" t="s">
        <v>523</v>
      </c>
      <c r="F79" s="80" t="s">
        <v>109</v>
      </c>
      <c r="G79" s="81" t="s">
        <v>180</v>
      </c>
      <c r="H79" s="80" t="s">
        <v>524</v>
      </c>
      <c r="I79" s="83">
        <v>45474</v>
      </c>
      <c r="J79" s="80" t="s">
        <v>145</v>
      </c>
      <c r="K79" s="80" t="s">
        <v>146</v>
      </c>
      <c r="L79" s="84" t="s">
        <v>147</v>
      </c>
      <c r="M79" s="84" t="s">
        <v>148</v>
      </c>
      <c r="N79" s="84" t="s">
        <v>72</v>
      </c>
      <c r="O79" s="85" t="s">
        <v>541</v>
      </c>
      <c r="P79" s="85" t="s">
        <v>542</v>
      </c>
      <c r="Q79" s="49" t="s">
        <v>75</v>
      </c>
      <c r="R79" s="25" t="s">
        <v>91</v>
      </c>
      <c r="S79" s="56">
        <v>27</v>
      </c>
      <c r="T79" s="76">
        <v>80</v>
      </c>
      <c r="U79" s="228" t="s">
        <v>543</v>
      </c>
      <c r="V79" s="73" t="s">
        <v>75</v>
      </c>
      <c r="W79" s="229"/>
      <c r="X79" s="78" t="s">
        <v>78</v>
      </c>
      <c r="Y79" s="25"/>
      <c r="Z79" s="93" t="s">
        <v>93</v>
      </c>
      <c r="AA79" s="87"/>
      <c r="AC79" s="40"/>
    </row>
    <row r="80" spans="1:29" ht="115.5" hidden="1">
      <c r="A80" s="88">
        <v>70</v>
      </c>
      <c r="B80" s="79" t="s">
        <v>544</v>
      </c>
      <c r="C80" s="148" t="s">
        <v>8</v>
      </c>
      <c r="D80" s="80" t="s">
        <v>178</v>
      </c>
      <c r="E80" s="82" t="s">
        <v>523</v>
      </c>
      <c r="F80" s="80" t="s">
        <v>109</v>
      </c>
      <c r="G80" s="81" t="s">
        <v>180</v>
      </c>
      <c r="H80" s="80" t="s">
        <v>524</v>
      </c>
      <c r="I80" s="83">
        <v>45474</v>
      </c>
      <c r="J80" s="80" t="s">
        <v>145</v>
      </c>
      <c r="K80" s="80" t="s">
        <v>146</v>
      </c>
      <c r="L80" s="84" t="s">
        <v>147</v>
      </c>
      <c r="M80" s="84" t="s">
        <v>148</v>
      </c>
      <c r="N80" s="84" t="s">
        <v>72</v>
      </c>
      <c r="O80" s="85" t="s">
        <v>545</v>
      </c>
      <c r="P80" s="85" t="s">
        <v>546</v>
      </c>
      <c r="Q80" s="49" t="s">
        <v>91</v>
      </c>
      <c r="R80" s="25"/>
      <c r="S80" s="56">
        <v>13</v>
      </c>
      <c r="T80" s="56"/>
      <c r="U80" s="228" t="s">
        <v>547</v>
      </c>
      <c r="V80" s="62"/>
      <c r="W80" s="225" t="s">
        <v>76</v>
      </c>
      <c r="X80" s="78"/>
      <c r="Y80" s="25"/>
      <c r="Z80" s="93" t="s">
        <v>193</v>
      </c>
      <c r="AA80" s="87"/>
      <c r="AC80" s="40"/>
    </row>
    <row r="81" spans="1:29" ht="66" hidden="1">
      <c r="A81" s="88">
        <v>71</v>
      </c>
      <c r="B81" s="79" t="s">
        <v>548</v>
      </c>
      <c r="C81" s="148" t="s">
        <v>8</v>
      </c>
      <c r="D81" s="80" t="s">
        <v>178</v>
      </c>
      <c r="E81" s="82" t="s">
        <v>523</v>
      </c>
      <c r="F81" s="80" t="s">
        <v>109</v>
      </c>
      <c r="G81" s="81" t="s">
        <v>180</v>
      </c>
      <c r="H81" s="80" t="s">
        <v>524</v>
      </c>
      <c r="I81" s="83">
        <v>45474</v>
      </c>
      <c r="J81" s="80" t="s">
        <v>145</v>
      </c>
      <c r="K81" s="80" t="s">
        <v>146</v>
      </c>
      <c r="L81" s="84" t="s">
        <v>147</v>
      </c>
      <c r="M81" s="84" t="s">
        <v>148</v>
      </c>
      <c r="N81" s="84" t="s">
        <v>72</v>
      </c>
      <c r="O81" s="85" t="s">
        <v>549</v>
      </c>
      <c r="P81" s="85" t="s">
        <v>550</v>
      </c>
      <c r="Q81" s="49" t="s">
        <v>75</v>
      </c>
      <c r="R81" s="25" t="s">
        <v>75</v>
      </c>
      <c r="S81" s="56">
        <v>23</v>
      </c>
      <c r="T81" s="56">
        <v>76</v>
      </c>
      <c r="U81" s="228" t="s">
        <v>551</v>
      </c>
      <c r="V81" s="62" t="s">
        <v>75</v>
      </c>
      <c r="W81" s="229" t="s">
        <v>418</v>
      </c>
      <c r="X81" s="78" t="s">
        <v>78</v>
      </c>
      <c r="Y81" s="25" t="s">
        <v>369</v>
      </c>
      <c r="Z81" s="93" t="s">
        <v>106</v>
      </c>
      <c r="AA81" s="87"/>
      <c r="AC81" s="40"/>
    </row>
    <row r="82" spans="1:29" ht="148.5" hidden="1">
      <c r="A82" s="88">
        <v>72</v>
      </c>
      <c r="B82" s="79" t="s">
        <v>552</v>
      </c>
      <c r="C82" s="148" t="s">
        <v>8</v>
      </c>
      <c r="D82" s="80" t="s">
        <v>178</v>
      </c>
      <c r="E82" s="82" t="s">
        <v>523</v>
      </c>
      <c r="F82" s="80" t="s">
        <v>109</v>
      </c>
      <c r="G82" s="81" t="s">
        <v>180</v>
      </c>
      <c r="H82" s="80" t="s">
        <v>524</v>
      </c>
      <c r="I82" s="83">
        <v>45474</v>
      </c>
      <c r="J82" s="80" t="s">
        <v>298</v>
      </c>
      <c r="K82" s="80" t="s">
        <v>299</v>
      </c>
      <c r="L82" s="84" t="s">
        <v>300</v>
      </c>
      <c r="M82" s="84" t="s">
        <v>252</v>
      </c>
      <c r="N82" s="84" t="s">
        <v>72</v>
      </c>
      <c r="O82" s="85" t="s">
        <v>553</v>
      </c>
      <c r="P82" s="85" t="s">
        <v>554</v>
      </c>
      <c r="Q82" s="49" t="s">
        <v>75</v>
      </c>
      <c r="R82" s="25" t="s">
        <v>91</v>
      </c>
      <c r="S82" s="56">
        <v>23</v>
      </c>
      <c r="T82" s="76" t="s">
        <v>555</v>
      </c>
      <c r="U82" s="228" t="s">
        <v>556</v>
      </c>
      <c r="V82" s="62"/>
      <c r="W82" s="225" t="s">
        <v>76</v>
      </c>
      <c r="X82" s="78" t="s">
        <v>78</v>
      </c>
      <c r="Y82" s="25"/>
      <c r="Z82" s="93" t="s">
        <v>93</v>
      </c>
      <c r="AA82" s="87" t="s">
        <v>306</v>
      </c>
      <c r="AC82" s="40"/>
    </row>
    <row r="83" spans="1:29" ht="66" hidden="1">
      <c r="A83" s="88">
        <v>73</v>
      </c>
      <c r="B83" s="79" t="s">
        <v>557</v>
      </c>
      <c r="C83" s="148" t="s">
        <v>8</v>
      </c>
      <c r="D83" s="80" t="s">
        <v>178</v>
      </c>
      <c r="E83" s="82" t="s">
        <v>523</v>
      </c>
      <c r="F83" s="80" t="s">
        <v>109</v>
      </c>
      <c r="G83" s="81" t="s">
        <v>180</v>
      </c>
      <c r="H83" s="80" t="s">
        <v>524</v>
      </c>
      <c r="I83" s="83">
        <v>45474</v>
      </c>
      <c r="J83" s="80" t="s">
        <v>525</v>
      </c>
      <c r="K83" s="80" t="s">
        <v>558</v>
      </c>
      <c r="L83" s="84" t="s">
        <v>300</v>
      </c>
      <c r="M83" s="84" t="s">
        <v>148</v>
      </c>
      <c r="N83" s="84" t="s">
        <v>72</v>
      </c>
      <c r="O83" s="85" t="s">
        <v>559</v>
      </c>
      <c r="P83" s="85" t="s">
        <v>560</v>
      </c>
      <c r="Q83" s="49" t="s">
        <v>75</v>
      </c>
      <c r="R83" s="25" t="s">
        <v>91</v>
      </c>
      <c r="S83" s="56">
        <v>19</v>
      </c>
      <c r="T83" s="56">
        <v>61</v>
      </c>
      <c r="U83" s="228" t="s">
        <v>561</v>
      </c>
      <c r="V83" s="62"/>
      <c r="W83" s="225" t="s">
        <v>76</v>
      </c>
      <c r="X83" s="78" t="s">
        <v>78</v>
      </c>
      <c r="Y83" s="25"/>
      <c r="Z83" s="93" t="s">
        <v>93</v>
      </c>
      <c r="AA83" s="87"/>
      <c r="AC83" s="40"/>
    </row>
    <row r="84" spans="1:29" ht="49.5" hidden="1">
      <c r="A84" s="88">
        <v>74</v>
      </c>
      <c r="B84" s="79" t="s">
        <v>562</v>
      </c>
      <c r="C84" s="148" t="s">
        <v>8</v>
      </c>
      <c r="D84" s="80" t="s">
        <v>178</v>
      </c>
      <c r="E84" s="82" t="s">
        <v>523</v>
      </c>
      <c r="F84" s="80" t="s">
        <v>109</v>
      </c>
      <c r="G84" s="81" t="s">
        <v>180</v>
      </c>
      <c r="H84" s="80" t="s">
        <v>524</v>
      </c>
      <c r="I84" s="83">
        <v>45474</v>
      </c>
      <c r="J84" s="80" t="s">
        <v>145</v>
      </c>
      <c r="K84" s="80" t="s">
        <v>146</v>
      </c>
      <c r="L84" s="84" t="s">
        <v>147</v>
      </c>
      <c r="M84" s="84" t="s">
        <v>148</v>
      </c>
      <c r="N84" s="84" t="s">
        <v>72</v>
      </c>
      <c r="O84" s="85" t="s">
        <v>563</v>
      </c>
      <c r="P84" s="85" t="s">
        <v>564</v>
      </c>
      <c r="Q84" s="49" t="s">
        <v>75</v>
      </c>
      <c r="R84" s="25" t="s">
        <v>91</v>
      </c>
      <c r="S84" s="56">
        <v>22</v>
      </c>
      <c r="T84" s="76" t="s">
        <v>565</v>
      </c>
      <c r="U84" s="228" t="s">
        <v>566</v>
      </c>
      <c r="V84" s="62" t="s">
        <v>75</v>
      </c>
      <c r="W84" s="225" t="s">
        <v>76</v>
      </c>
      <c r="X84" s="78" t="s">
        <v>78</v>
      </c>
      <c r="Y84" s="25"/>
      <c r="Z84" s="93" t="s">
        <v>93</v>
      </c>
      <c r="AA84" s="87"/>
      <c r="AC84" s="40"/>
    </row>
    <row r="85" spans="1:29" ht="49.5" hidden="1">
      <c r="A85" s="88">
        <v>75</v>
      </c>
      <c r="B85" s="79" t="s">
        <v>567</v>
      </c>
      <c r="C85" s="148" t="s">
        <v>8</v>
      </c>
      <c r="D85" s="80" t="s">
        <v>178</v>
      </c>
      <c r="E85" s="82" t="s">
        <v>523</v>
      </c>
      <c r="F85" s="80" t="s">
        <v>109</v>
      </c>
      <c r="G85" s="81" t="s">
        <v>180</v>
      </c>
      <c r="H85" s="80" t="s">
        <v>524</v>
      </c>
      <c r="I85" s="83">
        <v>45474</v>
      </c>
      <c r="J85" s="80" t="s">
        <v>145</v>
      </c>
      <c r="K85" s="80" t="s">
        <v>146</v>
      </c>
      <c r="L85" s="84" t="s">
        <v>147</v>
      </c>
      <c r="M85" s="84" t="s">
        <v>148</v>
      </c>
      <c r="N85" s="84" t="s">
        <v>72</v>
      </c>
      <c r="O85" s="85" t="s">
        <v>568</v>
      </c>
      <c r="P85" s="85" t="s">
        <v>569</v>
      </c>
      <c r="Q85" s="49" t="s">
        <v>75</v>
      </c>
      <c r="R85" s="25" t="s">
        <v>91</v>
      </c>
      <c r="S85" s="56">
        <v>21</v>
      </c>
      <c r="T85" s="76">
        <v>63</v>
      </c>
      <c r="U85" s="228" t="s">
        <v>166</v>
      </c>
      <c r="V85" s="62"/>
      <c r="W85" s="225" t="s">
        <v>76</v>
      </c>
      <c r="X85" s="78" t="s">
        <v>78</v>
      </c>
      <c r="Y85" s="25"/>
      <c r="Z85" s="93" t="s">
        <v>93</v>
      </c>
      <c r="AA85" s="87"/>
      <c r="AC85" s="40"/>
    </row>
    <row r="86" spans="1:29" ht="165" hidden="1">
      <c r="A86" s="88">
        <v>76</v>
      </c>
      <c r="B86" s="79" t="s">
        <v>570</v>
      </c>
      <c r="C86" s="148" t="s">
        <v>8</v>
      </c>
      <c r="D86" s="80" t="s">
        <v>178</v>
      </c>
      <c r="E86" s="82" t="s">
        <v>523</v>
      </c>
      <c r="F86" s="80" t="s">
        <v>109</v>
      </c>
      <c r="G86" s="81" t="s">
        <v>180</v>
      </c>
      <c r="H86" s="80" t="s">
        <v>524</v>
      </c>
      <c r="I86" s="83">
        <v>45474</v>
      </c>
      <c r="J86" s="80" t="s">
        <v>571</v>
      </c>
      <c r="K86" s="80" t="s">
        <v>146</v>
      </c>
      <c r="L86" s="84" t="s">
        <v>251</v>
      </c>
      <c r="M86" s="84" t="s">
        <v>148</v>
      </c>
      <c r="N86" s="84" t="s">
        <v>72</v>
      </c>
      <c r="O86" s="85" t="s">
        <v>572</v>
      </c>
      <c r="P86" s="85" t="s">
        <v>573</v>
      </c>
      <c r="Q86" s="49" t="s">
        <v>75</v>
      </c>
      <c r="R86" s="25" t="s">
        <v>91</v>
      </c>
      <c r="S86" s="56">
        <v>20</v>
      </c>
      <c r="T86" s="76" t="s">
        <v>574</v>
      </c>
      <c r="U86" s="228" t="s">
        <v>575</v>
      </c>
      <c r="V86" s="62"/>
      <c r="W86" s="225" t="s">
        <v>76</v>
      </c>
      <c r="X86" s="78" t="s">
        <v>78</v>
      </c>
      <c r="Y86" s="25"/>
      <c r="Z86" s="93" t="s">
        <v>93</v>
      </c>
      <c r="AA86" s="87"/>
      <c r="AC86" s="40"/>
    </row>
    <row r="87" spans="1:29" ht="49.5" hidden="1">
      <c r="A87" s="88">
        <v>77</v>
      </c>
      <c r="B87" s="79" t="s">
        <v>576</v>
      </c>
      <c r="C87" s="148" t="s">
        <v>8</v>
      </c>
      <c r="D87" s="80" t="s">
        <v>178</v>
      </c>
      <c r="E87" s="82" t="s">
        <v>523</v>
      </c>
      <c r="F87" s="80" t="s">
        <v>109</v>
      </c>
      <c r="G87" s="81" t="s">
        <v>180</v>
      </c>
      <c r="H87" s="80" t="s">
        <v>524</v>
      </c>
      <c r="I87" s="83">
        <v>45474</v>
      </c>
      <c r="J87" s="80" t="s">
        <v>571</v>
      </c>
      <c r="K87" s="80" t="s">
        <v>146</v>
      </c>
      <c r="L87" s="84" t="s">
        <v>251</v>
      </c>
      <c r="M87" s="84" t="s">
        <v>148</v>
      </c>
      <c r="N87" s="84" t="s">
        <v>72</v>
      </c>
      <c r="O87" s="85" t="s">
        <v>577</v>
      </c>
      <c r="P87" s="85" t="s">
        <v>578</v>
      </c>
      <c r="Q87" s="49" t="s">
        <v>91</v>
      </c>
      <c r="R87" s="25"/>
      <c r="S87" s="56">
        <v>15</v>
      </c>
      <c r="T87" s="56"/>
      <c r="U87" s="228" t="s">
        <v>579</v>
      </c>
      <c r="V87" s="49"/>
      <c r="W87" s="225" t="s">
        <v>76</v>
      </c>
      <c r="X87" s="78"/>
      <c r="Y87" s="25"/>
      <c r="Z87" s="93" t="s">
        <v>93</v>
      </c>
      <c r="AA87" s="87"/>
      <c r="AC87" s="40"/>
    </row>
    <row r="88" spans="1:29" ht="33" hidden="1">
      <c r="A88" s="88">
        <v>78</v>
      </c>
      <c r="B88" s="79" t="s">
        <v>580</v>
      </c>
      <c r="C88" s="148" t="s">
        <v>8</v>
      </c>
      <c r="D88" s="80" t="s">
        <v>178</v>
      </c>
      <c r="E88" s="82" t="s">
        <v>523</v>
      </c>
      <c r="F88" s="80" t="s">
        <v>109</v>
      </c>
      <c r="G88" s="81" t="s">
        <v>180</v>
      </c>
      <c r="H88" s="80" t="s">
        <v>524</v>
      </c>
      <c r="I88" s="83">
        <v>45474</v>
      </c>
      <c r="J88" s="80" t="s">
        <v>145</v>
      </c>
      <c r="K88" s="80" t="s">
        <v>146</v>
      </c>
      <c r="L88" s="84" t="s">
        <v>147</v>
      </c>
      <c r="M88" s="84" t="s">
        <v>148</v>
      </c>
      <c r="N88" s="84" t="s">
        <v>72</v>
      </c>
      <c r="O88" s="85" t="s">
        <v>581</v>
      </c>
      <c r="P88" s="89" t="s">
        <v>582</v>
      </c>
      <c r="Q88" s="49" t="s">
        <v>75</v>
      </c>
      <c r="R88" s="25" t="s">
        <v>91</v>
      </c>
      <c r="S88" s="56">
        <v>19</v>
      </c>
      <c r="T88" s="56">
        <v>61</v>
      </c>
      <c r="U88" s="228" t="s">
        <v>561</v>
      </c>
      <c r="V88" s="62"/>
      <c r="W88" s="225" t="s">
        <v>76</v>
      </c>
      <c r="X88" s="78" t="s">
        <v>78</v>
      </c>
      <c r="Y88" s="25"/>
      <c r="Z88" s="93" t="s">
        <v>93</v>
      </c>
      <c r="AA88" s="87"/>
      <c r="AC88" s="40"/>
    </row>
    <row r="89" spans="1:29" ht="99" hidden="1">
      <c r="A89" s="88">
        <v>79</v>
      </c>
      <c r="B89" s="79" t="s">
        <v>583</v>
      </c>
      <c r="C89" s="148" t="s">
        <v>8</v>
      </c>
      <c r="D89" s="80" t="s">
        <v>178</v>
      </c>
      <c r="E89" s="82" t="s">
        <v>523</v>
      </c>
      <c r="F89" s="80" t="s">
        <v>109</v>
      </c>
      <c r="G89" s="81" t="s">
        <v>180</v>
      </c>
      <c r="H89" s="80" t="s">
        <v>524</v>
      </c>
      <c r="I89" s="83">
        <v>45474</v>
      </c>
      <c r="J89" s="80" t="s">
        <v>98</v>
      </c>
      <c r="K89" s="80" t="s">
        <v>99</v>
      </c>
      <c r="L89" s="84" t="s">
        <v>100</v>
      </c>
      <c r="M89" s="84" t="s">
        <v>101</v>
      </c>
      <c r="N89" s="84" t="s">
        <v>72</v>
      </c>
      <c r="O89" s="85" t="s">
        <v>584</v>
      </c>
      <c r="P89" s="85" t="s">
        <v>585</v>
      </c>
      <c r="Q89" s="49" t="s">
        <v>91</v>
      </c>
      <c r="R89" s="25"/>
      <c r="S89" s="56">
        <v>6</v>
      </c>
      <c r="T89" s="56"/>
      <c r="U89" s="228" t="s">
        <v>586</v>
      </c>
      <c r="V89" s="62"/>
      <c r="W89" s="225" t="s">
        <v>76</v>
      </c>
      <c r="X89" s="78"/>
      <c r="Y89" s="25"/>
      <c r="Z89" s="93" t="s">
        <v>193</v>
      </c>
      <c r="AA89" s="87"/>
      <c r="AC89" s="40"/>
    </row>
    <row r="90" spans="1:29" ht="148.5" hidden="1">
      <c r="A90" s="88">
        <v>80</v>
      </c>
      <c r="B90" s="79" t="s">
        <v>587</v>
      </c>
      <c r="C90" s="148" t="s">
        <v>8</v>
      </c>
      <c r="D90" s="80" t="s">
        <v>83</v>
      </c>
      <c r="E90" s="91" t="s">
        <v>588</v>
      </c>
      <c r="F90" s="80" t="s">
        <v>109</v>
      </c>
      <c r="G90" s="81" t="s">
        <v>589</v>
      </c>
      <c r="H90" s="80" t="s">
        <v>590</v>
      </c>
      <c r="I90" s="83">
        <v>45474</v>
      </c>
      <c r="J90" s="80" t="s">
        <v>298</v>
      </c>
      <c r="K90" s="80" t="s">
        <v>299</v>
      </c>
      <c r="L90" s="84" t="s">
        <v>300</v>
      </c>
      <c r="M90" s="84" t="s">
        <v>252</v>
      </c>
      <c r="N90" s="84" t="s">
        <v>72</v>
      </c>
      <c r="O90" s="85" t="s">
        <v>591</v>
      </c>
      <c r="P90" s="85" t="s">
        <v>592</v>
      </c>
      <c r="Q90" s="49" t="s">
        <v>75</v>
      </c>
      <c r="R90" s="25" t="s">
        <v>91</v>
      </c>
      <c r="S90" s="56">
        <v>23</v>
      </c>
      <c r="T90" s="76" t="s">
        <v>555</v>
      </c>
      <c r="U90" s="228" t="s">
        <v>556</v>
      </c>
      <c r="V90" s="62"/>
      <c r="W90" s="225" t="s">
        <v>76</v>
      </c>
      <c r="X90" s="78" t="s">
        <v>78</v>
      </c>
      <c r="Y90" s="25"/>
      <c r="Z90" s="93" t="s">
        <v>93</v>
      </c>
      <c r="AA90" s="87" t="s">
        <v>306</v>
      </c>
      <c r="AC90" s="40"/>
    </row>
    <row r="91" spans="1:29" ht="82.5" hidden="1">
      <c r="A91" s="88">
        <v>81</v>
      </c>
      <c r="B91" s="79" t="s">
        <v>593</v>
      </c>
      <c r="C91" s="148" t="s">
        <v>8</v>
      </c>
      <c r="D91" s="80" t="s">
        <v>83</v>
      </c>
      <c r="E91" s="91" t="s">
        <v>588</v>
      </c>
      <c r="F91" s="80" t="s">
        <v>109</v>
      </c>
      <c r="G91" s="81" t="s">
        <v>589</v>
      </c>
      <c r="H91" s="80" t="s">
        <v>590</v>
      </c>
      <c r="I91" s="83">
        <v>45474</v>
      </c>
      <c r="J91" s="80" t="s">
        <v>594</v>
      </c>
      <c r="K91" s="80" t="s">
        <v>69</v>
      </c>
      <c r="L91" s="84" t="s">
        <v>251</v>
      </c>
      <c r="M91" s="84" t="s">
        <v>595</v>
      </c>
      <c r="N91" s="84" t="s">
        <v>72</v>
      </c>
      <c r="O91" s="85" t="s">
        <v>596</v>
      </c>
      <c r="P91" s="85" t="s">
        <v>597</v>
      </c>
      <c r="Q91" s="49" t="s">
        <v>75</v>
      </c>
      <c r="R91" s="25" t="s">
        <v>91</v>
      </c>
      <c r="S91" s="56">
        <v>19</v>
      </c>
      <c r="T91" s="56">
        <v>53</v>
      </c>
      <c r="U91" s="228" t="s">
        <v>598</v>
      </c>
      <c r="V91" s="73"/>
      <c r="W91" s="225" t="s">
        <v>76</v>
      </c>
      <c r="X91" s="78" t="s">
        <v>78</v>
      </c>
      <c r="Y91" s="25"/>
      <c r="Z91" s="93" t="s">
        <v>93</v>
      </c>
      <c r="AA91" s="87"/>
      <c r="AC91" s="40"/>
    </row>
    <row r="92" spans="1:29" ht="66" hidden="1">
      <c r="A92" s="88">
        <v>82</v>
      </c>
      <c r="B92" s="79" t="s">
        <v>599</v>
      </c>
      <c r="C92" s="148" t="s">
        <v>8</v>
      </c>
      <c r="D92" s="80" t="s">
        <v>83</v>
      </c>
      <c r="E92" s="91" t="s">
        <v>588</v>
      </c>
      <c r="F92" s="80" t="s">
        <v>109</v>
      </c>
      <c r="G92" s="81" t="s">
        <v>589</v>
      </c>
      <c r="H92" s="80" t="s">
        <v>590</v>
      </c>
      <c r="I92" s="83">
        <v>45474</v>
      </c>
      <c r="J92" s="80" t="s">
        <v>600</v>
      </c>
      <c r="K92" s="80" t="s">
        <v>299</v>
      </c>
      <c r="L92" s="84" t="s">
        <v>300</v>
      </c>
      <c r="M92" s="84" t="s">
        <v>601</v>
      </c>
      <c r="N92" s="84" t="s">
        <v>72</v>
      </c>
      <c r="O92" s="85" t="s">
        <v>602</v>
      </c>
      <c r="P92" s="85" t="s">
        <v>603</v>
      </c>
      <c r="Q92" s="49" t="s">
        <v>75</v>
      </c>
      <c r="R92" s="25" t="s">
        <v>91</v>
      </c>
      <c r="S92" s="56">
        <v>22</v>
      </c>
      <c r="T92" s="56" t="s">
        <v>303</v>
      </c>
      <c r="U92" s="228" t="s">
        <v>604</v>
      </c>
      <c r="V92" s="62"/>
      <c r="W92" s="225" t="s">
        <v>76</v>
      </c>
      <c r="X92" s="78" t="s">
        <v>78</v>
      </c>
      <c r="Y92" s="25"/>
      <c r="Z92" s="93" t="s">
        <v>93</v>
      </c>
      <c r="AA92" s="87"/>
      <c r="AC92" s="40"/>
    </row>
    <row r="93" spans="1:29" ht="66" hidden="1">
      <c r="A93" s="88">
        <v>83</v>
      </c>
      <c r="B93" s="79" t="s">
        <v>605</v>
      </c>
      <c r="C93" s="148" t="s">
        <v>8</v>
      </c>
      <c r="D93" s="80" t="s">
        <v>83</v>
      </c>
      <c r="E93" s="91" t="s">
        <v>588</v>
      </c>
      <c r="F93" s="80" t="s">
        <v>109</v>
      </c>
      <c r="G93" s="81" t="s">
        <v>589</v>
      </c>
      <c r="H93" s="80" t="s">
        <v>590</v>
      </c>
      <c r="I93" s="83">
        <v>45474</v>
      </c>
      <c r="J93" s="80" t="s">
        <v>187</v>
      </c>
      <c r="K93" s="80" t="s">
        <v>188</v>
      </c>
      <c r="L93" s="84" t="s">
        <v>189</v>
      </c>
      <c r="M93" s="84" t="s">
        <v>114</v>
      </c>
      <c r="N93" s="84" t="s">
        <v>310</v>
      </c>
      <c r="O93" s="85" t="s">
        <v>606</v>
      </c>
      <c r="P93" s="85" t="s">
        <v>607</v>
      </c>
      <c r="Q93" s="49" t="s">
        <v>91</v>
      </c>
      <c r="R93" s="25"/>
      <c r="S93" s="56">
        <v>16</v>
      </c>
      <c r="T93" s="56"/>
      <c r="U93" s="228" t="s">
        <v>608</v>
      </c>
      <c r="V93" s="49"/>
      <c r="W93" s="225" t="s">
        <v>76</v>
      </c>
      <c r="X93" s="78"/>
      <c r="Y93" s="25"/>
      <c r="Z93" s="93" t="s">
        <v>193</v>
      </c>
      <c r="AA93" s="87"/>
      <c r="AC93" s="40"/>
    </row>
    <row r="94" spans="1:29" ht="67.5" hidden="1">
      <c r="A94" s="88">
        <v>84</v>
      </c>
      <c r="B94" s="79" t="s">
        <v>609</v>
      </c>
      <c r="C94" s="148" t="s">
        <v>8</v>
      </c>
      <c r="D94" s="80" t="s">
        <v>83</v>
      </c>
      <c r="E94" s="91" t="s">
        <v>588</v>
      </c>
      <c r="F94" s="80" t="s">
        <v>109</v>
      </c>
      <c r="G94" s="81" t="s">
        <v>589</v>
      </c>
      <c r="H94" s="80" t="s">
        <v>590</v>
      </c>
      <c r="I94" s="83">
        <v>45474</v>
      </c>
      <c r="J94" s="80" t="s">
        <v>250</v>
      </c>
      <c r="K94" s="80" t="s">
        <v>69</v>
      </c>
      <c r="L94" s="84" t="s">
        <v>251</v>
      </c>
      <c r="M94" s="84" t="s">
        <v>252</v>
      </c>
      <c r="N94" s="84" t="s">
        <v>72</v>
      </c>
      <c r="O94" s="85" t="s">
        <v>610</v>
      </c>
      <c r="P94" s="85" t="s">
        <v>611</v>
      </c>
      <c r="Q94" s="49" t="s">
        <v>75</v>
      </c>
      <c r="R94" s="25" t="s">
        <v>91</v>
      </c>
      <c r="S94" s="56">
        <v>18</v>
      </c>
      <c r="T94" s="56">
        <v>48</v>
      </c>
      <c r="U94" s="242" t="s">
        <v>612</v>
      </c>
      <c r="V94" s="221"/>
      <c r="W94" s="229" t="s">
        <v>76</v>
      </c>
      <c r="X94" s="78" t="s">
        <v>78</v>
      </c>
      <c r="Y94" s="25"/>
      <c r="Z94" s="93" t="s">
        <v>93</v>
      </c>
      <c r="AA94" s="87"/>
      <c r="AC94" s="40"/>
    </row>
    <row r="95" spans="1:29" ht="49.5" hidden="1">
      <c r="A95" s="88">
        <v>85</v>
      </c>
      <c r="B95" s="79" t="s">
        <v>613</v>
      </c>
      <c r="C95" s="148" t="s">
        <v>8</v>
      </c>
      <c r="D95" s="80" t="s">
        <v>83</v>
      </c>
      <c r="E95" s="91" t="s">
        <v>588</v>
      </c>
      <c r="F95" s="80" t="s">
        <v>109</v>
      </c>
      <c r="G95" s="81" t="s">
        <v>589</v>
      </c>
      <c r="H95" s="80" t="s">
        <v>590</v>
      </c>
      <c r="I95" s="83">
        <v>45474</v>
      </c>
      <c r="J95" s="80" t="s">
        <v>614</v>
      </c>
      <c r="K95" s="80" t="s">
        <v>146</v>
      </c>
      <c r="L95" s="84" t="s">
        <v>100</v>
      </c>
      <c r="M95" s="84" t="s">
        <v>148</v>
      </c>
      <c r="N95" s="84" t="s">
        <v>72</v>
      </c>
      <c r="O95" s="85" t="s">
        <v>615</v>
      </c>
      <c r="P95" s="85" t="s">
        <v>616</v>
      </c>
      <c r="Q95" s="49" t="s">
        <v>75</v>
      </c>
      <c r="R95" s="25" t="s">
        <v>91</v>
      </c>
      <c r="S95" s="56">
        <v>21</v>
      </c>
      <c r="T95" s="56">
        <v>63</v>
      </c>
      <c r="U95" s="228" t="s">
        <v>617</v>
      </c>
      <c r="V95" s="49"/>
      <c r="W95" s="225" t="s">
        <v>76</v>
      </c>
      <c r="X95" s="78" t="s">
        <v>78</v>
      </c>
      <c r="Y95" s="25"/>
      <c r="Z95" s="93" t="s">
        <v>93</v>
      </c>
      <c r="AA95" s="87"/>
      <c r="AC95" s="40"/>
    </row>
    <row r="96" spans="1:29" ht="33" hidden="1">
      <c r="A96" s="88">
        <v>86</v>
      </c>
      <c r="B96" s="79" t="s">
        <v>618</v>
      </c>
      <c r="C96" s="148" t="s">
        <v>8</v>
      </c>
      <c r="D96" s="80" t="s">
        <v>83</v>
      </c>
      <c r="E96" s="91" t="s">
        <v>588</v>
      </c>
      <c r="F96" s="80" t="s">
        <v>109</v>
      </c>
      <c r="G96" s="81" t="s">
        <v>589</v>
      </c>
      <c r="H96" s="80" t="s">
        <v>590</v>
      </c>
      <c r="I96" s="83">
        <v>45474</v>
      </c>
      <c r="J96" s="80" t="s">
        <v>250</v>
      </c>
      <c r="K96" s="80" t="s">
        <v>491</v>
      </c>
      <c r="L96" s="84" t="s">
        <v>251</v>
      </c>
      <c r="M96" s="84" t="s">
        <v>252</v>
      </c>
      <c r="N96" s="84" t="s">
        <v>72</v>
      </c>
      <c r="O96" s="85" t="s">
        <v>619</v>
      </c>
      <c r="P96" s="85" t="s">
        <v>620</v>
      </c>
      <c r="Q96" s="49" t="s">
        <v>91</v>
      </c>
      <c r="R96" s="25"/>
      <c r="S96" s="56">
        <v>13</v>
      </c>
      <c r="T96" s="56"/>
      <c r="U96" s="228" t="s">
        <v>621</v>
      </c>
      <c r="V96" s="62"/>
      <c r="W96" s="225" t="s">
        <v>76</v>
      </c>
      <c r="X96" s="78"/>
      <c r="Y96" s="25"/>
      <c r="Z96" s="93" t="s">
        <v>193</v>
      </c>
      <c r="AA96" s="87"/>
      <c r="AC96" s="40"/>
    </row>
    <row r="97" spans="1:29" ht="33" hidden="1">
      <c r="A97" s="88">
        <v>87</v>
      </c>
      <c r="B97" s="79" t="s">
        <v>622</v>
      </c>
      <c r="C97" s="148" t="s">
        <v>8</v>
      </c>
      <c r="D97" s="80" t="s">
        <v>83</v>
      </c>
      <c r="E97" s="91" t="s">
        <v>588</v>
      </c>
      <c r="F97" s="80" t="s">
        <v>109</v>
      </c>
      <c r="G97" s="81" t="s">
        <v>589</v>
      </c>
      <c r="H97" s="80" t="s">
        <v>590</v>
      </c>
      <c r="I97" s="83">
        <v>45474</v>
      </c>
      <c r="J97" s="80" t="s">
        <v>250</v>
      </c>
      <c r="K97" s="80" t="s">
        <v>491</v>
      </c>
      <c r="L97" s="84" t="s">
        <v>251</v>
      </c>
      <c r="M97" s="84" t="s">
        <v>252</v>
      </c>
      <c r="N97" s="84" t="s">
        <v>72</v>
      </c>
      <c r="O97" s="85" t="s">
        <v>623</v>
      </c>
      <c r="P97" s="85" t="s">
        <v>624</v>
      </c>
      <c r="Q97" s="49" t="s">
        <v>91</v>
      </c>
      <c r="R97" s="25"/>
      <c r="S97" s="56">
        <v>14</v>
      </c>
      <c r="T97" s="56"/>
      <c r="U97" s="228" t="s">
        <v>625</v>
      </c>
      <c r="V97" s="62"/>
      <c r="W97" s="225" t="s">
        <v>76</v>
      </c>
      <c r="X97" s="78"/>
      <c r="Y97" s="25"/>
      <c r="Z97" s="93" t="s">
        <v>193</v>
      </c>
      <c r="AA97" s="87"/>
      <c r="AC97" s="40"/>
    </row>
    <row r="98" spans="1:29" ht="49.5" hidden="1">
      <c r="A98" s="88">
        <v>88</v>
      </c>
      <c r="B98" s="79" t="s">
        <v>626</v>
      </c>
      <c r="C98" s="148" t="s">
        <v>8</v>
      </c>
      <c r="D98" s="80" t="s">
        <v>83</v>
      </c>
      <c r="E98" s="91" t="s">
        <v>627</v>
      </c>
      <c r="F98" s="80" t="s">
        <v>628</v>
      </c>
      <c r="G98" s="81" t="s">
        <v>589</v>
      </c>
      <c r="H98" s="80" t="s">
        <v>629</v>
      </c>
      <c r="I98" s="83">
        <v>45474</v>
      </c>
      <c r="J98" s="80" t="s">
        <v>170</v>
      </c>
      <c r="K98" s="80" t="s">
        <v>156</v>
      </c>
      <c r="L98" s="84" t="s">
        <v>171</v>
      </c>
      <c r="M98" s="84" t="s">
        <v>71</v>
      </c>
      <c r="N98" s="84" t="s">
        <v>72</v>
      </c>
      <c r="O98" s="85" t="s">
        <v>630</v>
      </c>
      <c r="P98" s="85" t="s">
        <v>631</v>
      </c>
      <c r="Q98" s="49" t="s">
        <v>91</v>
      </c>
      <c r="R98" s="25"/>
      <c r="S98" s="56">
        <v>17</v>
      </c>
      <c r="T98" s="56"/>
      <c r="U98" s="228" t="s">
        <v>632</v>
      </c>
      <c r="V98" s="62"/>
      <c r="W98" s="225" t="s">
        <v>76</v>
      </c>
      <c r="X98" s="78"/>
      <c r="Y98" s="25"/>
      <c r="Z98" s="93" t="s">
        <v>193</v>
      </c>
      <c r="AA98" s="87"/>
      <c r="AC98" s="40"/>
    </row>
    <row r="99" spans="1:29" ht="197.25" hidden="1">
      <c r="A99" s="88">
        <v>89</v>
      </c>
      <c r="B99" s="79" t="s">
        <v>633</v>
      </c>
      <c r="C99" s="148" t="s">
        <v>8</v>
      </c>
      <c r="D99" s="80" t="s">
        <v>83</v>
      </c>
      <c r="E99" s="91" t="s">
        <v>627</v>
      </c>
      <c r="F99" s="80" t="s">
        <v>628</v>
      </c>
      <c r="G99" s="81" t="s">
        <v>589</v>
      </c>
      <c r="H99" s="80" t="s">
        <v>629</v>
      </c>
      <c r="I99" s="83">
        <v>45474</v>
      </c>
      <c r="J99" s="80" t="s">
        <v>170</v>
      </c>
      <c r="K99" s="80" t="s">
        <v>156</v>
      </c>
      <c r="L99" s="84" t="s">
        <v>171</v>
      </c>
      <c r="M99" s="84" t="s">
        <v>71</v>
      </c>
      <c r="N99" s="84" t="s">
        <v>72</v>
      </c>
      <c r="O99" s="85" t="s">
        <v>634</v>
      </c>
      <c r="P99" s="85" t="s">
        <v>635</v>
      </c>
      <c r="Q99" s="49" t="s">
        <v>75</v>
      </c>
      <c r="R99" s="25" t="s">
        <v>91</v>
      </c>
      <c r="S99" s="56">
        <v>19</v>
      </c>
      <c r="T99" s="56"/>
      <c r="U99" s="228" t="s">
        <v>636</v>
      </c>
      <c r="V99" s="62"/>
      <c r="W99" s="225"/>
      <c r="X99" s="78" t="s">
        <v>78</v>
      </c>
      <c r="Y99" s="25"/>
      <c r="Z99" s="93" t="s">
        <v>106</v>
      </c>
      <c r="AA99" s="87"/>
      <c r="AC99" s="40"/>
    </row>
    <row r="100" spans="1:29" ht="49.5" hidden="1">
      <c r="A100" s="88">
        <v>90</v>
      </c>
      <c r="B100" s="79" t="s">
        <v>637</v>
      </c>
      <c r="C100" s="148" t="s">
        <v>8</v>
      </c>
      <c r="D100" s="80" t="s">
        <v>83</v>
      </c>
      <c r="E100" s="91" t="s">
        <v>638</v>
      </c>
      <c r="F100" s="80" t="s">
        <v>109</v>
      </c>
      <c r="G100" s="81" t="s">
        <v>639</v>
      </c>
      <c r="H100" s="80" t="s">
        <v>640</v>
      </c>
      <c r="I100" s="83">
        <v>45474</v>
      </c>
      <c r="J100" s="80" t="s">
        <v>170</v>
      </c>
      <c r="K100" s="80" t="s">
        <v>156</v>
      </c>
      <c r="L100" s="84" t="s">
        <v>171</v>
      </c>
      <c r="M100" s="84" t="s">
        <v>71</v>
      </c>
      <c r="N100" s="84" t="s">
        <v>72</v>
      </c>
      <c r="O100" s="85" t="s">
        <v>641</v>
      </c>
      <c r="P100" s="85" t="s">
        <v>642</v>
      </c>
      <c r="Q100" s="49" t="s">
        <v>75</v>
      </c>
      <c r="R100" s="25" t="s">
        <v>75</v>
      </c>
      <c r="S100" s="56">
        <v>24</v>
      </c>
      <c r="T100" s="56">
        <v>81</v>
      </c>
      <c r="U100" s="228" t="s">
        <v>643</v>
      </c>
      <c r="V100" s="62" t="s">
        <v>75</v>
      </c>
      <c r="W100" s="225" t="s">
        <v>305</v>
      </c>
      <c r="X100" s="78" t="s">
        <v>78</v>
      </c>
      <c r="Y100" s="25"/>
      <c r="Z100" s="93" t="s">
        <v>106</v>
      </c>
      <c r="AA100" s="87"/>
      <c r="AC100" s="40"/>
    </row>
    <row r="101" spans="1:29" ht="115.5" hidden="1">
      <c r="A101" s="88">
        <v>91</v>
      </c>
      <c r="B101" s="79" t="s">
        <v>644</v>
      </c>
      <c r="C101" s="148" t="s">
        <v>8</v>
      </c>
      <c r="D101" s="80" t="s">
        <v>83</v>
      </c>
      <c r="E101" s="91" t="s">
        <v>645</v>
      </c>
      <c r="F101" s="80" t="s">
        <v>65</v>
      </c>
      <c r="G101" s="81" t="s">
        <v>639</v>
      </c>
      <c r="H101" s="80" t="s">
        <v>646</v>
      </c>
      <c r="I101" s="83">
        <v>45474</v>
      </c>
      <c r="J101" s="80" t="s">
        <v>250</v>
      </c>
      <c r="K101" s="80" t="s">
        <v>69</v>
      </c>
      <c r="L101" s="84" t="s">
        <v>251</v>
      </c>
      <c r="M101" s="84" t="s">
        <v>252</v>
      </c>
      <c r="N101" s="84" t="s">
        <v>253</v>
      </c>
      <c r="O101" s="85" t="s">
        <v>647</v>
      </c>
      <c r="P101" s="85" t="s">
        <v>648</v>
      </c>
      <c r="Q101" s="49" t="s">
        <v>75</v>
      </c>
      <c r="R101" s="25" t="s">
        <v>91</v>
      </c>
      <c r="S101" s="56">
        <v>20</v>
      </c>
      <c r="T101" s="56" t="s">
        <v>313</v>
      </c>
      <c r="U101" s="228" t="s">
        <v>76</v>
      </c>
      <c r="V101" s="63"/>
      <c r="W101" s="225" t="s">
        <v>76</v>
      </c>
      <c r="X101" s="78" t="s">
        <v>78</v>
      </c>
      <c r="Y101" s="25"/>
      <c r="Z101" s="93" t="s">
        <v>93</v>
      </c>
      <c r="AA101" s="87"/>
      <c r="AC101" s="40"/>
    </row>
    <row r="102" spans="1:29" ht="409.6" hidden="1">
      <c r="A102" s="88">
        <v>92</v>
      </c>
      <c r="B102" s="79" t="s">
        <v>649</v>
      </c>
      <c r="C102" s="148" t="s">
        <v>8</v>
      </c>
      <c r="D102" s="80" t="s">
        <v>63</v>
      </c>
      <c r="E102" s="91" t="s">
        <v>650</v>
      </c>
      <c r="F102" s="80" t="s">
        <v>109</v>
      </c>
      <c r="G102" s="81" t="s">
        <v>651</v>
      </c>
      <c r="H102" s="80" t="s">
        <v>652</v>
      </c>
      <c r="I102" s="83">
        <v>45474</v>
      </c>
      <c r="J102" s="80" t="s">
        <v>250</v>
      </c>
      <c r="K102" s="80" t="s">
        <v>491</v>
      </c>
      <c r="L102" s="84" t="s">
        <v>251</v>
      </c>
      <c r="M102" s="84" t="s">
        <v>252</v>
      </c>
      <c r="N102" s="84" t="s">
        <v>253</v>
      </c>
      <c r="O102" s="85" t="s">
        <v>653</v>
      </c>
      <c r="P102" s="85" t="s">
        <v>654</v>
      </c>
      <c r="Q102" s="49" t="s">
        <v>75</v>
      </c>
      <c r="R102" s="25" t="s">
        <v>91</v>
      </c>
      <c r="S102" s="56">
        <v>18</v>
      </c>
      <c r="T102" s="56"/>
      <c r="U102" s="228" t="s">
        <v>655</v>
      </c>
      <c r="V102" s="62"/>
      <c r="W102" s="225" t="s">
        <v>76</v>
      </c>
      <c r="X102" s="78" t="s">
        <v>78</v>
      </c>
      <c r="Y102" s="25"/>
      <c r="Z102" s="93" t="s">
        <v>93</v>
      </c>
      <c r="AA102" s="87"/>
      <c r="AC102" s="40"/>
    </row>
    <row r="103" spans="1:29" ht="82.5" hidden="1">
      <c r="A103" s="88">
        <v>93</v>
      </c>
      <c r="B103" s="79" t="s">
        <v>656</v>
      </c>
      <c r="C103" s="148" t="s">
        <v>8</v>
      </c>
      <c r="D103" s="80" t="s">
        <v>63</v>
      </c>
      <c r="E103" s="91" t="s">
        <v>650</v>
      </c>
      <c r="F103" s="80" t="s">
        <v>109</v>
      </c>
      <c r="G103" s="81" t="s">
        <v>651</v>
      </c>
      <c r="H103" s="80" t="s">
        <v>652</v>
      </c>
      <c r="I103" s="83">
        <v>45474</v>
      </c>
      <c r="J103" s="80" t="s">
        <v>657</v>
      </c>
      <c r="K103" s="80" t="s">
        <v>188</v>
      </c>
      <c r="L103" s="84" t="s">
        <v>189</v>
      </c>
      <c r="M103" s="84" t="s">
        <v>221</v>
      </c>
      <c r="N103" s="84" t="s">
        <v>72</v>
      </c>
      <c r="O103" s="85" t="s">
        <v>658</v>
      </c>
      <c r="P103" s="85" t="s">
        <v>659</v>
      </c>
      <c r="Q103" s="49" t="s">
        <v>75</v>
      </c>
      <c r="R103" s="25" t="s">
        <v>91</v>
      </c>
      <c r="S103" s="56">
        <v>22</v>
      </c>
      <c r="T103" s="56">
        <v>64</v>
      </c>
      <c r="U103" s="228" t="s">
        <v>76</v>
      </c>
      <c r="V103" s="49"/>
      <c r="W103" s="225" t="s">
        <v>76</v>
      </c>
      <c r="X103" s="78" t="s">
        <v>78</v>
      </c>
      <c r="Y103" s="25"/>
      <c r="Z103" s="93" t="s">
        <v>93</v>
      </c>
      <c r="AA103" s="87"/>
      <c r="AC103" s="40"/>
    </row>
    <row r="104" spans="1:29" ht="66" hidden="1">
      <c r="A104" s="88">
        <v>94</v>
      </c>
      <c r="B104" s="79" t="s">
        <v>660</v>
      </c>
      <c r="C104" s="148" t="s">
        <v>8</v>
      </c>
      <c r="D104" s="80" t="s">
        <v>63</v>
      </c>
      <c r="E104" s="91" t="s">
        <v>661</v>
      </c>
      <c r="F104" s="80" t="s">
        <v>338</v>
      </c>
      <c r="G104" s="81" t="s">
        <v>651</v>
      </c>
      <c r="H104" s="80" t="s">
        <v>662</v>
      </c>
      <c r="I104" s="83">
        <v>45474</v>
      </c>
      <c r="J104" s="80" t="s">
        <v>663</v>
      </c>
      <c r="K104" s="80" t="s">
        <v>99</v>
      </c>
      <c r="L104" s="84" t="s">
        <v>100</v>
      </c>
      <c r="M104" s="84" t="s">
        <v>595</v>
      </c>
      <c r="N104" s="84" t="s">
        <v>72</v>
      </c>
      <c r="O104" s="85" t="s">
        <v>664</v>
      </c>
      <c r="P104" s="85" t="s">
        <v>665</v>
      </c>
      <c r="Q104" s="49" t="s">
        <v>91</v>
      </c>
      <c r="R104" s="25"/>
      <c r="S104" s="56">
        <v>10</v>
      </c>
      <c r="T104" s="56"/>
      <c r="U104" s="228" t="s">
        <v>666</v>
      </c>
      <c r="V104" s="62"/>
      <c r="W104" s="225" t="s">
        <v>76</v>
      </c>
      <c r="X104" s="78"/>
      <c r="Y104" s="25"/>
      <c r="Z104" s="93" t="s">
        <v>193</v>
      </c>
      <c r="AA104" s="87"/>
      <c r="AC104" s="40"/>
    </row>
    <row r="105" spans="1:29" ht="82.5" hidden="1">
      <c r="A105" s="88">
        <v>95</v>
      </c>
      <c r="B105" s="79" t="s">
        <v>667</v>
      </c>
      <c r="C105" s="148" t="s">
        <v>8</v>
      </c>
      <c r="D105" s="80" t="s">
        <v>83</v>
      </c>
      <c r="E105" s="91" t="s">
        <v>668</v>
      </c>
      <c r="F105" s="80" t="s">
        <v>338</v>
      </c>
      <c r="G105" s="81" t="s">
        <v>669</v>
      </c>
      <c r="H105" s="80" t="s">
        <v>670</v>
      </c>
      <c r="I105" s="83">
        <v>45474</v>
      </c>
      <c r="J105" s="80" t="s">
        <v>98</v>
      </c>
      <c r="K105" s="80" t="s">
        <v>99</v>
      </c>
      <c r="L105" s="84" t="s">
        <v>100</v>
      </c>
      <c r="M105" s="84" t="s">
        <v>101</v>
      </c>
      <c r="N105" s="84" t="s">
        <v>72</v>
      </c>
      <c r="O105" s="85" t="s">
        <v>671</v>
      </c>
      <c r="P105" s="85" t="s">
        <v>672</v>
      </c>
      <c r="Q105" s="49" t="s">
        <v>75</v>
      </c>
      <c r="R105" s="25" t="s">
        <v>91</v>
      </c>
      <c r="S105" s="56">
        <v>25</v>
      </c>
      <c r="T105" s="56" t="s">
        <v>313</v>
      </c>
      <c r="U105" s="228" t="s">
        <v>673</v>
      </c>
      <c r="V105" s="99"/>
      <c r="W105" s="225" t="s">
        <v>76</v>
      </c>
      <c r="X105" s="78" t="s">
        <v>78</v>
      </c>
      <c r="Y105" s="25"/>
      <c r="Z105" s="93" t="s">
        <v>93</v>
      </c>
      <c r="AA105" s="87"/>
      <c r="AC105" s="40"/>
    </row>
    <row r="106" spans="1:29" ht="66" hidden="1">
      <c r="A106" s="88">
        <v>96</v>
      </c>
      <c r="B106" s="79" t="s">
        <v>674</v>
      </c>
      <c r="C106" s="148" t="s">
        <v>8</v>
      </c>
      <c r="D106" s="80" t="s">
        <v>83</v>
      </c>
      <c r="E106" s="91" t="s">
        <v>378</v>
      </c>
      <c r="F106" s="80" t="s">
        <v>109</v>
      </c>
      <c r="G106" s="81" t="s">
        <v>339</v>
      </c>
      <c r="H106" s="80" t="s">
        <v>379</v>
      </c>
      <c r="I106" s="83">
        <v>45474</v>
      </c>
      <c r="J106" s="80" t="s">
        <v>241</v>
      </c>
      <c r="K106" s="80" t="s">
        <v>198</v>
      </c>
      <c r="L106" s="84" t="s">
        <v>199</v>
      </c>
      <c r="M106" s="84" t="s">
        <v>221</v>
      </c>
      <c r="N106" s="84" t="s">
        <v>72</v>
      </c>
      <c r="O106" s="85" t="s">
        <v>675</v>
      </c>
      <c r="P106" s="85" t="s">
        <v>676</v>
      </c>
      <c r="Q106" s="49" t="s">
        <v>75</v>
      </c>
      <c r="R106" s="25" t="s">
        <v>91</v>
      </c>
      <c r="S106" s="56">
        <v>26</v>
      </c>
      <c r="T106" s="56">
        <v>62</v>
      </c>
      <c r="U106" s="228" t="s">
        <v>677</v>
      </c>
      <c r="V106" s="99"/>
      <c r="W106" s="225"/>
      <c r="X106" s="78" t="s">
        <v>78</v>
      </c>
      <c r="Y106" s="78"/>
      <c r="Z106" s="111" t="s">
        <v>93</v>
      </c>
      <c r="AA106" s="87"/>
      <c r="AC106" s="40"/>
    </row>
    <row r="107" spans="1:29" ht="99" hidden="1">
      <c r="A107" s="88">
        <v>97</v>
      </c>
      <c r="B107" s="79" t="s">
        <v>678</v>
      </c>
      <c r="C107" s="148" t="s">
        <v>8</v>
      </c>
      <c r="D107" s="80" t="s">
        <v>83</v>
      </c>
      <c r="E107" s="91" t="s">
        <v>378</v>
      </c>
      <c r="F107" s="80" t="s">
        <v>109</v>
      </c>
      <c r="G107" s="81" t="s">
        <v>339</v>
      </c>
      <c r="H107" s="80" t="s">
        <v>379</v>
      </c>
      <c r="I107" s="83">
        <v>45474</v>
      </c>
      <c r="J107" s="80" t="s">
        <v>241</v>
      </c>
      <c r="K107" s="80" t="s">
        <v>198</v>
      </c>
      <c r="L107" s="84" t="s">
        <v>199</v>
      </c>
      <c r="M107" s="84" t="s">
        <v>221</v>
      </c>
      <c r="N107" s="84" t="s">
        <v>72</v>
      </c>
      <c r="O107" s="85" t="s">
        <v>679</v>
      </c>
      <c r="P107" s="85" t="s">
        <v>680</v>
      </c>
      <c r="Q107" s="49" t="s">
        <v>75</v>
      </c>
      <c r="R107" s="25" t="s">
        <v>91</v>
      </c>
      <c r="S107" s="56">
        <v>26</v>
      </c>
      <c r="T107" s="56">
        <v>62</v>
      </c>
      <c r="U107" s="228" t="s">
        <v>677</v>
      </c>
      <c r="V107" s="99"/>
      <c r="W107" s="225"/>
      <c r="X107" s="78" t="s">
        <v>78</v>
      </c>
      <c r="Y107" s="78"/>
      <c r="Z107" s="111" t="s">
        <v>93</v>
      </c>
      <c r="AA107" s="87"/>
      <c r="AC107" s="40"/>
    </row>
    <row r="108" spans="1:29" ht="66" hidden="1">
      <c r="A108" s="88">
        <v>98</v>
      </c>
      <c r="B108" s="79" t="s">
        <v>681</v>
      </c>
      <c r="C108" s="148" t="s">
        <v>8</v>
      </c>
      <c r="D108" s="80" t="s">
        <v>83</v>
      </c>
      <c r="E108" s="91" t="s">
        <v>378</v>
      </c>
      <c r="F108" s="80" t="s">
        <v>109</v>
      </c>
      <c r="G108" s="81" t="s">
        <v>339</v>
      </c>
      <c r="H108" s="80" t="s">
        <v>379</v>
      </c>
      <c r="I108" s="83">
        <v>45474</v>
      </c>
      <c r="J108" s="80" t="s">
        <v>241</v>
      </c>
      <c r="K108" s="80" t="s">
        <v>198</v>
      </c>
      <c r="L108" s="84" t="s">
        <v>199</v>
      </c>
      <c r="M108" s="84" t="s">
        <v>221</v>
      </c>
      <c r="N108" s="84" t="s">
        <v>72</v>
      </c>
      <c r="O108" s="85" t="s">
        <v>682</v>
      </c>
      <c r="P108" s="85" t="s">
        <v>683</v>
      </c>
      <c r="Q108" s="49" t="s">
        <v>75</v>
      </c>
      <c r="R108" s="25" t="s">
        <v>91</v>
      </c>
      <c r="S108" s="56">
        <v>26</v>
      </c>
      <c r="T108" s="56">
        <v>62</v>
      </c>
      <c r="U108" s="228" t="s">
        <v>677</v>
      </c>
      <c r="V108" s="99"/>
      <c r="W108" s="225"/>
      <c r="X108" s="78" t="s">
        <v>78</v>
      </c>
      <c r="Y108" s="78"/>
      <c r="Z108" s="111" t="s">
        <v>93</v>
      </c>
      <c r="AA108" s="87"/>
      <c r="AC108" s="40"/>
    </row>
    <row r="109" spans="1:29" ht="49.5" hidden="1">
      <c r="A109" s="88">
        <v>99</v>
      </c>
      <c r="B109" s="79" t="s">
        <v>684</v>
      </c>
      <c r="C109" s="148" t="s">
        <v>8</v>
      </c>
      <c r="D109" s="80" t="s">
        <v>63</v>
      </c>
      <c r="E109" s="91" t="s">
        <v>685</v>
      </c>
      <c r="F109" s="80" t="s">
        <v>109</v>
      </c>
      <c r="G109" s="81" t="s">
        <v>686</v>
      </c>
      <c r="H109" s="80" t="s">
        <v>687</v>
      </c>
      <c r="I109" s="83">
        <v>45474</v>
      </c>
      <c r="J109" s="80" t="s">
        <v>250</v>
      </c>
      <c r="K109" s="80" t="s">
        <v>69</v>
      </c>
      <c r="L109" s="84" t="s">
        <v>251</v>
      </c>
      <c r="M109" s="84" t="s">
        <v>252</v>
      </c>
      <c r="N109" s="84" t="s">
        <v>253</v>
      </c>
      <c r="O109" s="85" t="s">
        <v>688</v>
      </c>
      <c r="P109" s="85" t="s">
        <v>689</v>
      </c>
      <c r="Q109" s="49" t="s">
        <v>91</v>
      </c>
      <c r="R109" s="25"/>
      <c r="S109" s="56">
        <v>9</v>
      </c>
      <c r="T109" s="56"/>
      <c r="U109" s="228" t="s">
        <v>690</v>
      </c>
      <c r="V109" s="62"/>
      <c r="W109" s="225" t="s">
        <v>76</v>
      </c>
      <c r="X109" s="78"/>
      <c r="Y109" s="25"/>
      <c r="Z109" s="93" t="s">
        <v>193</v>
      </c>
      <c r="AA109" s="87"/>
      <c r="AC109" s="40"/>
    </row>
    <row r="110" spans="1:29" ht="49.5" hidden="1">
      <c r="A110" s="88">
        <v>100</v>
      </c>
      <c r="B110" s="79" t="s">
        <v>691</v>
      </c>
      <c r="C110" s="148" t="s">
        <v>8</v>
      </c>
      <c r="D110" s="80" t="s">
        <v>63</v>
      </c>
      <c r="E110" s="91" t="s">
        <v>692</v>
      </c>
      <c r="F110" s="80" t="s">
        <v>120</v>
      </c>
      <c r="G110" s="81" t="s">
        <v>440</v>
      </c>
      <c r="H110" s="80" t="s">
        <v>693</v>
      </c>
      <c r="I110" s="83">
        <v>45474</v>
      </c>
      <c r="J110" s="80" t="s">
        <v>98</v>
      </c>
      <c r="K110" s="80" t="s">
        <v>156</v>
      </c>
      <c r="L110" s="84" t="s">
        <v>100</v>
      </c>
      <c r="M110" s="84" t="s">
        <v>101</v>
      </c>
      <c r="N110" s="84" t="s">
        <v>72</v>
      </c>
      <c r="O110" s="85" t="s">
        <v>694</v>
      </c>
      <c r="P110" s="85" t="s">
        <v>695</v>
      </c>
      <c r="Q110" s="49" t="s">
        <v>75</v>
      </c>
      <c r="R110" s="25" t="s">
        <v>91</v>
      </c>
      <c r="S110" s="56">
        <v>18</v>
      </c>
      <c r="T110" s="56">
        <v>69</v>
      </c>
      <c r="U110" s="228" t="s">
        <v>696</v>
      </c>
      <c r="V110" s="49"/>
      <c r="W110" s="225" t="s">
        <v>76</v>
      </c>
      <c r="X110" s="78" t="s">
        <v>78</v>
      </c>
      <c r="Y110" s="25"/>
      <c r="Z110" s="93" t="s">
        <v>93</v>
      </c>
      <c r="AA110" s="87"/>
      <c r="AC110" s="40"/>
    </row>
    <row r="111" spans="1:29" ht="49.5" hidden="1">
      <c r="A111" s="88">
        <v>101</v>
      </c>
      <c r="B111" s="79" t="s">
        <v>697</v>
      </c>
      <c r="C111" s="148" t="s">
        <v>8</v>
      </c>
      <c r="D111" s="80" t="s">
        <v>63</v>
      </c>
      <c r="E111" s="91" t="s">
        <v>698</v>
      </c>
      <c r="F111" s="80" t="s">
        <v>338</v>
      </c>
      <c r="G111" s="81" t="s">
        <v>686</v>
      </c>
      <c r="H111" s="80" t="s">
        <v>699</v>
      </c>
      <c r="I111" s="83">
        <v>45474</v>
      </c>
      <c r="J111" s="80" t="s">
        <v>657</v>
      </c>
      <c r="K111" s="80" t="s">
        <v>188</v>
      </c>
      <c r="L111" s="84" t="s">
        <v>189</v>
      </c>
      <c r="M111" s="84" t="s">
        <v>221</v>
      </c>
      <c r="N111" s="84" t="s">
        <v>72</v>
      </c>
      <c r="O111" s="85" t="s">
        <v>700</v>
      </c>
      <c r="P111" s="85" t="s">
        <v>701</v>
      </c>
      <c r="Q111" s="49" t="s">
        <v>75</v>
      </c>
      <c r="R111" s="25" t="s">
        <v>91</v>
      </c>
      <c r="S111" s="56">
        <v>22</v>
      </c>
      <c r="T111" s="76" t="s">
        <v>702</v>
      </c>
      <c r="U111" s="228" t="s">
        <v>703</v>
      </c>
      <c r="V111" s="49"/>
      <c r="W111" s="225" t="s">
        <v>76</v>
      </c>
      <c r="X111" s="78" t="s">
        <v>78</v>
      </c>
      <c r="Y111" s="25"/>
      <c r="Z111" s="93" t="s">
        <v>93</v>
      </c>
      <c r="AA111" s="87"/>
      <c r="AC111" s="40"/>
    </row>
    <row r="112" spans="1:29" ht="49.5" hidden="1">
      <c r="A112" s="88">
        <v>102</v>
      </c>
      <c r="B112" s="79" t="s">
        <v>704</v>
      </c>
      <c r="C112" s="148" t="s">
        <v>8</v>
      </c>
      <c r="D112" s="80" t="s">
        <v>63</v>
      </c>
      <c r="E112" s="91" t="s">
        <v>705</v>
      </c>
      <c r="F112" s="80" t="s">
        <v>338</v>
      </c>
      <c r="G112" s="81" t="s">
        <v>440</v>
      </c>
      <c r="H112" s="80" t="s">
        <v>706</v>
      </c>
      <c r="I112" s="83">
        <v>45474</v>
      </c>
      <c r="J112" s="80" t="s">
        <v>68</v>
      </c>
      <c r="K112" s="80" t="s">
        <v>69</v>
      </c>
      <c r="L112" s="84" t="s">
        <v>70</v>
      </c>
      <c r="M112" s="84" t="s">
        <v>71</v>
      </c>
      <c r="N112" s="84" t="s">
        <v>72</v>
      </c>
      <c r="O112" s="165" t="s">
        <v>707</v>
      </c>
      <c r="P112" s="85" t="s">
        <v>708</v>
      </c>
      <c r="Q112" s="49" t="s">
        <v>75</v>
      </c>
      <c r="R112" s="25" t="s">
        <v>75</v>
      </c>
      <c r="S112" s="56">
        <v>26</v>
      </c>
      <c r="T112" s="56">
        <v>89</v>
      </c>
      <c r="U112" s="228"/>
      <c r="V112" s="221" t="s">
        <v>75</v>
      </c>
      <c r="W112" s="229" t="s">
        <v>77</v>
      </c>
      <c r="X112" s="78" t="s">
        <v>78</v>
      </c>
      <c r="Y112" s="78" t="s">
        <v>78</v>
      </c>
      <c r="Z112" s="93" t="s">
        <v>79</v>
      </c>
      <c r="AA112" s="87"/>
      <c r="AC112" s="40"/>
    </row>
    <row r="113" spans="1:29" ht="66" hidden="1">
      <c r="A113" s="88">
        <v>103</v>
      </c>
      <c r="B113" s="79" t="s">
        <v>709</v>
      </c>
      <c r="C113" s="148" t="s">
        <v>8</v>
      </c>
      <c r="D113" s="80" t="s">
        <v>63</v>
      </c>
      <c r="E113" s="82" t="s">
        <v>710</v>
      </c>
      <c r="F113" s="80" t="s">
        <v>109</v>
      </c>
      <c r="G113" s="81" t="s">
        <v>686</v>
      </c>
      <c r="H113" s="80" t="s">
        <v>711</v>
      </c>
      <c r="I113" s="83">
        <v>45474</v>
      </c>
      <c r="J113" s="80" t="s">
        <v>241</v>
      </c>
      <c r="K113" s="80" t="s">
        <v>198</v>
      </c>
      <c r="L113" s="84" t="s">
        <v>199</v>
      </c>
      <c r="M113" s="84" t="s">
        <v>221</v>
      </c>
      <c r="N113" s="84" t="s">
        <v>72</v>
      </c>
      <c r="O113" s="85" t="s">
        <v>712</v>
      </c>
      <c r="P113" s="85" t="s">
        <v>713</v>
      </c>
      <c r="Q113" s="49" t="s">
        <v>75</v>
      </c>
      <c r="R113" s="25" t="s">
        <v>91</v>
      </c>
      <c r="S113" s="56">
        <v>26</v>
      </c>
      <c r="T113" s="56">
        <v>62</v>
      </c>
      <c r="U113" s="228" t="s">
        <v>714</v>
      </c>
      <c r="V113" s="49"/>
      <c r="W113" s="225"/>
      <c r="X113" s="78" t="s">
        <v>78</v>
      </c>
      <c r="Y113" s="78"/>
      <c r="Z113" s="111" t="s">
        <v>93</v>
      </c>
      <c r="AA113" s="87"/>
      <c r="AC113" s="40"/>
    </row>
    <row r="114" spans="1:29" ht="115.5" hidden="1">
      <c r="A114" s="88">
        <v>104</v>
      </c>
      <c r="B114" s="79" t="s">
        <v>715</v>
      </c>
      <c r="C114" s="252" t="s">
        <v>8</v>
      </c>
      <c r="D114" s="80" t="s">
        <v>63</v>
      </c>
      <c r="E114" s="91" t="s">
        <v>716</v>
      </c>
      <c r="F114" s="80" t="s">
        <v>120</v>
      </c>
      <c r="G114" s="81" t="s">
        <v>686</v>
      </c>
      <c r="H114" s="80" t="s">
        <v>717</v>
      </c>
      <c r="I114" s="83">
        <v>45474</v>
      </c>
      <c r="J114" s="80" t="s">
        <v>98</v>
      </c>
      <c r="K114" s="80" t="s">
        <v>86</v>
      </c>
      <c r="L114" s="84" t="s">
        <v>100</v>
      </c>
      <c r="M114" s="84" t="s">
        <v>101</v>
      </c>
      <c r="N114" s="84" t="s">
        <v>72</v>
      </c>
      <c r="O114" s="85" t="s">
        <v>718</v>
      </c>
      <c r="P114" s="85" t="s">
        <v>719</v>
      </c>
      <c r="Q114" s="49" t="s">
        <v>75</v>
      </c>
      <c r="R114" s="25" t="s">
        <v>75</v>
      </c>
      <c r="S114" s="56">
        <v>20</v>
      </c>
      <c r="T114" s="56"/>
      <c r="U114" s="228" t="s">
        <v>720</v>
      </c>
      <c r="V114" s="49" t="s">
        <v>75</v>
      </c>
      <c r="W114" s="229" t="s">
        <v>721</v>
      </c>
      <c r="X114" s="78" t="s">
        <v>78</v>
      </c>
      <c r="Y114" s="78" t="s">
        <v>516</v>
      </c>
      <c r="Z114" s="93" t="s">
        <v>106</v>
      </c>
      <c r="AA114" s="87"/>
      <c r="AC114" s="40"/>
    </row>
    <row r="115" spans="1:29" ht="115.5" hidden="1">
      <c r="A115" s="88">
        <v>105</v>
      </c>
      <c r="B115" s="79" t="s">
        <v>722</v>
      </c>
      <c r="C115" s="148" t="s">
        <v>8</v>
      </c>
      <c r="D115" s="80" t="s">
        <v>63</v>
      </c>
      <c r="E115" s="82" t="s">
        <v>723</v>
      </c>
      <c r="F115" s="80" t="s">
        <v>109</v>
      </c>
      <c r="G115" s="81" t="s">
        <v>686</v>
      </c>
      <c r="H115" s="80" t="s">
        <v>724</v>
      </c>
      <c r="I115" s="83">
        <v>45474</v>
      </c>
      <c r="J115" s="80" t="s">
        <v>250</v>
      </c>
      <c r="K115" s="80" t="s">
        <v>491</v>
      </c>
      <c r="L115" s="84" t="s">
        <v>251</v>
      </c>
      <c r="M115" s="84" t="s">
        <v>252</v>
      </c>
      <c r="N115" s="84" t="s">
        <v>72</v>
      </c>
      <c r="O115" s="85" t="s">
        <v>725</v>
      </c>
      <c r="P115" s="85" t="s">
        <v>726</v>
      </c>
      <c r="Q115" s="49" t="s">
        <v>91</v>
      </c>
      <c r="R115" s="25"/>
      <c r="S115" s="56">
        <v>13</v>
      </c>
      <c r="T115" s="56"/>
      <c r="U115" s="228" t="s">
        <v>727</v>
      </c>
      <c r="V115" s="62"/>
      <c r="W115" s="225" t="s">
        <v>76</v>
      </c>
      <c r="X115" s="78"/>
      <c r="Y115" s="25"/>
      <c r="Z115" s="93" t="s">
        <v>193</v>
      </c>
      <c r="AA115" s="87"/>
      <c r="AC115" s="40"/>
    </row>
    <row r="116" spans="1:29" ht="99" hidden="1">
      <c r="A116" s="88">
        <v>106</v>
      </c>
      <c r="B116" s="79" t="s">
        <v>728</v>
      </c>
      <c r="C116" s="148" t="s">
        <v>8</v>
      </c>
      <c r="D116" s="80" t="s">
        <v>63</v>
      </c>
      <c r="E116" s="91" t="s">
        <v>729</v>
      </c>
      <c r="F116" s="80" t="s">
        <v>109</v>
      </c>
      <c r="G116" s="81" t="s">
        <v>440</v>
      </c>
      <c r="H116" s="80" t="s">
        <v>730</v>
      </c>
      <c r="I116" s="83">
        <v>45474</v>
      </c>
      <c r="J116" s="80" t="s">
        <v>332</v>
      </c>
      <c r="K116" s="80" t="s">
        <v>188</v>
      </c>
      <c r="L116" s="84" t="s">
        <v>189</v>
      </c>
      <c r="M116" s="84" t="s">
        <v>101</v>
      </c>
      <c r="N116" s="84" t="s">
        <v>72</v>
      </c>
      <c r="O116" s="85" t="s">
        <v>731</v>
      </c>
      <c r="P116" s="85" t="s">
        <v>732</v>
      </c>
      <c r="Q116" s="49" t="s">
        <v>75</v>
      </c>
      <c r="R116" s="25" t="s">
        <v>91</v>
      </c>
      <c r="S116" s="56">
        <v>21</v>
      </c>
      <c r="T116" s="56" t="s">
        <v>303</v>
      </c>
      <c r="U116" s="228" t="s">
        <v>76</v>
      </c>
      <c r="V116" s="49"/>
      <c r="W116" s="225" t="s">
        <v>76</v>
      </c>
      <c r="X116" s="78" t="s">
        <v>78</v>
      </c>
      <c r="Y116" s="25"/>
      <c r="Z116" s="93" t="s">
        <v>93</v>
      </c>
      <c r="AA116" s="87"/>
      <c r="AC116" s="40"/>
    </row>
    <row r="117" spans="1:29" ht="49.5" hidden="1">
      <c r="A117" s="88">
        <v>107</v>
      </c>
      <c r="B117" s="79" t="s">
        <v>733</v>
      </c>
      <c r="C117" s="148" t="s">
        <v>8</v>
      </c>
      <c r="D117" s="80" t="s">
        <v>83</v>
      </c>
      <c r="E117" s="91" t="s">
        <v>734</v>
      </c>
      <c r="F117" s="80" t="s">
        <v>109</v>
      </c>
      <c r="G117" s="81" t="s">
        <v>488</v>
      </c>
      <c r="H117" s="80" t="s">
        <v>735</v>
      </c>
      <c r="I117" s="83">
        <v>45474</v>
      </c>
      <c r="J117" s="80" t="s">
        <v>657</v>
      </c>
      <c r="K117" s="80" t="s">
        <v>188</v>
      </c>
      <c r="L117" s="84" t="s">
        <v>189</v>
      </c>
      <c r="M117" s="84" t="s">
        <v>221</v>
      </c>
      <c r="N117" s="84" t="s">
        <v>72</v>
      </c>
      <c r="O117" s="85" t="s">
        <v>736</v>
      </c>
      <c r="P117" s="85" t="s">
        <v>737</v>
      </c>
      <c r="Q117" s="49" t="s">
        <v>75</v>
      </c>
      <c r="R117" s="179" t="s">
        <v>504</v>
      </c>
      <c r="S117" s="56">
        <v>24</v>
      </c>
      <c r="T117" s="56" t="s">
        <v>738</v>
      </c>
      <c r="U117" s="228" t="s">
        <v>739</v>
      </c>
      <c r="V117" s="49"/>
      <c r="W117" s="225"/>
      <c r="X117" s="78" t="s">
        <v>78</v>
      </c>
      <c r="Y117" s="25"/>
      <c r="Z117" s="93" t="s">
        <v>106</v>
      </c>
      <c r="AA117" s="87"/>
      <c r="AC117" s="40"/>
    </row>
    <row r="118" spans="1:29" ht="99" hidden="1">
      <c r="A118" s="88">
        <v>108</v>
      </c>
      <c r="B118" s="79" t="s">
        <v>740</v>
      </c>
      <c r="C118" s="148" t="s">
        <v>8</v>
      </c>
      <c r="D118" s="80" t="s">
        <v>83</v>
      </c>
      <c r="E118" s="91" t="s">
        <v>734</v>
      </c>
      <c r="F118" s="80" t="s">
        <v>109</v>
      </c>
      <c r="G118" s="81" t="s">
        <v>488</v>
      </c>
      <c r="H118" s="80" t="s">
        <v>735</v>
      </c>
      <c r="I118" s="83">
        <v>45474</v>
      </c>
      <c r="J118" s="80" t="s">
        <v>111</v>
      </c>
      <c r="K118" s="80" t="s">
        <v>112</v>
      </c>
      <c r="L118" s="84" t="s">
        <v>122</v>
      </c>
      <c r="M118" s="84" t="s">
        <v>114</v>
      </c>
      <c r="N118" s="84" t="s">
        <v>72</v>
      </c>
      <c r="O118" s="85" t="s">
        <v>741</v>
      </c>
      <c r="P118" s="85" t="s">
        <v>742</v>
      </c>
      <c r="Q118" s="49" t="s">
        <v>91</v>
      </c>
      <c r="R118" s="25"/>
      <c r="S118" s="56">
        <v>17</v>
      </c>
      <c r="T118" s="56"/>
      <c r="U118" s="228" t="s">
        <v>743</v>
      </c>
      <c r="V118" s="63"/>
      <c r="W118" s="225" t="s">
        <v>76</v>
      </c>
      <c r="X118" s="78"/>
      <c r="Y118" s="25"/>
      <c r="Z118" s="93" t="s">
        <v>193</v>
      </c>
      <c r="AA118" s="87"/>
      <c r="AC118" s="40"/>
    </row>
    <row r="119" spans="1:29" ht="49.5" hidden="1">
      <c r="A119" s="88">
        <v>109</v>
      </c>
      <c r="B119" s="79" t="s">
        <v>744</v>
      </c>
      <c r="C119" s="148" t="s">
        <v>8</v>
      </c>
      <c r="D119" s="80" t="s">
        <v>83</v>
      </c>
      <c r="E119" s="91" t="s">
        <v>734</v>
      </c>
      <c r="F119" s="80" t="s">
        <v>109</v>
      </c>
      <c r="G119" s="81" t="s">
        <v>488</v>
      </c>
      <c r="H119" s="80" t="s">
        <v>735</v>
      </c>
      <c r="I119" s="83">
        <v>45474</v>
      </c>
      <c r="J119" s="80" t="s">
        <v>745</v>
      </c>
      <c r="K119" s="80" t="s">
        <v>99</v>
      </c>
      <c r="L119" s="84" t="s">
        <v>100</v>
      </c>
      <c r="M119" s="84" t="s">
        <v>601</v>
      </c>
      <c r="N119" s="84" t="s">
        <v>72</v>
      </c>
      <c r="O119" s="85" t="s">
        <v>746</v>
      </c>
      <c r="P119" s="85" t="s">
        <v>747</v>
      </c>
      <c r="Q119" s="49" t="s">
        <v>75</v>
      </c>
      <c r="R119" s="158" t="s">
        <v>91</v>
      </c>
      <c r="S119" s="56">
        <v>17</v>
      </c>
      <c r="T119" s="56">
        <v>49</v>
      </c>
      <c r="U119" s="253" t="s">
        <v>748</v>
      </c>
      <c r="V119" s="49"/>
      <c r="W119" s="225"/>
      <c r="X119" s="78" t="s">
        <v>78</v>
      </c>
      <c r="Y119" s="25"/>
      <c r="Z119" s="93" t="s">
        <v>106</v>
      </c>
      <c r="AA119" s="87"/>
      <c r="AC119" s="40"/>
    </row>
    <row r="120" spans="1:29" ht="82.5" hidden="1">
      <c r="A120" s="88">
        <v>110</v>
      </c>
      <c r="B120" s="79" t="s">
        <v>749</v>
      </c>
      <c r="C120" s="148" t="s">
        <v>8</v>
      </c>
      <c r="D120" s="80" t="s">
        <v>83</v>
      </c>
      <c r="E120" s="91" t="s">
        <v>750</v>
      </c>
      <c r="F120" s="80" t="s">
        <v>109</v>
      </c>
      <c r="G120" s="81" t="s">
        <v>488</v>
      </c>
      <c r="H120" s="80" t="s">
        <v>751</v>
      </c>
      <c r="I120" s="83">
        <v>45474</v>
      </c>
      <c r="J120" s="80" t="s">
        <v>111</v>
      </c>
      <c r="K120" s="80" t="s">
        <v>112</v>
      </c>
      <c r="L120" s="84" t="s">
        <v>122</v>
      </c>
      <c r="M120" s="84" t="s">
        <v>114</v>
      </c>
      <c r="N120" s="84" t="s">
        <v>72</v>
      </c>
      <c r="O120" s="85" t="s">
        <v>752</v>
      </c>
      <c r="P120" s="85" t="s">
        <v>753</v>
      </c>
      <c r="Q120" s="49" t="s">
        <v>91</v>
      </c>
      <c r="R120" s="25"/>
      <c r="S120" s="56">
        <v>13</v>
      </c>
      <c r="T120" s="56"/>
      <c r="U120" s="228" t="s">
        <v>754</v>
      </c>
      <c r="V120" s="73"/>
      <c r="W120" s="225" t="s">
        <v>76</v>
      </c>
      <c r="X120" s="78"/>
      <c r="Y120" s="25"/>
      <c r="Z120" s="93" t="s">
        <v>193</v>
      </c>
      <c r="AA120" s="87"/>
      <c r="AC120" s="40"/>
    </row>
    <row r="121" spans="1:29" ht="66" hidden="1">
      <c r="A121" s="88">
        <v>111</v>
      </c>
      <c r="B121" s="79" t="s">
        <v>755</v>
      </c>
      <c r="C121" s="148" t="s">
        <v>8</v>
      </c>
      <c r="D121" s="80" t="s">
        <v>63</v>
      </c>
      <c r="E121" s="91" t="s">
        <v>756</v>
      </c>
      <c r="F121" s="80" t="s">
        <v>338</v>
      </c>
      <c r="G121" s="81" t="s">
        <v>757</v>
      </c>
      <c r="H121" s="80" t="s">
        <v>758</v>
      </c>
      <c r="I121" s="83">
        <v>45474</v>
      </c>
      <c r="J121" s="80" t="s">
        <v>250</v>
      </c>
      <c r="K121" s="80" t="s">
        <v>491</v>
      </c>
      <c r="L121" s="84" t="s">
        <v>251</v>
      </c>
      <c r="M121" s="84" t="s">
        <v>252</v>
      </c>
      <c r="N121" s="84" t="s">
        <v>253</v>
      </c>
      <c r="O121" s="85" t="s">
        <v>759</v>
      </c>
      <c r="P121" s="85" t="s">
        <v>760</v>
      </c>
      <c r="Q121" s="49" t="s">
        <v>91</v>
      </c>
      <c r="R121" s="25"/>
      <c r="S121" s="56">
        <v>15</v>
      </c>
      <c r="T121" s="56"/>
      <c r="U121" s="228" t="s">
        <v>761</v>
      </c>
      <c r="V121" s="62"/>
      <c r="W121" s="225" t="s">
        <v>76</v>
      </c>
      <c r="X121" s="78"/>
      <c r="Y121" s="25"/>
      <c r="Z121" s="93" t="s">
        <v>193</v>
      </c>
      <c r="AA121" s="87"/>
      <c r="AC121" s="40"/>
    </row>
    <row r="122" spans="1:29" ht="49.5" hidden="1">
      <c r="A122" s="88">
        <v>112</v>
      </c>
      <c r="B122" s="79" t="s">
        <v>762</v>
      </c>
      <c r="C122" s="148" t="s">
        <v>8</v>
      </c>
      <c r="D122" s="80" t="s">
        <v>83</v>
      </c>
      <c r="E122" s="91" t="s">
        <v>763</v>
      </c>
      <c r="F122" s="80" t="s">
        <v>120</v>
      </c>
      <c r="G122" s="81" t="s">
        <v>488</v>
      </c>
      <c r="H122" s="80" t="s">
        <v>764</v>
      </c>
      <c r="I122" s="83">
        <v>45474</v>
      </c>
      <c r="J122" s="80" t="s">
        <v>170</v>
      </c>
      <c r="K122" s="80" t="s">
        <v>156</v>
      </c>
      <c r="L122" s="84" t="s">
        <v>171</v>
      </c>
      <c r="M122" s="84" t="s">
        <v>71</v>
      </c>
      <c r="N122" s="84" t="s">
        <v>72</v>
      </c>
      <c r="O122" s="85" t="s">
        <v>765</v>
      </c>
      <c r="P122" s="85" t="s">
        <v>766</v>
      </c>
      <c r="Q122" s="49" t="s">
        <v>75</v>
      </c>
      <c r="R122" s="25" t="s">
        <v>75</v>
      </c>
      <c r="S122" s="56">
        <v>22</v>
      </c>
      <c r="T122" s="56">
        <v>78</v>
      </c>
      <c r="U122" s="228" t="s">
        <v>767</v>
      </c>
      <c r="V122" s="49" t="s">
        <v>75</v>
      </c>
      <c r="W122" s="225" t="s">
        <v>305</v>
      </c>
      <c r="X122" s="78" t="s">
        <v>78</v>
      </c>
      <c r="Y122" s="25"/>
      <c r="Z122" s="93" t="s">
        <v>106</v>
      </c>
      <c r="AA122" s="87"/>
      <c r="AC122" s="40"/>
    </row>
    <row r="123" spans="1:29" ht="66" hidden="1">
      <c r="A123" s="88">
        <v>113</v>
      </c>
      <c r="B123" s="79" t="s">
        <v>768</v>
      </c>
      <c r="C123" s="148" t="s">
        <v>8</v>
      </c>
      <c r="D123" s="80" t="s">
        <v>83</v>
      </c>
      <c r="E123" s="91" t="s">
        <v>763</v>
      </c>
      <c r="F123" s="80" t="s">
        <v>120</v>
      </c>
      <c r="G123" s="81" t="s">
        <v>488</v>
      </c>
      <c r="H123" s="80" t="s">
        <v>764</v>
      </c>
      <c r="I123" s="83">
        <v>45474</v>
      </c>
      <c r="J123" s="80" t="s">
        <v>250</v>
      </c>
      <c r="K123" s="80" t="s">
        <v>69</v>
      </c>
      <c r="L123" s="84" t="s">
        <v>251</v>
      </c>
      <c r="M123" s="84" t="s">
        <v>252</v>
      </c>
      <c r="N123" s="84" t="s">
        <v>253</v>
      </c>
      <c r="O123" s="85" t="s">
        <v>769</v>
      </c>
      <c r="P123" s="85" t="s">
        <v>770</v>
      </c>
      <c r="Q123" s="49" t="s">
        <v>91</v>
      </c>
      <c r="R123" s="25"/>
      <c r="S123" s="56">
        <v>10</v>
      </c>
      <c r="T123" s="56"/>
      <c r="U123" s="228" t="s">
        <v>771</v>
      </c>
      <c r="V123" s="62"/>
      <c r="W123" s="225" t="s">
        <v>76</v>
      </c>
      <c r="X123" s="78"/>
      <c r="Y123" s="25"/>
      <c r="Z123" s="93" t="s">
        <v>193</v>
      </c>
      <c r="AA123" s="87"/>
      <c r="AC123" s="40"/>
    </row>
    <row r="124" spans="1:29" ht="49.5" hidden="1">
      <c r="A124" s="88">
        <v>114</v>
      </c>
      <c r="B124" s="79" t="s">
        <v>772</v>
      </c>
      <c r="C124" s="148" t="s">
        <v>8</v>
      </c>
      <c r="D124" s="80" t="s">
        <v>83</v>
      </c>
      <c r="E124" s="91" t="s">
        <v>773</v>
      </c>
      <c r="F124" s="80" t="s">
        <v>65</v>
      </c>
      <c r="G124" s="81" t="s">
        <v>488</v>
      </c>
      <c r="H124" s="80" t="s">
        <v>774</v>
      </c>
      <c r="I124" s="83">
        <v>45474</v>
      </c>
      <c r="J124" s="80" t="s">
        <v>145</v>
      </c>
      <c r="K124" s="80" t="s">
        <v>146</v>
      </c>
      <c r="L124" s="84" t="s">
        <v>147</v>
      </c>
      <c r="M124" s="84" t="s">
        <v>148</v>
      </c>
      <c r="N124" s="84" t="s">
        <v>72</v>
      </c>
      <c r="O124" s="85" t="s">
        <v>775</v>
      </c>
      <c r="P124" s="85" t="s">
        <v>776</v>
      </c>
      <c r="Q124" s="49" t="s">
        <v>75</v>
      </c>
      <c r="R124" s="25" t="s">
        <v>91</v>
      </c>
      <c r="S124" s="56">
        <v>28</v>
      </c>
      <c r="T124" s="76" t="s">
        <v>777</v>
      </c>
      <c r="U124" s="228" t="s">
        <v>778</v>
      </c>
      <c r="V124" s="62"/>
      <c r="W124" s="225" t="s">
        <v>76</v>
      </c>
      <c r="X124" s="78" t="s">
        <v>78</v>
      </c>
      <c r="Y124" s="25"/>
      <c r="Z124" s="93" t="s">
        <v>93</v>
      </c>
      <c r="AA124" s="87"/>
      <c r="AC124" s="40"/>
    </row>
    <row r="125" spans="1:29" ht="33" hidden="1">
      <c r="A125" s="88">
        <v>115</v>
      </c>
      <c r="B125" s="79" t="s">
        <v>779</v>
      </c>
      <c r="C125" s="148" t="s">
        <v>8</v>
      </c>
      <c r="D125" s="80" t="s">
        <v>83</v>
      </c>
      <c r="E125" s="82" t="s">
        <v>780</v>
      </c>
      <c r="F125" s="80" t="s">
        <v>109</v>
      </c>
      <c r="G125" s="81" t="s">
        <v>781</v>
      </c>
      <c r="H125" s="80" t="s">
        <v>782</v>
      </c>
      <c r="I125" s="83">
        <v>45474</v>
      </c>
      <c r="J125" s="80" t="s">
        <v>783</v>
      </c>
      <c r="K125" s="80" t="s">
        <v>188</v>
      </c>
      <c r="L125" s="84" t="s">
        <v>189</v>
      </c>
      <c r="M125" s="84" t="s">
        <v>784</v>
      </c>
      <c r="N125" s="84" t="s">
        <v>72</v>
      </c>
      <c r="O125" s="85" t="s">
        <v>785</v>
      </c>
      <c r="P125" s="89" t="s">
        <v>786</v>
      </c>
      <c r="Q125" s="49" t="s">
        <v>75</v>
      </c>
      <c r="R125" s="25" t="s">
        <v>91</v>
      </c>
      <c r="S125" s="56">
        <v>20</v>
      </c>
      <c r="T125" s="56">
        <v>54</v>
      </c>
      <c r="U125" s="228" t="s">
        <v>76</v>
      </c>
      <c r="V125" s="49"/>
      <c r="W125" s="225" t="s">
        <v>76</v>
      </c>
      <c r="X125" s="78" t="s">
        <v>78</v>
      </c>
      <c r="Y125" s="25"/>
      <c r="Z125" s="93" t="s">
        <v>93</v>
      </c>
      <c r="AA125" s="87"/>
      <c r="AC125" s="40"/>
    </row>
    <row r="126" spans="1:29" ht="82.5" hidden="1">
      <c r="A126" s="88">
        <v>116</v>
      </c>
      <c r="B126" s="79" t="s">
        <v>787</v>
      </c>
      <c r="C126" s="148" t="s">
        <v>8</v>
      </c>
      <c r="D126" s="80" t="s">
        <v>83</v>
      </c>
      <c r="E126" s="91" t="s">
        <v>788</v>
      </c>
      <c r="F126" s="80" t="s">
        <v>65</v>
      </c>
      <c r="G126" s="81" t="s">
        <v>781</v>
      </c>
      <c r="H126" s="80" t="s">
        <v>789</v>
      </c>
      <c r="I126" s="83">
        <v>45474</v>
      </c>
      <c r="J126" s="80" t="s">
        <v>745</v>
      </c>
      <c r="K126" s="80" t="s">
        <v>99</v>
      </c>
      <c r="L126" s="84" t="s">
        <v>100</v>
      </c>
      <c r="M126" s="84" t="s">
        <v>601</v>
      </c>
      <c r="N126" s="84" t="s">
        <v>72</v>
      </c>
      <c r="O126" s="85" t="s">
        <v>790</v>
      </c>
      <c r="P126" s="85" t="s">
        <v>791</v>
      </c>
      <c r="Q126" s="49" t="s">
        <v>75</v>
      </c>
      <c r="R126" s="25" t="s">
        <v>75</v>
      </c>
      <c r="S126" s="56">
        <v>21</v>
      </c>
      <c r="T126" s="56">
        <v>70</v>
      </c>
      <c r="U126" s="228"/>
      <c r="V126" s="49" t="s">
        <v>75</v>
      </c>
      <c r="W126" s="225" t="s">
        <v>792</v>
      </c>
      <c r="X126" s="78" t="s">
        <v>78</v>
      </c>
      <c r="Y126" s="25" t="s">
        <v>369</v>
      </c>
      <c r="Z126" s="93" t="s">
        <v>106</v>
      </c>
      <c r="AA126" s="87"/>
      <c r="AC126" s="40"/>
    </row>
    <row r="127" spans="1:29" ht="82.5" hidden="1">
      <c r="A127" s="88">
        <v>117</v>
      </c>
      <c r="B127" s="79" t="s">
        <v>793</v>
      </c>
      <c r="C127" s="148" t="s">
        <v>794</v>
      </c>
      <c r="D127" s="80" t="s">
        <v>83</v>
      </c>
      <c r="E127" s="91" t="s">
        <v>795</v>
      </c>
      <c r="F127" s="80" t="s">
        <v>109</v>
      </c>
      <c r="G127" s="81" t="s">
        <v>796</v>
      </c>
      <c r="H127" s="80" t="s">
        <v>797</v>
      </c>
      <c r="I127" s="83">
        <v>45474</v>
      </c>
      <c r="J127" s="80" t="s">
        <v>98</v>
      </c>
      <c r="K127" s="80" t="s">
        <v>99</v>
      </c>
      <c r="L127" s="84" t="s">
        <v>100</v>
      </c>
      <c r="M127" s="84" t="s">
        <v>101</v>
      </c>
      <c r="N127" s="84" t="s">
        <v>72</v>
      </c>
      <c r="O127" s="85" t="s">
        <v>798</v>
      </c>
      <c r="P127" s="85" t="s">
        <v>799</v>
      </c>
      <c r="Q127" s="49" t="s">
        <v>75</v>
      </c>
      <c r="R127" s="25" t="s">
        <v>91</v>
      </c>
      <c r="S127" s="56">
        <v>17</v>
      </c>
      <c r="T127" s="56">
        <v>45</v>
      </c>
      <c r="U127" s="228" t="s">
        <v>800</v>
      </c>
      <c r="V127" s="62"/>
      <c r="W127" s="225" t="s">
        <v>76</v>
      </c>
      <c r="X127" s="78" t="s">
        <v>78</v>
      </c>
      <c r="Y127" s="25"/>
      <c r="Z127" s="93" t="s">
        <v>93</v>
      </c>
      <c r="AA127" s="87"/>
      <c r="AC127" s="40"/>
    </row>
    <row r="128" spans="1:29" ht="82.5" hidden="1">
      <c r="A128" s="88">
        <v>118</v>
      </c>
      <c r="B128" s="79" t="s">
        <v>801</v>
      </c>
      <c r="C128" s="148" t="s">
        <v>8</v>
      </c>
      <c r="D128" s="80" t="s">
        <v>83</v>
      </c>
      <c r="E128" s="91" t="s">
        <v>802</v>
      </c>
      <c r="F128" s="80" t="s">
        <v>109</v>
      </c>
      <c r="G128" s="81" t="s">
        <v>781</v>
      </c>
      <c r="H128" s="80" t="s">
        <v>803</v>
      </c>
      <c r="I128" s="83">
        <v>45474</v>
      </c>
      <c r="J128" s="80" t="s">
        <v>745</v>
      </c>
      <c r="K128" s="80" t="s">
        <v>99</v>
      </c>
      <c r="L128" s="84" t="s">
        <v>100</v>
      </c>
      <c r="M128" s="84" t="s">
        <v>601</v>
      </c>
      <c r="N128" s="84" t="s">
        <v>72</v>
      </c>
      <c r="O128" s="85" t="s">
        <v>804</v>
      </c>
      <c r="P128" s="85" t="s">
        <v>805</v>
      </c>
      <c r="Q128" s="49" t="s">
        <v>75</v>
      </c>
      <c r="R128" s="25" t="s">
        <v>91</v>
      </c>
      <c r="S128" s="56">
        <v>22</v>
      </c>
      <c r="T128" s="56">
        <v>44</v>
      </c>
      <c r="U128" s="228" t="s">
        <v>806</v>
      </c>
      <c r="V128" s="62"/>
      <c r="W128" s="225" t="s">
        <v>76</v>
      </c>
      <c r="X128" s="78" t="s">
        <v>78</v>
      </c>
      <c r="Y128" s="25"/>
      <c r="Z128" s="93" t="s">
        <v>93</v>
      </c>
      <c r="AA128" s="87"/>
      <c r="AC128" s="40"/>
    </row>
    <row r="129" spans="1:29" ht="99" hidden="1">
      <c r="A129" s="88">
        <v>119</v>
      </c>
      <c r="B129" s="79" t="s">
        <v>807</v>
      </c>
      <c r="C129" s="148" t="s">
        <v>8</v>
      </c>
      <c r="D129" s="80" t="s">
        <v>63</v>
      </c>
      <c r="E129" s="91" t="s">
        <v>808</v>
      </c>
      <c r="F129" s="80" t="s">
        <v>338</v>
      </c>
      <c r="G129" s="81" t="s">
        <v>809</v>
      </c>
      <c r="H129" s="80" t="s">
        <v>810</v>
      </c>
      <c r="I129" s="83">
        <v>45474</v>
      </c>
      <c r="J129" s="80" t="s">
        <v>811</v>
      </c>
      <c r="K129" s="80" t="s">
        <v>299</v>
      </c>
      <c r="L129" s="84" t="s">
        <v>300</v>
      </c>
      <c r="M129" s="84" t="s">
        <v>114</v>
      </c>
      <c r="N129" s="84" t="s">
        <v>72</v>
      </c>
      <c r="O129" s="85" t="s">
        <v>812</v>
      </c>
      <c r="P129" s="85" t="s">
        <v>813</v>
      </c>
      <c r="Q129" s="49" t="s">
        <v>75</v>
      </c>
      <c r="R129" s="25" t="s">
        <v>91</v>
      </c>
      <c r="S129" s="56">
        <v>23</v>
      </c>
      <c r="T129" s="76" t="s">
        <v>814</v>
      </c>
      <c r="U129" s="228" t="s">
        <v>815</v>
      </c>
      <c r="V129" s="62"/>
      <c r="W129" s="225" t="s">
        <v>76</v>
      </c>
      <c r="X129" s="78" t="s">
        <v>78</v>
      </c>
      <c r="Y129" s="25"/>
      <c r="Z129" s="93" t="s">
        <v>106</v>
      </c>
      <c r="AA129" s="87"/>
      <c r="AC129" s="40"/>
    </row>
    <row r="130" spans="1:29" ht="82.5" hidden="1">
      <c r="A130" s="88">
        <v>120</v>
      </c>
      <c r="B130" s="79" t="s">
        <v>816</v>
      </c>
      <c r="C130" s="148" t="s">
        <v>8</v>
      </c>
      <c r="D130" s="80" t="s">
        <v>63</v>
      </c>
      <c r="E130" s="91" t="s">
        <v>817</v>
      </c>
      <c r="F130" s="80" t="s">
        <v>109</v>
      </c>
      <c r="G130" s="81" t="s">
        <v>818</v>
      </c>
      <c r="H130" s="80" t="s">
        <v>819</v>
      </c>
      <c r="I130" s="83">
        <v>45474</v>
      </c>
      <c r="J130" s="80" t="s">
        <v>657</v>
      </c>
      <c r="K130" s="80" t="s">
        <v>188</v>
      </c>
      <c r="L130" s="84" t="s">
        <v>189</v>
      </c>
      <c r="M130" s="84" t="s">
        <v>221</v>
      </c>
      <c r="N130" s="84" t="s">
        <v>72</v>
      </c>
      <c r="O130" s="85" t="s">
        <v>820</v>
      </c>
      <c r="P130" s="85" t="s">
        <v>821</v>
      </c>
      <c r="Q130" s="49" t="s">
        <v>75</v>
      </c>
      <c r="R130" s="25" t="s">
        <v>91</v>
      </c>
      <c r="S130" s="56">
        <v>22</v>
      </c>
      <c r="T130" s="76" t="s">
        <v>822</v>
      </c>
      <c r="U130" s="228" t="s">
        <v>76</v>
      </c>
      <c r="V130" s="49"/>
      <c r="W130" s="225"/>
      <c r="X130" s="78" t="s">
        <v>78</v>
      </c>
      <c r="Y130" s="25"/>
      <c r="Z130" s="93" t="s">
        <v>93</v>
      </c>
      <c r="AA130" s="87"/>
      <c r="AC130" s="40"/>
    </row>
    <row r="131" spans="1:29" ht="82.5" hidden="1">
      <c r="A131" s="88">
        <v>121</v>
      </c>
      <c r="B131" s="79" t="s">
        <v>823</v>
      </c>
      <c r="C131" s="148" t="s">
        <v>8</v>
      </c>
      <c r="D131" s="80" t="s">
        <v>83</v>
      </c>
      <c r="E131" s="91" t="s">
        <v>824</v>
      </c>
      <c r="F131" s="80" t="s">
        <v>109</v>
      </c>
      <c r="G131" s="81" t="s">
        <v>781</v>
      </c>
      <c r="H131" s="80" t="s">
        <v>825</v>
      </c>
      <c r="I131" s="83">
        <v>45474</v>
      </c>
      <c r="J131" s="80" t="s">
        <v>250</v>
      </c>
      <c r="K131" s="80" t="s">
        <v>69</v>
      </c>
      <c r="L131" s="84" t="s">
        <v>251</v>
      </c>
      <c r="M131" s="84" t="s">
        <v>252</v>
      </c>
      <c r="N131" s="84" t="s">
        <v>72</v>
      </c>
      <c r="O131" s="85" t="s">
        <v>826</v>
      </c>
      <c r="P131" s="85" t="s">
        <v>827</v>
      </c>
      <c r="Q131" s="49" t="s">
        <v>91</v>
      </c>
      <c r="R131" s="25"/>
      <c r="S131" s="56">
        <v>8</v>
      </c>
      <c r="T131" s="56"/>
      <c r="U131" s="228" t="s">
        <v>828</v>
      </c>
      <c r="V131" s="62"/>
      <c r="W131" s="225" t="s">
        <v>76</v>
      </c>
      <c r="X131" s="78"/>
      <c r="Y131" s="25"/>
      <c r="Z131" s="93" t="s">
        <v>193</v>
      </c>
      <c r="AA131" s="87"/>
      <c r="AC131" s="40"/>
    </row>
    <row r="132" spans="1:29" ht="33" hidden="1">
      <c r="A132" s="88">
        <v>122</v>
      </c>
      <c r="B132" s="79" t="s">
        <v>829</v>
      </c>
      <c r="C132" s="148" t="s">
        <v>8</v>
      </c>
      <c r="D132" s="80" t="s">
        <v>83</v>
      </c>
      <c r="E132" s="91" t="s">
        <v>830</v>
      </c>
      <c r="F132" s="80" t="s">
        <v>831</v>
      </c>
      <c r="G132" s="81" t="s">
        <v>781</v>
      </c>
      <c r="H132" s="80" t="s">
        <v>832</v>
      </c>
      <c r="I132" s="83">
        <v>45474</v>
      </c>
      <c r="J132" s="80" t="s">
        <v>833</v>
      </c>
      <c r="K132" s="80" t="s">
        <v>834</v>
      </c>
      <c r="L132" s="84" t="s">
        <v>189</v>
      </c>
      <c r="M132" s="84" t="s">
        <v>252</v>
      </c>
      <c r="N132" s="84" t="s">
        <v>72</v>
      </c>
      <c r="O132" s="85" t="s">
        <v>835</v>
      </c>
      <c r="P132" s="85" t="s">
        <v>836</v>
      </c>
      <c r="Q132" s="49" t="s">
        <v>91</v>
      </c>
      <c r="R132" s="25"/>
      <c r="S132" s="56"/>
      <c r="T132" s="56"/>
      <c r="U132" s="228" t="s">
        <v>76</v>
      </c>
      <c r="V132" s="49"/>
      <c r="W132" s="225" t="s">
        <v>76</v>
      </c>
      <c r="X132" s="78"/>
      <c r="Y132" s="25"/>
      <c r="Z132" s="111" t="s">
        <v>193</v>
      </c>
      <c r="AA132" s="87"/>
      <c r="AC132" s="40"/>
    </row>
    <row r="133" spans="1:29" ht="66" hidden="1">
      <c r="A133" s="88">
        <v>123</v>
      </c>
      <c r="B133" s="79" t="s">
        <v>837</v>
      </c>
      <c r="C133" s="148" t="s">
        <v>237</v>
      </c>
      <c r="D133" s="80" t="s">
        <v>83</v>
      </c>
      <c r="E133" s="91" t="s">
        <v>838</v>
      </c>
      <c r="F133" s="80" t="s">
        <v>284</v>
      </c>
      <c r="G133" s="81" t="s">
        <v>290</v>
      </c>
      <c r="H133" s="80" t="s">
        <v>839</v>
      </c>
      <c r="I133" s="83">
        <v>45474</v>
      </c>
      <c r="J133" s="80" t="s">
        <v>298</v>
      </c>
      <c r="K133" s="80" t="s">
        <v>299</v>
      </c>
      <c r="L133" s="84" t="s">
        <v>300</v>
      </c>
      <c r="M133" s="84" t="s">
        <v>252</v>
      </c>
      <c r="N133" s="84" t="s">
        <v>72</v>
      </c>
      <c r="O133" s="85" t="s">
        <v>840</v>
      </c>
      <c r="P133" s="85" t="s">
        <v>841</v>
      </c>
      <c r="Q133" s="49" t="s">
        <v>75</v>
      </c>
      <c r="R133" s="25" t="s">
        <v>75</v>
      </c>
      <c r="S133" s="56">
        <v>24</v>
      </c>
      <c r="T133" s="56">
        <v>75</v>
      </c>
      <c r="U133" s="228" t="s">
        <v>842</v>
      </c>
      <c r="V133" s="49" t="s">
        <v>75</v>
      </c>
      <c r="W133" s="225" t="s">
        <v>418</v>
      </c>
      <c r="X133" s="78" t="s">
        <v>78</v>
      </c>
      <c r="Y133" s="78" t="s">
        <v>369</v>
      </c>
      <c r="Z133" s="93" t="s">
        <v>106</v>
      </c>
      <c r="AA133" s="87"/>
      <c r="AC133" s="40"/>
    </row>
    <row r="134" spans="1:29" ht="49.5" hidden="1">
      <c r="A134" s="88">
        <v>124</v>
      </c>
      <c r="B134" s="79" t="s">
        <v>843</v>
      </c>
      <c r="C134" s="148" t="s">
        <v>237</v>
      </c>
      <c r="D134" s="80" t="s">
        <v>83</v>
      </c>
      <c r="E134" s="91" t="s">
        <v>844</v>
      </c>
      <c r="F134" s="80" t="s">
        <v>109</v>
      </c>
      <c r="G134" s="81" t="s">
        <v>290</v>
      </c>
      <c r="H134" s="80" t="s">
        <v>845</v>
      </c>
      <c r="I134" s="83">
        <v>45474</v>
      </c>
      <c r="J134" s="80" t="s">
        <v>145</v>
      </c>
      <c r="K134" s="80" t="s">
        <v>146</v>
      </c>
      <c r="L134" s="84" t="s">
        <v>147</v>
      </c>
      <c r="M134" s="84" t="s">
        <v>148</v>
      </c>
      <c r="N134" s="84" t="s">
        <v>72</v>
      </c>
      <c r="O134" s="85" t="s">
        <v>846</v>
      </c>
      <c r="P134" s="85" t="s">
        <v>847</v>
      </c>
      <c r="Q134" s="49" t="s">
        <v>75</v>
      </c>
      <c r="R134" s="25" t="s">
        <v>91</v>
      </c>
      <c r="S134" s="56">
        <v>18</v>
      </c>
      <c r="T134" s="56">
        <v>60</v>
      </c>
      <c r="U134" s="228" t="s">
        <v>848</v>
      </c>
      <c r="V134" s="49"/>
      <c r="W134" s="225" t="s">
        <v>76</v>
      </c>
      <c r="X134" s="78" t="s">
        <v>78</v>
      </c>
      <c r="Y134" s="25"/>
      <c r="Z134" s="93" t="s">
        <v>93</v>
      </c>
      <c r="AA134" s="87"/>
      <c r="AC134" s="40"/>
    </row>
    <row r="135" spans="1:29" ht="148.5" hidden="1">
      <c r="A135" s="88">
        <v>125</v>
      </c>
      <c r="B135" s="79" t="s">
        <v>849</v>
      </c>
      <c r="C135" s="148" t="s">
        <v>237</v>
      </c>
      <c r="D135" s="80" t="s">
        <v>83</v>
      </c>
      <c r="E135" s="91" t="s">
        <v>850</v>
      </c>
      <c r="F135" s="80" t="s">
        <v>120</v>
      </c>
      <c r="G135" s="81" t="s">
        <v>401</v>
      </c>
      <c r="H135" s="80" t="s">
        <v>851</v>
      </c>
      <c r="I135" s="83">
        <v>45474</v>
      </c>
      <c r="J135" s="80" t="s">
        <v>852</v>
      </c>
      <c r="K135" s="80" t="s">
        <v>69</v>
      </c>
      <c r="L135" s="84" t="s">
        <v>70</v>
      </c>
      <c r="M135" s="84" t="s">
        <v>853</v>
      </c>
      <c r="N135" s="84" t="s">
        <v>72</v>
      </c>
      <c r="O135" s="85" t="s">
        <v>854</v>
      </c>
      <c r="P135" s="85" t="s">
        <v>855</v>
      </c>
      <c r="Q135" s="49" t="s">
        <v>75</v>
      </c>
      <c r="R135" s="25" t="s">
        <v>75</v>
      </c>
      <c r="S135" s="56">
        <v>22</v>
      </c>
      <c r="T135" s="56">
        <v>76</v>
      </c>
      <c r="U135" s="228"/>
      <c r="V135" s="221" t="s">
        <v>75</v>
      </c>
      <c r="W135" s="225" t="s">
        <v>376</v>
      </c>
      <c r="X135" s="78" t="s">
        <v>78</v>
      </c>
      <c r="Y135" s="78" t="s">
        <v>78</v>
      </c>
      <c r="Z135" s="93" t="s">
        <v>79</v>
      </c>
      <c r="AA135" s="87"/>
      <c r="AC135" s="40"/>
    </row>
    <row r="136" spans="1:29" ht="197.25" hidden="1">
      <c r="A136" s="88">
        <v>126</v>
      </c>
      <c r="B136" s="79" t="s">
        <v>856</v>
      </c>
      <c r="C136" s="148" t="s">
        <v>237</v>
      </c>
      <c r="D136" s="80" t="s">
        <v>83</v>
      </c>
      <c r="E136" s="91" t="s">
        <v>857</v>
      </c>
      <c r="F136" s="80" t="s">
        <v>109</v>
      </c>
      <c r="G136" s="81" t="s">
        <v>290</v>
      </c>
      <c r="H136" s="80" t="s">
        <v>858</v>
      </c>
      <c r="I136" s="83">
        <v>45474</v>
      </c>
      <c r="J136" s="80" t="s">
        <v>859</v>
      </c>
      <c r="K136" s="80" t="s">
        <v>299</v>
      </c>
      <c r="L136" s="84" t="s">
        <v>300</v>
      </c>
      <c r="M136" s="84" t="s">
        <v>221</v>
      </c>
      <c r="N136" s="84" t="s">
        <v>72</v>
      </c>
      <c r="O136" s="85" t="s">
        <v>860</v>
      </c>
      <c r="P136" s="85" t="s">
        <v>861</v>
      </c>
      <c r="Q136" s="49" t="s">
        <v>75</v>
      </c>
      <c r="R136" s="180" t="s">
        <v>504</v>
      </c>
      <c r="S136" s="56">
        <v>25</v>
      </c>
      <c r="T136" s="56" t="s">
        <v>738</v>
      </c>
      <c r="U136" s="228" t="s">
        <v>862</v>
      </c>
      <c r="V136" s="62"/>
      <c r="W136" s="225"/>
      <c r="X136" s="78" t="s">
        <v>78</v>
      </c>
      <c r="Y136" s="25"/>
      <c r="Z136" s="93" t="s">
        <v>106</v>
      </c>
      <c r="AA136" s="87"/>
      <c r="AC136" s="40"/>
    </row>
    <row r="137" spans="1:29" ht="66" hidden="1">
      <c r="A137" s="88">
        <v>127</v>
      </c>
      <c r="B137" s="79" t="s">
        <v>863</v>
      </c>
      <c r="C137" s="148" t="s">
        <v>237</v>
      </c>
      <c r="D137" s="80" t="s">
        <v>83</v>
      </c>
      <c r="E137" s="91" t="s">
        <v>864</v>
      </c>
      <c r="F137" s="80" t="s">
        <v>109</v>
      </c>
      <c r="G137" s="81" t="s">
        <v>290</v>
      </c>
      <c r="H137" s="80" t="s">
        <v>865</v>
      </c>
      <c r="I137" s="83">
        <v>45474</v>
      </c>
      <c r="J137" s="80" t="s">
        <v>341</v>
      </c>
      <c r="K137" s="80" t="s">
        <v>69</v>
      </c>
      <c r="L137" s="84" t="s">
        <v>70</v>
      </c>
      <c r="M137" s="84" t="s">
        <v>252</v>
      </c>
      <c r="N137" s="84" t="s">
        <v>72</v>
      </c>
      <c r="O137" s="85" t="s">
        <v>866</v>
      </c>
      <c r="P137" s="85" t="s">
        <v>867</v>
      </c>
      <c r="Q137" s="49" t="s">
        <v>91</v>
      </c>
      <c r="R137" s="25"/>
      <c r="S137" s="56">
        <v>0</v>
      </c>
      <c r="T137" s="56"/>
      <c r="U137" s="228" t="s">
        <v>868</v>
      </c>
      <c r="V137" s="62"/>
      <c r="W137" s="225" t="s">
        <v>76</v>
      </c>
      <c r="X137" s="78"/>
      <c r="Y137" s="25"/>
      <c r="Z137" s="93" t="s">
        <v>193</v>
      </c>
      <c r="AA137" s="87"/>
      <c r="AC137" s="40"/>
    </row>
    <row r="138" spans="1:29" ht="132" hidden="1">
      <c r="A138" s="88">
        <v>128</v>
      </c>
      <c r="B138" s="79" t="s">
        <v>869</v>
      </c>
      <c r="C138" s="148" t="s">
        <v>237</v>
      </c>
      <c r="D138" s="80" t="s">
        <v>83</v>
      </c>
      <c r="E138" s="91" t="s">
        <v>870</v>
      </c>
      <c r="F138" s="80" t="s">
        <v>109</v>
      </c>
      <c r="G138" s="81" t="s">
        <v>871</v>
      </c>
      <c r="H138" s="80" t="s">
        <v>872</v>
      </c>
      <c r="I138" s="83">
        <v>45474</v>
      </c>
      <c r="J138" s="80" t="s">
        <v>170</v>
      </c>
      <c r="K138" s="80" t="s">
        <v>156</v>
      </c>
      <c r="L138" s="84" t="s">
        <v>171</v>
      </c>
      <c r="M138" s="84" t="s">
        <v>71</v>
      </c>
      <c r="N138" s="84" t="s">
        <v>72</v>
      </c>
      <c r="O138" s="85" t="s">
        <v>873</v>
      </c>
      <c r="P138" s="85" t="s">
        <v>874</v>
      </c>
      <c r="Q138" s="49" t="s">
        <v>75</v>
      </c>
      <c r="R138" s="25" t="s">
        <v>91</v>
      </c>
      <c r="S138" s="56">
        <v>24</v>
      </c>
      <c r="T138" s="56"/>
      <c r="U138" s="228" t="s">
        <v>875</v>
      </c>
      <c r="V138" s="49"/>
      <c r="W138" s="225" t="s">
        <v>76</v>
      </c>
      <c r="X138" s="78" t="s">
        <v>78</v>
      </c>
      <c r="Y138" s="25"/>
      <c r="Z138" s="93" t="s">
        <v>93</v>
      </c>
      <c r="AA138" s="87"/>
      <c r="AC138" s="40"/>
    </row>
    <row r="139" spans="1:29" ht="82.5" hidden="1">
      <c r="A139" s="88">
        <v>129</v>
      </c>
      <c r="B139" s="79" t="s">
        <v>876</v>
      </c>
      <c r="C139" s="148" t="s">
        <v>237</v>
      </c>
      <c r="D139" s="80" t="s">
        <v>83</v>
      </c>
      <c r="E139" s="91" t="s">
        <v>877</v>
      </c>
      <c r="F139" s="80" t="s">
        <v>65</v>
      </c>
      <c r="G139" s="81" t="s">
        <v>290</v>
      </c>
      <c r="H139" s="80" t="s">
        <v>878</v>
      </c>
      <c r="I139" s="83">
        <v>45474</v>
      </c>
      <c r="J139" s="80" t="s">
        <v>811</v>
      </c>
      <c r="K139" s="80" t="s">
        <v>299</v>
      </c>
      <c r="L139" s="84" t="s">
        <v>300</v>
      </c>
      <c r="M139" s="84" t="s">
        <v>114</v>
      </c>
      <c r="N139" s="84" t="s">
        <v>72</v>
      </c>
      <c r="O139" s="165" t="s">
        <v>879</v>
      </c>
      <c r="P139" s="85" t="s">
        <v>880</v>
      </c>
      <c r="Q139" s="49" t="s">
        <v>75</v>
      </c>
      <c r="R139" s="25" t="s">
        <v>75</v>
      </c>
      <c r="S139" s="56">
        <v>19</v>
      </c>
      <c r="T139" s="56">
        <v>76</v>
      </c>
      <c r="U139" s="228"/>
      <c r="V139" s="221" t="s">
        <v>75</v>
      </c>
      <c r="W139" s="225" t="s">
        <v>77</v>
      </c>
      <c r="X139" s="78" t="s">
        <v>78</v>
      </c>
      <c r="Y139" s="78" t="s">
        <v>78</v>
      </c>
      <c r="Z139" s="93" t="s">
        <v>79</v>
      </c>
      <c r="AA139" s="87"/>
      <c r="AC139" s="40"/>
    </row>
    <row r="140" spans="1:29" ht="132" hidden="1">
      <c r="A140" s="88">
        <v>130</v>
      </c>
      <c r="B140" s="79" t="s">
        <v>881</v>
      </c>
      <c r="C140" s="148" t="s">
        <v>237</v>
      </c>
      <c r="D140" s="80" t="s">
        <v>83</v>
      </c>
      <c r="E140" s="91" t="s">
        <v>882</v>
      </c>
      <c r="F140" s="80" t="s">
        <v>120</v>
      </c>
      <c r="G140" s="81" t="s">
        <v>290</v>
      </c>
      <c r="H140" s="80" t="s">
        <v>883</v>
      </c>
      <c r="I140" s="83">
        <v>45474</v>
      </c>
      <c r="J140" s="80" t="s">
        <v>111</v>
      </c>
      <c r="K140" s="80" t="s">
        <v>112</v>
      </c>
      <c r="L140" s="84" t="s">
        <v>113</v>
      </c>
      <c r="M140" s="84" t="s">
        <v>114</v>
      </c>
      <c r="N140" s="84" t="s">
        <v>72</v>
      </c>
      <c r="O140" s="85" t="s">
        <v>884</v>
      </c>
      <c r="P140" s="85" t="s">
        <v>885</v>
      </c>
      <c r="Q140" s="49" t="s">
        <v>75</v>
      </c>
      <c r="R140" s="25" t="s">
        <v>91</v>
      </c>
      <c r="S140" s="56">
        <v>20</v>
      </c>
      <c r="T140" s="56">
        <v>56</v>
      </c>
      <c r="U140" s="228" t="s">
        <v>886</v>
      </c>
      <c r="V140" s="63"/>
      <c r="W140" s="225" t="s">
        <v>76</v>
      </c>
      <c r="X140" s="78" t="s">
        <v>78</v>
      </c>
      <c r="Y140" s="25"/>
      <c r="Z140" s="93" t="s">
        <v>93</v>
      </c>
      <c r="AA140" s="87"/>
      <c r="AC140" s="40"/>
    </row>
    <row r="141" spans="1:29" ht="49.5" hidden="1">
      <c r="A141" s="88">
        <v>131</v>
      </c>
      <c r="B141" s="79" t="s">
        <v>887</v>
      </c>
      <c r="C141" s="148" t="s">
        <v>237</v>
      </c>
      <c r="D141" s="80" t="s">
        <v>83</v>
      </c>
      <c r="E141" s="91" t="s">
        <v>888</v>
      </c>
      <c r="F141" s="80" t="s">
        <v>284</v>
      </c>
      <c r="G141" s="81" t="s">
        <v>290</v>
      </c>
      <c r="H141" s="80" t="s">
        <v>889</v>
      </c>
      <c r="I141" s="83">
        <v>45474</v>
      </c>
      <c r="J141" s="80" t="s">
        <v>250</v>
      </c>
      <c r="K141" s="80" t="s">
        <v>299</v>
      </c>
      <c r="L141" s="84" t="s">
        <v>251</v>
      </c>
      <c r="M141" s="84" t="s">
        <v>252</v>
      </c>
      <c r="N141" s="84" t="s">
        <v>253</v>
      </c>
      <c r="O141" s="85" t="s">
        <v>890</v>
      </c>
      <c r="P141" s="89" t="s">
        <v>891</v>
      </c>
      <c r="Q141" s="49" t="s">
        <v>75</v>
      </c>
      <c r="R141" s="25" t="s">
        <v>91</v>
      </c>
      <c r="S141" s="56">
        <v>20</v>
      </c>
      <c r="T141" s="56">
        <v>50</v>
      </c>
      <c r="U141" s="228" t="s">
        <v>892</v>
      </c>
      <c r="V141" s="62"/>
      <c r="W141" s="225" t="s">
        <v>76</v>
      </c>
      <c r="X141" s="78" t="s">
        <v>78</v>
      </c>
      <c r="Y141" s="25"/>
      <c r="Z141" s="93" t="s">
        <v>93</v>
      </c>
      <c r="AA141" s="87"/>
      <c r="AC141" s="40"/>
    </row>
    <row r="142" spans="1:29" ht="66" hidden="1">
      <c r="A142" s="88">
        <v>132</v>
      </c>
      <c r="B142" s="79" t="s">
        <v>893</v>
      </c>
      <c r="C142" s="148" t="s">
        <v>8</v>
      </c>
      <c r="D142" s="80" t="s">
        <v>63</v>
      </c>
      <c r="E142" s="82" t="s">
        <v>894</v>
      </c>
      <c r="F142" s="80" t="s">
        <v>120</v>
      </c>
      <c r="G142" s="81" t="s">
        <v>895</v>
      </c>
      <c r="H142" s="80" t="s">
        <v>896</v>
      </c>
      <c r="I142" s="83">
        <v>45474</v>
      </c>
      <c r="J142" s="80" t="s">
        <v>111</v>
      </c>
      <c r="K142" s="80" t="s">
        <v>112</v>
      </c>
      <c r="L142" s="84" t="s">
        <v>122</v>
      </c>
      <c r="M142" s="84" t="s">
        <v>114</v>
      </c>
      <c r="N142" s="84" t="s">
        <v>72</v>
      </c>
      <c r="O142" s="85" t="s">
        <v>897</v>
      </c>
      <c r="P142" s="85" t="s">
        <v>898</v>
      </c>
      <c r="Q142" s="49" t="s">
        <v>75</v>
      </c>
      <c r="R142" s="25" t="s">
        <v>91</v>
      </c>
      <c r="S142" s="56">
        <v>18</v>
      </c>
      <c r="T142" s="76" t="s">
        <v>228</v>
      </c>
      <c r="U142" s="228" t="s">
        <v>899</v>
      </c>
      <c r="V142" s="73"/>
      <c r="W142" s="225" t="s">
        <v>76</v>
      </c>
      <c r="X142" s="78" t="s">
        <v>78</v>
      </c>
      <c r="Y142" s="25"/>
      <c r="Z142" s="93" t="s">
        <v>93</v>
      </c>
      <c r="AA142" s="87"/>
      <c r="AC142" s="40"/>
    </row>
    <row r="143" spans="1:29" ht="33" hidden="1">
      <c r="A143" s="88">
        <v>133</v>
      </c>
      <c r="B143" s="79" t="s">
        <v>900</v>
      </c>
      <c r="C143" s="148" t="s">
        <v>8</v>
      </c>
      <c r="D143" s="80" t="s">
        <v>83</v>
      </c>
      <c r="E143" s="82" t="s">
        <v>901</v>
      </c>
      <c r="F143" s="80" t="s">
        <v>109</v>
      </c>
      <c r="G143" s="81" t="s">
        <v>589</v>
      </c>
      <c r="H143" s="80" t="s">
        <v>902</v>
      </c>
      <c r="I143" s="83">
        <v>45474</v>
      </c>
      <c r="J143" s="80" t="s">
        <v>903</v>
      </c>
      <c r="K143" s="80" t="s">
        <v>112</v>
      </c>
      <c r="L143" s="84" t="s">
        <v>251</v>
      </c>
      <c r="M143" s="84" t="s">
        <v>904</v>
      </c>
      <c r="N143" s="84" t="s">
        <v>253</v>
      </c>
      <c r="O143" s="85" t="s">
        <v>905</v>
      </c>
      <c r="P143" s="85" t="s">
        <v>906</v>
      </c>
      <c r="Q143" s="49" t="s">
        <v>75</v>
      </c>
      <c r="R143" s="25" t="s">
        <v>75</v>
      </c>
      <c r="S143" s="56">
        <v>24</v>
      </c>
      <c r="T143" s="56">
        <v>72</v>
      </c>
      <c r="U143" s="228" t="s">
        <v>907</v>
      </c>
      <c r="V143" s="63" t="s">
        <v>75</v>
      </c>
      <c r="W143" s="225" t="s">
        <v>376</v>
      </c>
      <c r="X143" s="78" t="s">
        <v>78</v>
      </c>
      <c r="Y143" s="78" t="s">
        <v>78</v>
      </c>
      <c r="Z143" s="93" t="s">
        <v>79</v>
      </c>
      <c r="AA143" s="87"/>
      <c r="AC143" s="40"/>
    </row>
    <row r="144" spans="1:29" ht="49.5" hidden="1">
      <c r="A144" s="88">
        <v>134</v>
      </c>
      <c r="B144" s="79" t="s">
        <v>908</v>
      </c>
      <c r="C144" s="148" t="s">
        <v>8</v>
      </c>
      <c r="D144" s="80" t="s">
        <v>83</v>
      </c>
      <c r="E144" s="82" t="s">
        <v>909</v>
      </c>
      <c r="F144" s="80" t="s">
        <v>109</v>
      </c>
      <c r="G144" s="81" t="s">
        <v>910</v>
      </c>
      <c r="H144" s="80" t="s">
        <v>911</v>
      </c>
      <c r="I144" s="83">
        <v>45474</v>
      </c>
      <c r="J144" s="80" t="s">
        <v>912</v>
      </c>
      <c r="K144" s="80" t="s">
        <v>112</v>
      </c>
      <c r="L144" s="84" t="s">
        <v>113</v>
      </c>
      <c r="M144" s="84" t="s">
        <v>853</v>
      </c>
      <c r="N144" s="84" t="s">
        <v>72</v>
      </c>
      <c r="O144" s="85" t="s">
        <v>913</v>
      </c>
      <c r="P144" s="85" t="s">
        <v>914</v>
      </c>
      <c r="Q144" s="49" t="s">
        <v>75</v>
      </c>
      <c r="R144" s="25" t="s">
        <v>91</v>
      </c>
      <c r="S144" s="56">
        <v>23</v>
      </c>
      <c r="T144" s="56">
        <v>62</v>
      </c>
      <c r="U144" s="228" t="s">
        <v>915</v>
      </c>
      <c r="V144" s="63"/>
      <c r="W144" s="225" t="s">
        <v>76</v>
      </c>
      <c r="X144" s="78" t="s">
        <v>78</v>
      </c>
      <c r="Y144" s="25"/>
      <c r="Z144" s="93" t="s">
        <v>93</v>
      </c>
      <c r="AA144" s="87"/>
      <c r="AC144" s="40"/>
    </row>
    <row r="145" spans="1:29" ht="33" hidden="1">
      <c r="A145" s="88">
        <v>135</v>
      </c>
      <c r="B145" s="79" t="s">
        <v>916</v>
      </c>
      <c r="C145" s="148" t="s">
        <v>8</v>
      </c>
      <c r="D145" s="80" t="s">
        <v>83</v>
      </c>
      <c r="E145" s="82" t="s">
        <v>917</v>
      </c>
      <c r="F145" s="80" t="s">
        <v>284</v>
      </c>
      <c r="G145" s="81" t="s">
        <v>918</v>
      </c>
      <c r="H145" s="80" t="s">
        <v>919</v>
      </c>
      <c r="I145" s="83">
        <v>45474</v>
      </c>
      <c r="J145" s="80" t="s">
        <v>250</v>
      </c>
      <c r="K145" s="80" t="s">
        <v>491</v>
      </c>
      <c r="L145" s="84" t="s">
        <v>251</v>
      </c>
      <c r="M145" s="84" t="s">
        <v>252</v>
      </c>
      <c r="N145" s="84" t="s">
        <v>920</v>
      </c>
      <c r="O145" s="85" t="s">
        <v>921</v>
      </c>
      <c r="P145" s="85" t="s">
        <v>922</v>
      </c>
      <c r="Q145" s="49" t="s">
        <v>75</v>
      </c>
      <c r="R145" s="25" t="s">
        <v>91</v>
      </c>
      <c r="S145" s="56">
        <v>18</v>
      </c>
      <c r="T145" s="56">
        <v>50</v>
      </c>
      <c r="U145" s="228" t="s">
        <v>923</v>
      </c>
      <c r="V145" s="49"/>
      <c r="W145" s="225" t="s">
        <v>76</v>
      </c>
      <c r="X145" s="78" t="s">
        <v>78</v>
      </c>
      <c r="Y145" s="25"/>
      <c r="Z145" s="93" t="s">
        <v>193</v>
      </c>
      <c r="AA145" s="87"/>
      <c r="AC145" s="40"/>
    </row>
    <row r="146" spans="1:29" ht="33" hidden="1">
      <c r="A146" s="88">
        <v>136</v>
      </c>
      <c r="B146" s="79" t="s">
        <v>924</v>
      </c>
      <c r="C146" s="148" t="s">
        <v>8</v>
      </c>
      <c r="D146" s="80" t="s">
        <v>83</v>
      </c>
      <c r="E146" s="82" t="s">
        <v>925</v>
      </c>
      <c r="F146" s="80" t="s">
        <v>120</v>
      </c>
      <c r="G146" s="81" t="s">
        <v>248</v>
      </c>
      <c r="H146" s="80" t="s">
        <v>926</v>
      </c>
      <c r="I146" s="83">
        <v>45474</v>
      </c>
      <c r="J146" s="80" t="s">
        <v>170</v>
      </c>
      <c r="K146" s="80" t="s">
        <v>156</v>
      </c>
      <c r="L146" s="84" t="s">
        <v>171</v>
      </c>
      <c r="M146" s="84" t="s">
        <v>71</v>
      </c>
      <c r="N146" s="84" t="s">
        <v>72</v>
      </c>
      <c r="O146" s="85" t="s">
        <v>927</v>
      </c>
      <c r="P146" s="85" t="s">
        <v>928</v>
      </c>
      <c r="Q146" s="49" t="s">
        <v>75</v>
      </c>
      <c r="R146" s="25" t="s">
        <v>91</v>
      </c>
      <c r="S146" s="56">
        <v>19</v>
      </c>
      <c r="T146" s="56">
        <v>57</v>
      </c>
      <c r="U146" s="228" t="s">
        <v>929</v>
      </c>
      <c r="V146" s="62"/>
      <c r="W146" s="225" t="s">
        <v>76</v>
      </c>
      <c r="X146" s="78" t="s">
        <v>78</v>
      </c>
      <c r="Y146" s="25"/>
      <c r="Z146" s="93" t="s">
        <v>93</v>
      </c>
      <c r="AA146" s="87"/>
      <c r="AC146" s="40"/>
    </row>
    <row r="147" spans="1:29" ht="99" hidden="1">
      <c r="A147" s="88">
        <v>137</v>
      </c>
      <c r="B147" s="79" t="s">
        <v>930</v>
      </c>
      <c r="C147" s="148" t="s">
        <v>8</v>
      </c>
      <c r="D147" s="80" t="s">
        <v>83</v>
      </c>
      <c r="E147" s="82" t="s">
        <v>931</v>
      </c>
      <c r="F147" s="80" t="s">
        <v>65</v>
      </c>
      <c r="G147" s="81" t="s">
        <v>932</v>
      </c>
      <c r="H147" s="80" t="s">
        <v>933</v>
      </c>
      <c r="I147" s="83">
        <v>45474</v>
      </c>
      <c r="J147" s="80" t="s">
        <v>111</v>
      </c>
      <c r="K147" s="80" t="s">
        <v>112</v>
      </c>
      <c r="L147" s="84" t="s">
        <v>122</v>
      </c>
      <c r="M147" s="84" t="s">
        <v>114</v>
      </c>
      <c r="N147" s="84" t="s">
        <v>72</v>
      </c>
      <c r="O147" s="85" t="s">
        <v>934</v>
      </c>
      <c r="P147" s="85" t="s">
        <v>935</v>
      </c>
      <c r="Q147" s="49" t="s">
        <v>75</v>
      </c>
      <c r="R147" s="25" t="s">
        <v>91</v>
      </c>
      <c r="S147" s="56">
        <v>18</v>
      </c>
      <c r="T147" s="56">
        <v>49</v>
      </c>
      <c r="U147" s="228" t="s">
        <v>936</v>
      </c>
      <c r="V147" s="63"/>
      <c r="W147" s="225" t="s">
        <v>76</v>
      </c>
      <c r="X147" s="78" t="s">
        <v>78</v>
      </c>
      <c r="Y147" s="25"/>
      <c r="Z147" s="93" t="s">
        <v>93</v>
      </c>
      <c r="AA147" s="87"/>
      <c r="AC147" s="40"/>
    </row>
    <row r="148" spans="1:29" ht="82.5" hidden="1">
      <c r="A148" s="88">
        <v>138</v>
      </c>
      <c r="B148" s="79" t="s">
        <v>937</v>
      </c>
      <c r="C148" s="148" t="s">
        <v>8</v>
      </c>
      <c r="D148" s="80" t="s">
        <v>83</v>
      </c>
      <c r="E148" s="82" t="s">
        <v>938</v>
      </c>
      <c r="F148" s="80" t="s">
        <v>120</v>
      </c>
      <c r="G148" s="81" t="s">
        <v>932</v>
      </c>
      <c r="H148" s="80" t="s">
        <v>939</v>
      </c>
      <c r="I148" s="83">
        <v>45474</v>
      </c>
      <c r="J148" s="80" t="s">
        <v>170</v>
      </c>
      <c r="K148" s="80" t="s">
        <v>156</v>
      </c>
      <c r="L148" s="84" t="s">
        <v>171</v>
      </c>
      <c r="M148" s="84" t="s">
        <v>71</v>
      </c>
      <c r="N148" s="84" t="s">
        <v>72</v>
      </c>
      <c r="O148" s="85" t="s">
        <v>940</v>
      </c>
      <c r="P148" s="85" t="s">
        <v>941</v>
      </c>
      <c r="Q148" s="49" t="s">
        <v>75</v>
      </c>
      <c r="R148" s="25" t="s">
        <v>91</v>
      </c>
      <c r="S148" s="56">
        <v>18</v>
      </c>
      <c r="T148" s="56">
        <v>56</v>
      </c>
      <c r="U148" s="228" t="s">
        <v>942</v>
      </c>
      <c r="V148" s="62"/>
      <c r="W148" s="225" t="s">
        <v>76</v>
      </c>
      <c r="X148" s="78" t="s">
        <v>78</v>
      </c>
      <c r="Y148" s="25"/>
      <c r="Z148" s="93" t="s">
        <v>93</v>
      </c>
      <c r="AA148" s="87"/>
      <c r="AC148" s="40"/>
    </row>
    <row r="149" spans="1:29" ht="66" hidden="1">
      <c r="A149" s="88">
        <v>139</v>
      </c>
      <c r="B149" s="79" t="s">
        <v>943</v>
      </c>
      <c r="C149" s="148" t="s">
        <v>8</v>
      </c>
      <c r="D149" s="80" t="s">
        <v>83</v>
      </c>
      <c r="E149" s="82" t="s">
        <v>944</v>
      </c>
      <c r="F149" s="80" t="s">
        <v>65</v>
      </c>
      <c r="G149" s="81" t="s">
        <v>932</v>
      </c>
      <c r="H149" s="80" t="s">
        <v>945</v>
      </c>
      <c r="I149" s="83">
        <v>45474</v>
      </c>
      <c r="J149" s="80" t="s">
        <v>903</v>
      </c>
      <c r="K149" s="80" t="s">
        <v>69</v>
      </c>
      <c r="L149" s="84" t="s">
        <v>251</v>
      </c>
      <c r="M149" s="84" t="s">
        <v>904</v>
      </c>
      <c r="N149" s="84" t="s">
        <v>72</v>
      </c>
      <c r="O149" s="85" t="s">
        <v>946</v>
      </c>
      <c r="P149" s="85" t="s">
        <v>947</v>
      </c>
      <c r="Q149" s="49" t="s">
        <v>75</v>
      </c>
      <c r="R149" s="25" t="s">
        <v>75</v>
      </c>
      <c r="S149" s="56">
        <v>20</v>
      </c>
      <c r="T149" s="56">
        <v>80</v>
      </c>
      <c r="U149" s="228" t="s">
        <v>948</v>
      </c>
      <c r="V149" s="221" t="s">
        <v>75</v>
      </c>
      <c r="W149" s="225" t="s">
        <v>949</v>
      </c>
      <c r="X149" s="78" t="s">
        <v>78</v>
      </c>
      <c r="Y149" s="25"/>
      <c r="Z149" s="93" t="s">
        <v>106</v>
      </c>
      <c r="AA149" s="87" t="s">
        <v>950</v>
      </c>
      <c r="AC149" s="40"/>
    </row>
    <row r="150" spans="1:29" s="24" customFormat="1" ht="33" hidden="1">
      <c r="A150" s="86">
        <v>140</v>
      </c>
      <c r="B150" s="79" t="s">
        <v>951</v>
      </c>
      <c r="C150" s="148" t="s">
        <v>8</v>
      </c>
      <c r="D150" s="80" t="s">
        <v>83</v>
      </c>
      <c r="E150" s="84" t="s">
        <v>952</v>
      </c>
      <c r="F150" s="80" t="s">
        <v>109</v>
      </c>
      <c r="G150" s="81" t="s">
        <v>456</v>
      </c>
      <c r="H150" s="80" t="s">
        <v>953</v>
      </c>
      <c r="I150" s="92">
        <v>45474</v>
      </c>
      <c r="J150" s="80" t="s">
        <v>145</v>
      </c>
      <c r="K150" s="81" t="s">
        <v>146</v>
      </c>
      <c r="L150" s="84" t="s">
        <v>147</v>
      </c>
      <c r="M150" s="84" t="s">
        <v>148</v>
      </c>
      <c r="N150" s="84" t="s">
        <v>72</v>
      </c>
      <c r="O150" s="85" t="s">
        <v>954</v>
      </c>
      <c r="P150" s="85" t="s">
        <v>955</v>
      </c>
      <c r="Q150" s="62" t="s">
        <v>75</v>
      </c>
      <c r="R150" s="52" t="s">
        <v>91</v>
      </c>
      <c r="S150" s="76">
        <v>23</v>
      </c>
      <c r="T150" s="76">
        <v>65</v>
      </c>
      <c r="U150" s="228" t="s">
        <v>956</v>
      </c>
      <c r="V150" s="62"/>
      <c r="W150" s="225" t="s">
        <v>76</v>
      </c>
      <c r="X150" s="78" t="s">
        <v>78</v>
      </c>
      <c r="Y150" s="25"/>
      <c r="Z150" s="93" t="s">
        <v>93</v>
      </c>
      <c r="AA150" s="87"/>
      <c r="AB150" s="52"/>
      <c r="AC150" s="42"/>
    </row>
    <row r="151" spans="1:29" ht="33" hidden="1">
      <c r="A151" s="88">
        <v>141</v>
      </c>
      <c r="B151" s="79" t="s">
        <v>957</v>
      </c>
      <c r="C151" s="148" t="s">
        <v>8</v>
      </c>
      <c r="D151" s="80" t="s">
        <v>63</v>
      </c>
      <c r="E151" s="82" t="s">
        <v>958</v>
      </c>
      <c r="F151" s="80" t="s">
        <v>120</v>
      </c>
      <c r="G151" s="81" t="s">
        <v>154</v>
      </c>
      <c r="H151" s="80" t="s">
        <v>959</v>
      </c>
      <c r="I151" s="83">
        <v>45474</v>
      </c>
      <c r="J151" s="80" t="s">
        <v>657</v>
      </c>
      <c r="K151" s="80" t="s">
        <v>188</v>
      </c>
      <c r="L151" s="84" t="s">
        <v>189</v>
      </c>
      <c r="M151" s="84" t="s">
        <v>221</v>
      </c>
      <c r="N151" s="84" t="s">
        <v>72</v>
      </c>
      <c r="O151" s="85" t="s">
        <v>960</v>
      </c>
      <c r="P151" s="85" t="s">
        <v>961</v>
      </c>
      <c r="Q151" s="49" t="s">
        <v>75</v>
      </c>
      <c r="R151" s="25" t="s">
        <v>91</v>
      </c>
      <c r="S151" s="56">
        <v>20</v>
      </c>
      <c r="T151" s="56">
        <v>54</v>
      </c>
      <c r="U151" s="228" t="s">
        <v>76</v>
      </c>
      <c r="V151" s="49"/>
      <c r="W151" s="225" t="s">
        <v>76</v>
      </c>
      <c r="X151" s="78" t="s">
        <v>78</v>
      </c>
      <c r="Y151" s="25"/>
      <c r="Z151" s="93" t="s">
        <v>93</v>
      </c>
      <c r="AA151" s="87"/>
      <c r="AC151" s="40"/>
    </row>
    <row r="152" spans="1:29" ht="49.5" hidden="1">
      <c r="A152" s="88">
        <v>142</v>
      </c>
      <c r="B152" s="79" t="s">
        <v>962</v>
      </c>
      <c r="C152" s="148" t="s">
        <v>8</v>
      </c>
      <c r="D152" s="80" t="s">
        <v>83</v>
      </c>
      <c r="E152" s="82" t="s">
        <v>963</v>
      </c>
      <c r="F152" s="80" t="s">
        <v>109</v>
      </c>
      <c r="G152" s="81" t="s">
        <v>932</v>
      </c>
      <c r="H152" s="80" t="s">
        <v>496</v>
      </c>
      <c r="I152" s="83">
        <v>45474</v>
      </c>
      <c r="J152" s="80" t="s">
        <v>111</v>
      </c>
      <c r="K152" s="80" t="s">
        <v>112</v>
      </c>
      <c r="L152" s="84" t="s">
        <v>122</v>
      </c>
      <c r="M152" s="84" t="s">
        <v>114</v>
      </c>
      <c r="N152" s="84" t="s">
        <v>72</v>
      </c>
      <c r="O152" s="85" t="s">
        <v>964</v>
      </c>
      <c r="P152" s="85" t="s">
        <v>965</v>
      </c>
      <c r="Q152" s="49" t="s">
        <v>91</v>
      </c>
      <c r="R152" s="25"/>
      <c r="S152" s="56">
        <v>16</v>
      </c>
      <c r="T152" s="56">
        <v>47</v>
      </c>
      <c r="U152" s="228" t="s">
        <v>966</v>
      </c>
      <c r="V152" s="63"/>
      <c r="W152" s="225" t="s">
        <v>76</v>
      </c>
      <c r="X152" s="78"/>
      <c r="Y152" s="25"/>
      <c r="Z152" s="93" t="s">
        <v>193</v>
      </c>
      <c r="AA152" s="87"/>
      <c r="AC152" s="40"/>
    </row>
    <row r="153" spans="1:29" ht="99" hidden="1">
      <c r="A153" s="88">
        <v>143</v>
      </c>
      <c r="B153" s="79" t="s">
        <v>967</v>
      </c>
      <c r="C153" s="148" t="s">
        <v>8</v>
      </c>
      <c r="D153" s="80" t="s">
        <v>83</v>
      </c>
      <c r="E153" s="94" t="s">
        <v>968</v>
      </c>
      <c r="F153" s="80" t="s">
        <v>109</v>
      </c>
      <c r="G153" s="81" t="s">
        <v>932</v>
      </c>
      <c r="H153" s="80" t="s">
        <v>969</v>
      </c>
      <c r="I153" s="83">
        <v>45474</v>
      </c>
      <c r="J153" s="80" t="s">
        <v>657</v>
      </c>
      <c r="K153" s="80" t="s">
        <v>188</v>
      </c>
      <c r="L153" s="84" t="s">
        <v>189</v>
      </c>
      <c r="M153" s="84" t="s">
        <v>221</v>
      </c>
      <c r="N153" s="84" t="s">
        <v>72</v>
      </c>
      <c r="O153" s="95" t="s">
        <v>970</v>
      </c>
      <c r="P153" s="85" t="s">
        <v>971</v>
      </c>
      <c r="Q153" s="49" t="s">
        <v>75</v>
      </c>
      <c r="R153" s="25" t="s">
        <v>91</v>
      </c>
      <c r="S153" s="56">
        <v>18</v>
      </c>
      <c r="T153" s="56" t="s">
        <v>303</v>
      </c>
      <c r="U153" s="228" t="s">
        <v>76</v>
      </c>
      <c r="V153" s="49"/>
      <c r="W153" s="225" t="s">
        <v>76</v>
      </c>
      <c r="X153" s="78" t="s">
        <v>78</v>
      </c>
      <c r="Y153" s="25"/>
      <c r="Z153" s="93" t="s">
        <v>93</v>
      </c>
      <c r="AA153" s="87"/>
      <c r="AC153" s="40"/>
    </row>
    <row r="154" spans="1:29" ht="66" hidden="1">
      <c r="A154" s="88">
        <v>144</v>
      </c>
      <c r="B154" s="79" t="s">
        <v>972</v>
      </c>
      <c r="C154" s="148" t="s">
        <v>8</v>
      </c>
      <c r="D154" s="80" t="s">
        <v>83</v>
      </c>
      <c r="E154" s="82" t="s">
        <v>973</v>
      </c>
      <c r="F154" s="80" t="s">
        <v>120</v>
      </c>
      <c r="G154" s="81" t="s">
        <v>932</v>
      </c>
      <c r="H154" s="80" t="s">
        <v>974</v>
      </c>
      <c r="I154" s="83">
        <v>45474</v>
      </c>
      <c r="J154" s="80" t="s">
        <v>111</v>
      </c>
      <c r="K154" s="80" t="s">
        <v>112</v>
      </c>
      <c r="L154" s="84" t="s">
        <v>122</v>
      </c>
      <c r="M154" s="84" t="s">
        <v>114</v>
      </c>
      <c r="N154" s="84" t="s">
        <v>72</v>
      </c>
      <c r="O154" s="85" t="s">
        <v>975</v>
      </c>
      <c r="P154" s="85" t="s">
        <v>976</v>
      </c>
      <c r="Q154" s="49" t="s">
        <v>91</v>
      </c>
      <c r="R154" s="25"/>
      <c r="S154" s="56">
        <v>15</v>
      </c>
      <c r="T154" s="56">
        <v>39</v>
      </c>
      <c r="U154" s="228" t="s">
        <v>977</v>
      </c>
      <c r="V154" s="63"/>
      <c r="W154" s="225" t="s">
        <v>76</v>
      </c>
      <c r="X154" s="78"/>
      <c r="Y154" s="25"/>
      <c r="Z154" s="93" t="s">
        <v>193</v>
      </c>
      <c r="AA154" s="87"/>
      <c r="AC154" s="40"/>
    </row>
    <row r="155" spans="1:29" ht="82.5" hidden="1">
      <c r="A155" s="88">
        <v>145</v>
      </c>
      <c r="B155" s="79" t="s">
        <v>978</v>
      </c>
      <c r="C155" s="148" t="s">
        <v>8</v>
      </c>
      <c r="D155" s="80" t="s">
        <v>63</v>
      </c>
      <c r="E155" s="82">
        <v>2101039</v>
      </c>
      <c r="F155" s="80" t="s">
        <v>628</v>
      </c>
      <c r="G155" s="81" t="s">
        <v>809</v>
      </c>
      <c r="H155" s="80" t="s">
        <v>979</v>
      </c>
      <c r="I155" s="83">
        <v>45474</v>
      </c>
      <c r="J155" s="80" t="s">
        <v>187</v>
      </c>
      <c r="K155" s="80" t="s">
        <v>188</v>
      </c>
      <c r="L155" s="84" t="s">
        <v>189</v>
      </c>
      <c r="M155" s="84" t="s">
        <v>114</v>
      </c>
      <c r="N155" s="84" t="s">
        <v>72</v>
      </c>
      <c r="O155" s="85" t="s">
        <v>980</v>
      </c>
      <c r="P155" s="89" t="s">
        <v>981</v>
      </c>
      <c r="Q155" s="49" t="s">
        <v>91</v>
      </c>
      <c r="R155" s="25"/>
      <c r="S155" s="56">
        <v>16</v>
      </c>
      <c r="T155" s="56"/>
      <c r="U155" s="228" t="s">
        <v>76</v>
      </c>
      <c r="V155" s="49"/>
      <c r="W155" s="225" t="s">
        <v>76</v>
      </c>
      <c r="X155" s="78"/>
      <c r="Y155" s="25"/>
      <c r="Z155" s="93" t="s">
        <v>193</v>
      </c>
      <c r="AA155" s="87"/>
      <c r="AC155" s="40"/>
    </row>
    <row r="156" spans="1:29" ht="49.5" hidden="1">
      <c r="A156" s="88">
        <v>146</v>
      </c>
      <c r="B156" s="79" t="s">
        <v>982</v>
      </c>
      <c r="C156" s="148" t="s">
        <v>8</v>
      </c>
      <c r="D156" s="80" t="s">
        <v>63</v>
      </c>
      <c r="E156" s="82">
        <v>201024</v>
      </c>
      <c r="F156" s="80" t="s">
        <v>831</v>
      </c>
      <c r="G156" s="81" t="s">
        <v>809</v>
      </c>
      <c r="H156" s="80" t="s">
        <v>983</v>
      </c>
      <c r="I156" s="83">
        <v>45474</v>
      </c>
      <c r="J156" s="80" t="s">
        <v>111</v>
      </c>
      <c r="K156" s="80" t="s">
        <v>112</v>
      </c>
      <c r="L156" s="84" t="s">
        <v>122</v>
      </c>
      <c r="M156" s="84" t="s">
        <v>114</v>
      </c>
      <c r="N156" s="84" t="s">
        <v>72</v>
      </c>
      <c r="O156" s="85" t="s">
        <v>984</v>
      </c>
      <c r="P156" s="85" t="s">
        <v>985</v>
      </c>
      <c r="Q156" s="49" t="s">
        <v>91</v>
      </c>
      <c r="R156" s="25"/>
      <c r="S156" s="56">
        <v>16</v>
      </c>
      <c r="T156" s="56">
        <v>53</v>
      </c>
      <c r="U156" s="228" t="s">
        <v>986</v>
      </c>
      <c r="V156" s="63"/>
      <c r="W156" s="225" t="s">
        <v>76</v>
      </c>
      <c r="X156" s="78"/>
      <c r="Y156" s="25"/>
      <c r="Z156" s="93" t="s">
        <v>193</v>
      </c>
      <c r="AA156" s="87"/>
      <c r="AC156" s="40"/>
    </row>
    <row r="157" spans="1:29" ht="33" hidden="1">
      <c r="A157" s="88">
        <v>147</v>
      </c>
      <c r="B157" s="79" t="s">
        <v>987</v>
      </c>
      <c r="C157" s="148" t="s">
        <v>8</v>
      </c>
      <c r="D157" s="80" t="s">
        <v>83</v>
      </c>
      <c r="E157" s="82" t="s">
        <v>988</v>
      </c>
      <c r="F157" s="80" t="s">
        <v>120</v>
      </c>
      <c r="G157" s="81" t="s">
        <v>918</v>
      </c>
      <c r="H157" s="80" t="s">
        <v>989</v>
      </c>
      <c r="I157" s="83">
        <v>45474</v>
      </c>
      <c r="J157" s="80" t="s">
        <v>170</v>
      </c>
      <c r="K157" s="80" t="s">
        <v>156</v>
      </c>
      <c r="L157" s="84" t="s">
        <v>171</v>
      </c>
      <c r="M157" s="84" t="s">
        <v>71</v>
      </c>
      <c r="N157" s="84" t="s">
        <v>72</v>
      </c>
      <c r="O157" s="85" t="s">
        <v>990</v>
      </c>
      <c r="P157" s="85" t="s">
        <v>991</v>
      </c>
      <c r="Q157" s="49" t="s">
        <v>75</v>
      </c>
      <c r="R157" s="25" t="s">
        <v>91</v>
      </c>
      <c r="S157" s="56">
        <v>19</v>
      </c>
      <c r="T157" s="56">
        <v>57</v>
      </c>
      <c r="U157" s="228" t="s">
        <v>992</v>
      </c>
      <c r="V157" s="62"/>
      <c r="W157" s="225" t="s">
        <v>76</v>
      </c>
      <c r="X157" s="78" t="s">
        <v>78</v>
      </c>
      <c r="Y157" s="25"/>
      <c r="Z157" s="93" t="s">
        <v>93</v>
      </c>
      <c r="AA157" s="87"/>
      <c r="AC157" s="40"/>
    </row>
    <row r="158" spans="1:29" ht="132" hidden="1">
      <c r="A158" s="88">
        <v>148</v>
      </c>
      <c r="B158" s="79" t="s">
        <v>993</v>
      </c>
      <c r="C158" s="148" t="s">
        <v>8</v>
      </c>
      <c r="D158" s="80" t="s">
        <v>63</v>
      </c>
      <c r="E158" s="82" t="s">
        <v>994</v>
      </c>
      <c r="F158" s="80" t="s">
        <v>109</v>
      </c>
      <c r="G158" s="81" t="s">
        <v>995</v>
      </c>
      <c r="H158" s="80" t="s">
        <v>996</v>
      </c>
      <c r="I158" s="83">
        <v>45474</v>
      </c>
      <c r="J158" s="80" t="s">
        <v>111</v>
      </c>
      <c r="K158" s="80" t="s">
        <v>112</v>
      </c>
      <c r="L158" s="84" t="s">
        <v>122</v>
      </c>
      <c r="M158" s="84" t="s">
        <v>114</v>
      </c>
      <c r="N158" s="84" t="s">
        <v>72</v>
      </c>
      <c r="O158" s="85" t="s">
        <v>997</v>
      </c>
      <c r="P158" s="85" t="s">
        <v>998</v>
      </c>
      <c r="Q158" s="49" t="s">
        <v>91</v>
      </c>
      <c r="R158" s="25"/>
      <c r="S158" s="56">
        <v>15</v>
      </c>
      <c r="T158" s="56">
        <v>54</v>
      </c>
      <c r="U158" s="228" t="s">
        <v>999</v>
      </c>
      <c r="V158" s="63"/>
      <c r="W158" s="225" t="s">
        <v>76</v>
      </c>
      <c r="X158" s="78"/>
      <c r="Y158" s="25"/>
      <c r="Z158" s="93" t="s">
        <v>193</v>
      </c>
      <c r="AA158" s="87"/>
      <c r="AC158" s="40"/>
    </row>
    <row r="159" spans="1:29" ht="66" hidden="1">
      <c r="A159" s="88">
        <v>149</v>
      </c>
      <c r="B159" s="79" t="s">
        <v>1000</v>
      </c>
      <c r="C159" s="148" t="s">
        <v>8</v>
      </c>
      <c r="D159" s="80" t="s">
        <v>83</v>
      </c>
      <c r="E159" s="82" t="s">
        <v>1001</v>
      </c>
      <c r="F159" s="80" t="s">
        <v>120</v>
      </c>
      <c r="G159" s="81" t="s">
        <v>918</v>
      </c>
      <c r="H159" s="80" t="s">
        <v>1002</v>
      </c>
      <c r="I159" s="83">
        <v>45474</v>
      </c>
      <c r="J159" s="80" t="s">
        <v>1003</v>
      </c>
      <c r="K159" s="80" t="s">
        <v>99</v>
      </c>
      <c r="L159" s="84" t="s">
        <v>100</v>
      </c>
      <c r="M159" s="84" t="s">
        <v>252</v>
      </c>
      <c r="N159" s="84" t="s">
        <v>72</v>
      </c>
      <c r="O159" s="85" t="s">
        <v>1004</v>
      </c>
      <c r="P159" s="85" t="s">
        <v>1005</v>
      </c>
      <c r="Q159" s="49" t="s">
        <v>75</v>
      </c>
      <c r="R159" s="25" t="s">
        <v>75</v>
      </c>
      <c r="S159" s="56">
        <v>28</v>
      </c>
      <c r="T159" s="56">
        <v>76</v>
      </c>
      <c r="U159" s="228"/>
      <c r="V159" s="49" t="s">
        <v>75</v>
      </c>
      <c r="W159" s="229" t="s">
        <v>418</v>
      </c>
      <c r="X159" s="78" t="s">
        <v>78</v>
      </c>
      <c r="Y159" s="25" t="s">
        <v>369</v>
      </c>
      <c r="Z159" s="93" t="s">
        <v>106</v>
      </c>
      <c r="AA159" s="87"/>
      <c r="AC159" s="40"/>
    </row>
    <row r="160" spans="1:29" ht="148.5" hidden="1">
      <c r="A160" s="88">
        <v>150</v>
      </c>
      <c r="B160" s="79" t="s">
        <v>1006</v>
      </c>
      <c r="C160" s="148" t="s">
        <v>8</v>
      </c>
      <c r="D160" s="80" t="s">
        <v>63</v>
      </c>
      <c r="E160" s="82" t="s">
        <v>1007</v>
      </c>
      <c r="F160" s="80" t="s">
        <v>120</v>
      </c>
      <c r="G160" s="81" t="s">
        <v>809</v>
      </c>
      <c r="H160" s="80" t="s">
        <v>1008</v>
      </c>
      <c r="I160" s="83">
        <v>45474</v>
      </c>
      <c r="J160" s="80" t="s">
        <v>111</v>
      </c>
      <c r="K160" s="80" t="s">
        <v>112</v>
      </c>
      <c r="L160" s="84" t="s">
        <v>122</v>
      </c>
      <c r="M160" s="84" t="s">
        <v>114</v>
      </c>
      <c r="N160" s="84" t="s">
        <v>72</v>
      </c>
      <c r="O160" s="85" t="s">
        <v>1009</v>
      </c>
      <c r="P160" s="85" t="s">
        <v>1010</v>
      </c>
      <c r="Q160" s="49" t="s">
        <v>75</v>
      </c>
      <c r="R160" s="25" t="s">
        <v>91</v>
      </c>
      <c r="S160" s="56">
        <v>18</v>
      </c>
      <c r="T160" s="56">
        <v>53</v>
      </c>
      <c r="U160" s="228" t="s">
        <v>1011</v>
      </c>
      <c r="V160" s="63"/>
      <c r="W160" s="225" t="s">
        <v>76</v>
      </c>
      <c r="X160" s="78" t="s">
        <v>78</v>
      </c>
      <c r="Y160" s="25"/>
      <c r="Z160" s="93" t="s">
        <v>93</v>
      </c>
      <c r="AA160" s="87"/>
      <c r="AC160" s="40"/>
    </row>
    <row r="161" spans="1:29" ht="115.5" hidden="1">
      <c r="A161" s="88">
        <v>151</v>
      </c>
      <c r="B161" s="79" t="s">
        <v>1012</v>
      </c>
      <c r="C161" s="148" t="s">
        <v>8</v>
      </c>
      <c r="D161" s="80" t="s">
        <v>63</v>
      </c>
      <c r="E161" s="82" t="s">
        <v>1007</v>
      </c>
      <c r="F161" s="80" t="s">
        <v>120</v>
      </c>
      <c r="G161" s="81" t="s">
        <v>809</v>
      </c>
      <c r="H161" s="80" t="s">
        <v>1008</v>
      </c>
      <c r="I161" s="83">
        <v>45474</v>
      </c>
      <c r="J161" s="80" t="s">
        <v>111</v>
      </c>
      <c r="K161" s="80" t="s">
        <v>112</v>
      </c>
      <c r="L161" s="84" t="s">
        <v>122</v>
      </c>
      <c r="M161" s="84" t="s">
        <v>114</v>
      </c>
      <c r="N161" s="84" t="s">
        <v>72</v>
      </c>
      <c r="O161" s="85" t="s">
        <v>1013</v>
      </c>
      <c r="P161" s="85" t="s">
        <v>1014</v>
      </c>
      <c r="Q161" s="49" t="s">
        <v>75</v>
      </c>
      <c r="R161" s="25" t="s">
        <v>91</v>
      </c>
      <c r="S161" s="56">
        <v>19</v>
      </c>
      <c r="T161" s="56">
        <v>57</v>
      </c>
      <c r="U161" s="228" t="s">
        <v>1015</v>
      </c>
      <c r="V161" s="63"/>
      <c r="W161" s="225" t="s">
        <v>76</v>
      </c>
      <c r="X161" s="78" t="s">
        <v>78</v>
      </c>
      <c r="Y161" s="25"/>
      <c r="Z161" s="93" t="s">
        <v>93</v>
      </c>
      <c r="AA161" s="87"/>
      <c r="AC161" s="40"/>
    </row>
    <row r="162" spans="1:29" ht="49.5" hidden="1">
      <c r="A162" s="88">
        <v>152</v>
      </c>
      <c r="B162" s="79" t="s">
        <v>1016</v>
      </c>
      <c r="C162" s="148" t="s">
        <v>8</v>
      </c>
      <c r="D162" s="80" t="s">
        <v>83</v>
      </c>
      <c r="E162" s="82" t="s">
        <v>1017</v>
      </c>
      <c r="F162" s="80" t="s">
        <v>120</v>
      </c>
      <c r="G162" s="81" t="s">
        <v>918</v>
      </c>
      <c r="H162" s="80" t="s">
        <v>1018</v>
      </c>
      <c r="I162" s="83">
        <v>45474</v>
      </c>
      <c r="J162" s="80" t="s">
        <v>187</v>
      </c>
      <c r="K162" s="80" t="s">
        <v>834</v>
      </c>
      <c r="L162" s="84" t="s">
        <v>189</v>
      </c>
      <c r="M162" s="84" t="s">
        <v>114</v>
      </c>
      <c r="N162" s="84" t="s">
        <v>72</v>
      </c>
      <c r="O162" s="85" t="s">
        <v>1019</v>
      </c>
      <c r="P162" s="85" t="s">
        <v>1020</v>
      </c>
      <c r="Q162" s="49" t="s">
        <v>91</v>
      </c>
      <c r="R162" s="25"/>
      <c r="S162" s="56"/>
      <c r="T162" s="56"/>
      <c r="U162" s="228" t="s">
        <v>76</v>
      </c>
      <c r="V162" s="49"/>
      <c r="W162" s="225" t="s">
        <v>76</v>
      </c>
      <c r="X162" s="78"/>
      <c r="Y162" s="25"/>
      <c r="Z162" s="93"/>
      <c r="AA162" s="87"/>
      <c r="AC162" s="40"/>
    </row>
    <row r="163" spans="1:29" ht="49.5" hidden="1">
      <c r="A163" s="88">
        <v>153</v>
      </c>
      <c r="B163" s="79" t="s">
        <v>1021</v>
      </c>
      <c r="C163" s="148" t="s">
        <v>8</v>
      </c>
      <c r="D163" s="80" t="s">
        <v>83</v>
      </c>
      <c r="E163" s="82" t="s">
        <v>1022</v>
      </c>
      <c r="F163" s="80" t="s">
        <v>120</v>
      </c>
      <c r="G163" s="81" t="s">
        <v>918</v>
      </c>
      <c r="H163" s="80" t="s">
        <v>1023</v>
      </c>
      <c r="I163" s="83">
        <v>45474</v>
      </c>
      <c r="J163" s="80" t="s">
        <v>111</v>
      </c>
      <c r="K163" s="80" t="s">
        <v>112</v>
      </c>
      <c r="L163" s="84" t="s">
        <v>113</v>
      </c>
      <c r="M163" s="84" t="s">
        <v>114</v>
      </c>
      <c r="N163" s="84" t="s">
        <v>72</v>
      </c>
      <c r="O163" s="85" t="s">
        <v>1024</v>
      </c>
      <c r="P163" s="85" t="s">
        <v>1025</v>
      </c>
      <c r="Q163" s="49" t="s">
        <v>75</v>
      </c>
      <c r="R163" s="196" t="s">
        <v>91</v>
      </c>
      <c r="S163" s="56">
        <v>18</v>
      </c>
      <c r="T163" s="56">
        <v>57</v>
      </c>
      <c r="U163" s="228" t="s">
        <v>1026</v>
      </c>
      <c r="V163" s="63"/>
      <c r="W163" s="225" t="s">
        <v>76</v>
      </c>
      <c r="X163" s="78" t="s">
        <v>78</v>
      </c>
      <c r="Y163" s="25"/>
      <c r="Z163" s="93" t="s">
        <v>106</v>
      </c>
      <c r="AA163" s="87"/>
      <c r="AC163" s="40"/>
    </row>
    <row r="164" spans="1:29" ht="115.5" hidden="1">
      <c r="A164" s="88">
        <v>154</v>
      </c>
      <c r="B164" s="79" t="s">
        <v>1027</v>
      </c>
      <c r="C164" s="148" t="s">
        <v>8</v>
      </c>
      <c r="D164" s="80" t="s">
        <v>83</v>
      </c>
      <c r="E164" s="82" t="s">
        <v>1028</v>
      </c>
      <c r="F164" s="80" t="s">
        <v>65</v>
      </c>
      <c r="G164" s="81" t="s">
        <v>918</v>
      </c>
      <c r="H164" s="80" t="s">
        <v>1029</v>
      </c>
      <c r="I164" s="83">
        <v>45474</v>
      </c>
      <c r="J164" s="80" t="s">
        <v>220</v>
      </c>
      <c r="K164" s="80" t="s">
        <v>112</v>
      </c>
      <c r="L164" s="84" t="s">
        <v>113</v>
      </c>
      <c r="M164" s="84" t="s">
        <v>221</v>
      </c>
      <c r="N164" s="84" t="s">
        <v>72</v>
      </c>
      <c r="O164" s="85" t="s">
        <v>1030</v>
      </c>
      <c r="P164" s="85" t="s">
        <v>1031</v>
      </c>
      <c r="Q164" s="49" t="s">
        <v>75</v>
      </c>
      <c r="R164" s="25" t="s">
        <v>91</v>
      </c>
      <c r="S164" s="56">
        <v>25</v>
      </c>
      <c r="T164" s="56">
        <v>63</v>
      </c>
      <c r="U164" s="228" t="s">
        <v>1032</v>
      </c>
      <c r="V164" s="99"/>
      <c r="W164" s="225" t="s">
        <v>76</v>
      </c>
      <c r="X164" s="78" t="s">
        <v>78</v>
      </c>
      <c r="Y164" s="25"/>
      <c r="Z164" s="93" t="s">
        <v>93</v>
      </c>
      <c r="AA164" s="87"/>
      <c r="AC164" s="40"/>
    </row>
    <row r="165" spans="1:29" ht="82.5" hidden="1">
      <c r="A165" s="88">
        <v>155</v>
      </c>
      <c r="B165" s="79" t="s">
        <v>1033</v>
      </c>
      <c r="C165" s="148" t="s">
        <v>8</v>
      </c>
      <c r="D165" s="80" t="s">
        <v>63</v>
      </c>
      <c r="E165" s="82" t="s">
        <v>1034</v>
      </c>
      <c r="F165" s="80" t="s">
        <v>65</v>
      </c>
      <c r="G165" s="81" t="s">
        <v>809</v>
      </c>
      <c r="H165" s="80" t="s">
        <v>1035</v>
      </c>
      <c r="I165" s="83">
        <v>45474</v>
      </c>
      <c r="J165" s="80" t="s">
        <v>170</v>
      </c>
      <c r="K165" s="80" t="s">
        <v>156</v>
      </c>
      <c r="L165" s="84" t="s">
        <v>171</v>
      </c>
      <c r="M165" s="84" t="s">
        <v>71</v>
      </c>
      <c r="N165" s="84" t="s">
        <v>72</v>
      </c>
      <c r="O165" s="85" t="s">
        <v>1036</v>
      </c>
      <c r="P165" s="85" t="s">
        <v>1037</v>
      </c>
      <c r="Q165" s="49" t="s">
        <v>91</v>
      </c>
      <c r="R165" s="25"/>
      <c r="S165" s="56">
        <v>17</v>
      </c>
      <c r="T165" s="56"/>
      <c r="U165" s="228" t="s">
        <v>1038</v>
      </c>
      <c r="V165" s="49"/>
      <c r="W165" s="225" t="s">
        <v>76</v>
      </c>
      <c r="X165" s="78"/>
      <c r="Y165" s="25"/>
      <c r="Z165" s="93" t="s">
        <v>193</v>
      </c>
      <c r="AA165" s="87"/>
      <c r="AC165" s="40"/>
    </row>
    <row r="166" spans="1:29" ht="33" hidden="1">
      <c r="A166" s="98">
        <v>156</v>
      </c>
      <c r="B166" s="79" t="s">
        <v>1039</v>
      </c>
      <c r="C166" s="148" t="s">
        <v>8</v>
      </c>
      <c r="D166" s="80" t="s">
        <v>63</v>
      </c>
      <c r="E166" s="91" t="s">
        <v>1040</v>
      </c>
      <c r="F166" s="80" t="s">
        <v>109</v>
      </c>
      <c r="G166" s="81" t="s">
        <v>1041</v>
      </c>
      <c r="H166" s="80" t="s">
        <v>1042</v>
      </c>
      <c r="I166" s="83">
        <v>45474</v>
      </c>
      <c r="J166" s="80" t="s">
        <v>111</v>
      </c>
      <c r="K166" s="80" t="s">
        <v>112</v>
      </c>
      <c r="L166" s="84" t="s">
        <v>122</v>
      </c>
      <c r="M166" s="84" t="s">
        <v>114</v>
      </c>
      <c r="N166" s="84" t="s">
        <v>72</v>
      </c>
      <c r="O166" s="165" t="s">
        <v>1043</v>
      </c>
      <c r="P166" s="85" t="s">
        <v>1044</v>
      </c>
      <c r="Q166" s="49" t="s">
        <v>75</v>
      </c>
      <c r="R166" s="25" t="s">
        <v>75</v>
      </c>
      <c r="S166" s="56">
        <v>25</v>
      </c>
      <c r="T166" s="56">
        <v>76</v>
      </c>
      <c r="U166" s="228" t="s">
        <v>907</v>
      </c>
      <c r="V166" s="63" t="s">
        <v>75</v>
      </c>
      <c r="W166" s="225" t="s">
        <v>77</v>
      </c>
      <c r="X166" s="78" t="s">
        <v>78</v>
      </c>
      <c r="Y166" s="78" t="s">
        <v>78</v>
      </c>
      <c r="Z166" s="93" t="s">
        <v>79</v>
      </c>
      <c r="AA166" s="87"/>
      <c r="AC166" s="40"/>
    </row>
    <row r="167" spans="1:29" ht="49.5" hidden="1">
      <c r="A167" s="88">
        <v>157</v>
      </c>
      <c r="B167" s="79" t="s">
        <v>1045</v>
      </c>
      <c r="C167" s="148" t="s">
        <v>8</v>
      </c>
      <c r="D167" s="80" t="s">
        <v>63</v>
      </c>
      <c r="E167" s="91" t="s">
        <v>1046</v>
      </c>
      <c r="F167" s="80" t="s">
        <v>120</v>
      </c>
      <c r="G167" s="81" t="s">
        <v>1047</v>
      </c>
      <c r="H167" s="80" t="s">
        <v>1048</v>
      </c>
      <c r="I167" s="83">
        <v>45474</v>
      </c>
      <c r="J167" s="80" t="s">
        <v>859</v>
      </c>
      <c r="K167" s="80" t="s">
        <v>299</v>
      </c>
      <c r="L167" s="84" t="s">
        <v>300</v>
      </c>
      <c r="M167" s="84" t="s">
        <v>221</v>
      </c>
      <c r="N167" s="84" t="s">
        <v>72</v>
      </c>
      <c r="O167" s="85" t="s">
        <v>1049</v>
      </c>
      <c r="P167" s="85" t="s">
        <v>1050</v>
      </c>
      <c r="Q167" s="49" t="s">
        <v>75</v>
      </c>
      <c r="R167" s="25" t="s">
        <v>91</v>
      </c>
      <c r="S167" s="56">
        <v>21</v>
      </c>
      <c r="T167" s="56">
        <v>61</v>
      </c>
      <c r="U167" s="228" t="s">
        <v>1051</v>
      </c>
      <c r="V167" s="139"/>
      <c r="W167" s="254" t="s">
        <v>76</v>
      </c>
      <c r="X167" s="78" t="s">
        <v>78</v>
      </c>
      <c r="Y167" s="25"/>
      <c r="Z167" s="93" t="s">
        <v>93</v>
      </c>
      <c r="AA167" s="87"/>
      <c r="AC167" s="40"/>
    </row>
    <row r="168" spans="1:29" ht="180.75" hidden="1">
      <c r="A168" s="88">
        <v>158</v>
      </c>
      <c r="B168" s="79" t="s">
        <v>1052</v>
      </c>
      <c r="C168" s="148" t="s">
        <v>8</v>
      </c>
      <c r="D168" s="80" t="s">
        <v>83</v>
      </c>
      <c r="E168" s="91" t="s">
        <v>1053</v>
      </c>
      <c r="F168" s="80" t="s">
        <v>120</v>
      </c>
      <c r="G168" s="81" t="s">
        <v>918</v>
      </c>
      <c r="H168" s="80" t="s">
        <v>1054</v>
      </c>
      <c r="I168" s="83">
        <v>45474</v>
      </c>
      <c r="J168" s="80" t="s">
        <v>1003</v>
      </c>
      <c r="K168" s="80" t="s">
        <v>99</v>
      </c>
      <c r="L168" s="84" t="s">
        <v>100</v>
      </c>
      <c r="M168" s="84" t="s">
        <v>252</v>
      </c>
      <c r="N168" s="84" t="s">
        <v>310</v>
      </c>
      <c r="O168" s="85" t="s">
        <v>1055</v>
      </c>
      <c r="P168" s="85" t="s">
        <v>1056</v>
      </c>
      <c r="Q168" s="49" t="s">
        <v>91</v>
      </c>
      <c r="R168" s="25"/>
      <c r="S168" s="56">
        <v>11</v>
      </c>
      <c r="T168" s="56"/>
      <c r="U168" s="228" t="s">
        <v>1057</v>
      </c>
      <c r="V168" s="62"/>
      <c r="W168" s="225" t="s">
        <v>76</v>
      </c>
      <c r="X168" s="78"/>
      <c r="Y168" s="25"/>
      <c r="Z168" s="93" t="s">
        <v>193</v>
      </c>
      <c r="AA168" s="87"/>
      <c r="AC168" s="40"/>
    </row>
    <row r="169" spans="1:29" ht="82.5" hidden="1">
      <c r="A169" s="88">
        <v>159</v>
      </c>
      <c r="B169" s="79" t="s">
        <v>1058</v>
      </c>
      <c r="C169" s="148" t="s">
        <v>8</v>
      </c>
      <c r="D169" s="80" t="s">
        <v>83</v>
      </c>
      <c r="E169" s="91" t="s">
        <v>1059</v>
      </c>
      <c r="F169" s="80" t="s">
        <v>120</v>
      </c>
      <c r="G169" s="81" t="s">
        <v>589</v>
      </c>
      <c r="H169" s="80" t="s">
        <v>1060</v>
      </c>
      <c r="I169" s="83">
        <v>45474</v>
      </c>
      <c r="J169" s="80" t="s">
        <v>145</v>
      </c>
      <c r="K169" s="80" t="s">
        <v>146</v>
      </c>
      <c r="L169" s="84" t="s">
        <v>147</v>
      </c>
      <c r="M169" s="84" t="s">
        <v>148</v>
      </c>
      <c r="N169" s="84" t="s">
        <v>310</v>
      </c>
      <c r="O169" s="85" t="s">
        <v>1061</v>
      </c>
      <c r="P169" s="85" t="s">
        <v>1062</v>
      </c>
      <c r="Q169" s="49" t="s">
        <v>75</v>
      </c>
      <c r="R169" s="25" t="s">
        <v>91</v>
      </c>
      <c r="S169" s="56">
        <v>19</v>
      </c>
      <c r="T169" s="76" t="s">
        <v>1063</v>
      </c>
      <c r="U169" s="228" t="s">
        <v>1064</v>
      </c>
      <c r="V169" s="221"/>
      <c r="W169" s="225" t="s">
        <v>76</v>
      </c>
      <c r="X169" s="78" t="s">
        <v>78</v>
      </c>
      <c r="Y169" s="25"/>
      <c r="Z169" s="93" t="s">
        <v>93</v>
      </c>
      <c r="AA169" s="87"/>
      <c r="AC169" s="40"/>
    </row>
    <row r="170" spans="1:29" ht="82.5" hidden="1">
      <c r="A170" s="88">
        <v>160</v>
      </c>
      <c r="B170" s="79" t="s">
        <v>1065</v>
      </c>
      <c r="C170" s="148" t="s">
        <v>8</v>
      </c>
      <c r="D170" s="80" t="s">
        <v>63</v>
      </c>
      <c r="E170" s="91" t="s">
        <v>1066</v>
      </c>
      <c r="F170" s="80" t="s">
        <v>120</v>
      </c>
      <c r="G170" s="81" t="s">
        <v>809</v>
      </c>
      <c r="H170" s="80" t="s">
        <v>1067</v>
      </c>
      <c r="I170" s="83">
        <v>45474</v>
      </c>
      <c r="J170" s="80" t="s">
        <v>187</v>
      </c>
      <c r="K170" s="80" t="s">
        <v>188</v>
      </c>
      <c r="L170" s="84" t="s">
        <v>189</v>
      </c>
      <c r="M170" s="84" t="s">
        <v>114</v>
      </c>
      <c r="N170" s="84" t="s">
        <v>72</v>
      </c>
      <c r="O170" s="85" t="s">
        <v>1068</v>
      </c>
      <c r="P170" s="85" t="s">
        <v>1069</v>
      </c>
      <c r="Q170" s="49" t="s">
        <v>75</v>
      </c>
      <c r="R170" s="180" t="s">
        <v>504</v>
      </c>
      <c r="S170" s="56">
        <v>23</v>
      </c>
      <c r="T170" s="56" t="s">
        <v>738</v>
      </c>
      <c r="U170" s="228" t="s">
        <v>1070</v>
      </c>
      <c r="V170" s="49"/>
      <c r="W170" s="229"/>
      <c r="X170" s="78" t="s">
        <v>78</v>
      </c>
      <c r="Y170" s="25"/>
      <c r="Z170" s="93" t="s">
        <v>106</v>
      </c>
      <c r="AA170" s="87"/>
      <c r="AC170" s="40"/>
    </row>
    <row r="171" spans="1:29" ht="99" hidden="1">
      <c r="A171" s="88">
        <v>161</v>
      </c>
      <c r="B171" s="79" t="s">
        <v>1071</v>
      </c>
      <c r="C171" s="148" t="s">
        <v>8</v>
      </c>
      <c r="D171" s="80" t="s">
        <v>63</v>
      </c>
      <c r="E171" s="91" t="s">
        <v>1072</v>
      </c>
      <c r="F171" s="80" t="s">
        <v>120</v>
      </c>
      <c r="G171" s="81" t="s">
        <v>809</v>
      </c>
      <c r="H171" s="80" t="s">
        <v>1073</v>
      </c>
      <c r="I171" s="83">
        <v>45474</v>
      </c>
      <c r="J171" s="80" t="s">
        <v>833</v>
      </c>
      <c r="K171" s="80" t="s">
        <v>188</v>
      </c>
      <c r="L171" s="84" t="s">
        <v>189</v>
      </c>
      <c r="M171" s="84" t="s">
        <v>252</v>
      </c>
      <c r="N171" s="84" t="s">
        <v>72</v>
      </c>
      <c r="O171" s="85" t="s">
        <v>1074</v>
      </c>
      <c r="P171" s="85" t="s">
        <v>1075</v>
      </c>
      <c r="Q171" s="49" t="s">
        <v>91</v>
      </c>
      <c r="R171" s="25"/>
      <c r="S171" s="56">
        <v>14</v>
      </c>
      <c r="T171" s="56"/>
      <c r="U171" s="228" t="s">
        <v>76</v>
      </c>
      <c r="V171" s="49"/>
      <c r="W171" s="225" t="s">
        <v>76</v>
      </c>
      <c r="X171" s="78"/>
      <c r="Y171" s="25"/>
      <c r="Z171" s="93" t="s">
        <v>193</v>
      </c>
      <c r="AA171" s="173"/>
      <c r="AC171" s="40"/>
    </row>
    <row r="172" spans="1:29" ht="66" hidden="1">
      <c r="A172" s="88">
        <v>162</v>
      </c>
      <c r="B172" s="79" t="s">
        <v>1076</v>
      </c>
      <c r="C172" s="148" t="s">
        <v>8</v>
      </c>
      <c r="D172" s="80" t="s">
        <v>83</v>
      </c>
      <c r="E172" s="91" t="s">
        <v>1077</v>
      </c>
      <c r="F172" s="80" t="s">
        <v>65</v>
      </c>
      <c r="G172" s="81" t="s">
        <v>918</v>
      </c>
      <c r="H172" s="80" t="s">
        <v>1078</v>
      </c>
      <c r="I172" s="83">
        <v>45474</v>
      </c>
      <c r="J172" s="80" t="s">
        <v>1079</v>
      </c>
      <c r="K172" s="80" t="s">
        <v>112</v>
      </c>
      <c r="L172" s="84" t="s">
        <v>122</v>
      </c>
      <c r="M172" s="84" t="s">
        <v>71</v>
      </c>
      <c r="N172" s="84" t="s">
        <v>1080</v>
      </c>
      <c r="O172" s="85" t="s">
        <v>1081</v>
      </c>
      <c r="P172" s="85" t="s">
        <v>1082</v>
      </c>
      <c r="Q172" s="49" t="s">
        <v>91</v>
      </c>
      <c r="R172" s="25"/>
      <c r="S172" s="56">
        <v>12</v>
      </c>
      <c r="T172" s="56">
        <v>45</v>
      </c>
      <c r="U172" s="228" t="s">
        <v>1083</v>
      </c>
      <c r="V172" s="221"/>
      <c r="W172" s="229" t="s">
        <v>76</v>
      </c>
      <c r="X172" s="78"/>
      <c r="Y172" s="25"/>
      <c r="Z172" s="93" t="s">
        <v>193</v>
      </c>
      <c r="AA172" s="87"/>
      <c r="AC172" s="40"/>
    </row>
    <row r="173" spans="1:29" ht="132" hidden="1">
      <c r="A173" s="88">
        <v>163</v>
      </c>
      <c r="B173" s="79" t="s">
        <v>1084</v>
      </c>
      <c r="C173" s="148" t="s">
        <v>8</v>
      </c>
      <c r="D173" s="80" t="s">
        <v>63</v>
      </c>
      <c r="E173" s="91" t="s">
        <v>1085</v>
      </c>
      <c r="F173" s="80" t="s">
        <v>120</v>
      </c>
      <c r="G173" s="81" t="s">
        <v>809</v>
      </c>
      <c r="H173" s="80" t="s">
        <v>1086</v>
      </c>
      <c r="I173" s="83">
        <v>45474</v>
      </c>
      <c r="J173" s="80" t="s">
        <v>111</v>
      </c>
      <c r="K173" s="80" t="s">
        <v>112</v>
      </c>
      <c r="L173" s="84" t="s">
        <v>122</v>
      </c>
      <c r="M173" s="84" t="s">
        <v>114</v>
      </c>
      <c r="N173" s="84" t="s">
        <v>72</v>
      </c>
      <c r="O173" s="85" t="s">
        <v>1087</v>
      </c>
      <c r="P173" s="85" t="s">
        <v>1088</v>
      </c>
      <c r="Q173" s="49" t="s">
        <v>91</v>
      </c>
      <c r="R173" s="25"/>
      <c r="S173" s="56">
        <v>14</v>
      </c>
      <c r="T173" s="56">
        <v>53</v>
      </c>
      <c r="U173" s="228" t="s">
        <v>1089</v>
      </c>
      <c r="V173" s="221"/>
      <c r="W173" s="229" t="s">
        <v>76</v>
      </c>
      <c r="X173" s="78"/>
      <c r="Y173" s="25"/>
      <c r="Z173" s="93" t="s">
        <v>193</v>
      </c>
      <c r="AA173" s="87"/>
      <c r="AC173" s="40"/>
    </row>
    <row r="174" spans="1:29" ht="409.6" hidden="1">
      <c r="A174" s="88">
        <v>164</v>
      </c>
      <c r="B174" s="79" t="s">
        <v>1090</v>
      </c>
      <c r="C174" s="148" t="s">
        <v>8</v>
      </c>
      <c r="D174" s="80" t="s">
        <v>83</v>
      </c>
      <c r="E174" s="91" t="s">
        <v>1091</v>
      </c>
      <c r="F174" s="80" t="s">
        <v>120</v>
      </c>
      <c r="G174" s="81" t="s">
        <v>918</v>
      </c>
      <c r="H174" s="80" t="s">
        <v>1092</v>
      </c>
      <c r="I174" s="83">
        <v>45474</v>
      </c>
      <c r="J174" s="80" t="s">
        <v>1093</v>
      </c>
      <c r="K174" s="80" t="s">
        <v>299</v>
      </c>
      <c r="L174" s="84" t="s">
        <v>100</v>
      </c>
      <c r="M174" s="84" t="s">
        <v>904</v>
      </c>
      <c r="N174" s="84" t="s">
        <v>310</v>
      </c>
      <c r="O174" s="85" t="s">
        <v>1094</v>
      </c>
      <c r="P174" s="85" t="s">
        <v>1095</v>
      </c>
      <c r="Q174" s="49" t="s">
        <v>75</v>
      </c>
      <c r="R174" s="25" t="s">
        <v>75</v>
      </c>
      <c r="S174" s="56">
        <v>24</v>
      </c>
      <c r="T174" s="56">
        <v>80</v>
      </c>
      <c r="U174" s="228" t="s">
        <v>1096</v>
      </c>
      <c r="V174" s="49" t="s">
        <v>75</v>
      </c>
      <c r="W174" s="225" t="s">
        <v>792</v>
      </c>
      <c r="X174" s="78" t="s">
        <v>78</v>
      </c>
      <c r="Y174" s="25" t="s">
        <v>369</v>
      </c>
      <c r="Z174" s="93" t="s">
        <v>106</v>
      </c>
      <c r="AA174" s="87"/>
      <c r="AC174" s="40"/>
    </row>
    <row r="175" spans="1:29" ht="49.5" hidden="1">
      <c r="A175" s="88">
        <v>165</v>
      </c>
      <c r="B175" s="79" t="s">
        <v>1097</v>
      </c>
      <c r="C175" s="148" t="s">
        <v>8</v>
      </c>
      <c r="D175" s="80" t="s">
        <v>63</v>
      </c>
      <c r="E175" s="91" t="s">
        <v>1098</v>
      </c>
      <c r="F175" s="80" t="s">
        <v>65</v>
      </c>
      <c r="G175" s="81" t="s">
        <v>809</v>
      </c>
      <c r="H175" s="80" t="s">
        <v>1099</v>
      </c>
      <c r="I175" s="83">
        <v>45474</v>
      </c>
      <c r="J175" s="80" t="s">
        <v>187</v>
      </c>
      <c r="K175" s="80" t="s">
        <v>188</v>
      </c>
      <c r="L175" s="84" t="s">
        <v>189</v>
      </c>
      <c r="M175" s="84" t="s">
        <v>114</v>
      </c>
      <c r="N175" s="84" t="s">
        <v>72</v>
      </c>
      <c r="O175" s="85" t="s">
        <v>1100</v>
      </c>
      <c r="P175" s="85" t="s">
        <v>1101</v>
      </c>
      <c r="Q175" s="49" t="s">
        <v>91</v>
      </c>
      <c r="R175" s="25"/>
      <c r="S175" s="56">
        <v>14</v>
      </c>
      <c r="T175" s="56"/>
      <c r="U175" s="228" t="s">
        <v>76</v>
      </c>
      <c r="V175" s="49"/>
      <c r="W175" s="225" t="s">
        <v>76</v>
      </c>
      <c r="X175" s="78"/>
      <c r="Y175" s="25"/>
      <c r="Z175" s="93" t="s">
        <v>193</v>
      </c>
      <c r="AA175" s="87"/>
      <c r="AC175" s="40"/>
    </row>
    <row r="176" spans="1:29" ht="132" hidden="1">
      <c r="A176" s="88">
        <v>166</v>
      </c>
      <c r="B176" s="79" t="s">
        <v>1102</v>
      </c>
      <c r="C176" s="148" t="s">
        <v>8</v>
      </c>
      <c r="D176" s="80" t="s">
        <v>63</v>
      </c>
      <c r="E176" s="91" t="s">
        <v>1098</v>
      </c>
      <c r="F176" s="80" t="s">
        <v>65</v>
      </c>
      <c r="G176" s="81" t="s">
        <v>809</v>
      </c>
      <c r="H176" s="80" t="s">
        <v>1099</v>
      </c>
      <c r="I176" s="83">
        <v>45474</v>
      </c>
      <c r="J176" s="80" t="s">
        <v>811</v>
      </c>
      <c r="K176" s="80" t="s">
        <v>299</v>
      </c>
      <c r="L176" s="84" t="s">
        <v>300</v>
      </c>
      <c r="M176" s="84" t="s">
        <v>114</v>
      </c>
      <c r="N176" s="84" t="s">
        <v>72</v>
      </c>
      <c r="O176" s="85" t="s">
        <v>1103</v>
      </c>
      <c r="P176" s="85" t="s">
        <v>1104</v>
      </c>
      <c r="Q176" s="49" t="s">
        <v>91</v>
      </c>
      <c r="R176" s="25"/>
      <c r="S176" s="56">
        <v>14</v>
      </c>
      <c r="T176" s="56"/>
      <c r="U176" s="228" t="s">
        <v>1105</v>
      </c>
      <c r="V176" s="49"/>
      <c r="W176" s="225" t="s">
        <v>76</v>
      </c>
      <c r="X176" s="78"/>
      <c r="Y176" s="25"/>
      <c r="Z176" s="93" t="s">
        <v>193</v>
      </c>
      <c r="AA176" s="87"/>
      <c r="AC176" s="40"/>
    </row>
    <row r="177" spans="1:29" ht="99" hidden="1">
      <c r="A177" s="88">
        <v>167</v>
      </c>
      <c r="B177" s="79" t="s">
        <v>1106</v>
      </c>
      <c r="C177" s="148" t="s">
        <v>8</v>
      </c>
      <c r="D177" s="80" t="s">
        <v>63</v>
      </c>
      <c r="E177" s="91" t="s">
        <v>1098</v>
      </c>
      <c r="F177" s="80" t="s">
        <v>65</v>
      </c>
      <c r="G177" s="81" t="s">
        <v>809</v>
      </c>
      <c r="H177" s="80" t="s">
        <v>1099</v>
      </c>
      <c r="I177" s="83">
        <v>45474</v>
      </c>
      <c r="J177" s="80" t="s">
        <v>811</v>
      </c>
      <c r="K177" s="80" t="s">
        <v>299</v>
      </c>
      <c r="L177" s="84" t="s">
        <v>300</v>
      </c>
      <c r="M177" s="84" t="s">
        <v>114</v>
      </c>
      <c r="N177" s="84" t="s">
        <v>72</v>
      </c>
      <c r="O177" s="85" t="s">
        <v>1107</v>
      </c>
      <c r="P177" s="85" t="s">
        <v>1108</v>
      </c>
      <c r="Q177" s="49" t="s">
        <v>75</v>
      </c>
      <c r="R177" s="25" t="s">
        <v>91</v>
      </c>
      <c r="S177" s="56">
        <v>24</v>
      </c>
      <c r="T177" s="76">
        <v>74</v>
      </c>
      <c r="U177" s="228" t="s">
        <v>815</v>
      </c>
      <c r="V177" s="62"/>
      <c r="W177" s="225" t="s">
        <v>76</v>
      </c>
      <c r="X177" s="78" t="s">
        <v>78</v>
      </c>
      <c r="Y177" s="25"/>
      <c r="Z177" s="93" t="s">
        <v>93</v>
      </c>
      <c r="AA177" s="87"/>
      <c r="AC177" s="40"/>
    </row>
    <row r="178" spans="1:29" ht="66" hidden="1">
      <c r="A178" s="88">
        <v>168</v>
      </c>
      <c r="B178" s="79" t="s">
        <v>1109</v>
      </c>
      <c r="C178" s="148" t="s">
        <v>8</v>
      </c>
      <c r="D178" s="80" t="s">
        <v>63</v>
      </c>
      <c r="E178" s="91" t="s">
        <v>1110</v>
      </c>
      <c r="F178" s="80" t="s">
        <v>831</v>
      </c>
      <c r="G178" s="81" t="s">
        <v>809</v>
      </c>
      <c r="H178" s="80" t="s">
        <v>1111</v>
      </c>
      <c r="I178" s="83">
        <v>45474</v>
      </c>
      <c r="J178" s="80" t="s">
        <v>111</v>
      </c>
      <c r="K178" s="80" t="s">
        <v>112</v>
      </c>
      <c r="L178" s="84" t="s">
        <v>122</v>
      </c>
      <c r="M178" s="84" t="s">
        <v>114</v>
      </c>
      <c r="N178" s="84" t="s">
        <v>1080</v>
      </c>
      <c r="O178" s="85" t="s">
        <v>1112</v>
      </c>
      <c r="P178" s="85" t="s">
        <v>1113</v>
      </c>
      <c r="Q178" s="49" t="s">
        <v>75</v>
      </c>
      <c r="R178" s="25" t="s">
        <v>91</v>
      </c>
      <c r="S178" s="56">
        <v>21</v>
      </c>
      <c r="T178" s="56">
        <v>51</v>
      </c>
      <c r="U178" s="228" t="s">
        <v>1114</v>
      </c>
      <c r="V178" s="221"/>
      <c r="W178" s="229" t="s">
        <v>76</v>
      </c>
      <c r="X178" s="78" t="s">
        <v>78</v>
      </c>
      <c r="Y178" s="25"/>
      <c r="Z178" s="93" t="s">
        <v>93</v>
      </c>
      <c r="AA178" s="87"/>
      <c r="AC178" s="40"/>
    </row>
    <row r="179" spans="1:29" ht="49.5" hidden="1">
      <c r="A179" s="88">
        <v>169</v>
      </c>
      <c r="B179" s="79" t="s">
        <v>1115</v>
      </c>
      <c r="C179" s="148" t="s">
        <v>8</v>
      </c>
      <c r="D179" s="80" t="s">
        <v>63</v>
      </c>
      <c r="E179" s="91" t="s">
        <v>1110</v>
      </c>
      <c r="F179" s="80" t="s">
        <v>831</v>
      </c>
      <c r="G179" s="81" t="s">
        <v>809</v>
      </c>
      <c r="H179" s="80" t="s">
        <v>1111</v>
      </c>
      <c r="I179" s="83">
        <v>45474</v>
      </c>
      <c r="J179" s="80" t="s">
        <v>111</v>
      </c>
      <c r="K179" s="80" t="s">
        <v>112</v>
      </c>
      <c r="L179" s="84" t="s">
        <v>122</v>
      </c>
      <c r="M179" s="84" t="s">
        <v>114</v>
      </c>
      <c r="N179" s="84" t="s">
        <v>72</v>
      </c>
      <c r="O179" s="85" t="s">
        <v>1116</v>
      </c>
      <c r="P179" s="85" t="s">
        <v>1117</v>
      </c>
      <c r="Q179" s="49" t="s">
        <v>75</v>
      </c>
      <c r="R179" s="25" t="s">
        <v>91</v>
      </c>
      <c r="S179" s="56">
        <v>23</v>
      </c>
      <c r="T179" s="56" t="s">
        <v>303</v>
      </c>
      <c r="U179" s="228" t="s">
        <v>1118</v>
      </c>
      <c r="V179" s="62"/>
      <c r="W179" s="225" t="s">
        <v>76</v>
      </c>
      <c r="X179" s="78" t="s">
        <v>78</v>
      </c>
      <c r="Y179" s="25"/>
      <c r="Z179" s="93" t="s">
        <v>93</v>
      </c>
      <c r="AA179" s="87"/>
      <c r="AC179" s="40"/>
    </row>
    <row r="180" spans="1:29" ht="197.25" hidden="1">
      <c r="A180" s="88">
        <v>170</v>
      </c>
      <c r="B180" s="79" t="s">
        <v>1119</v>
      </c>
      <c r="C180" s="148" t="s">
        <v>8</v>
      </c>
      <c r="D180" s="80" t="s">
        <v>83</v>
      </c>
      <c r="E180" s="91" t="s">
        <v>1120</v>
      </c>
      <c r="F180" s="80" t="s">
        <v>284</v>
      </c>
      <c r="G180" s="81" t="s">
        <v>918</v>
      </c>
      <c r="H180" s="80" t="s">
        <v>1121</v>
      </c>
      <c r="I180" s="83">
        <v>45474</v>
      </c>
      <c r="J180" s="80" t="s">
        <v>187</v>
      </c>
      <c r="K180" s="80" t="s">
        <v>188</v>
      </c>
      <c r="L180" s="84" t="s">
        <v>189</v>
      </c>
      <c r="M180" s="84" t="s">
        <v>114</v>
      </c>
      <c r="N180" s="84" t="s">
        <v>72</v>
      </c>
      <c r="O180" s="85" t="s">
        <v>1122</v>
      </c>
      <c r="P180" s="89" t="s">
        <v>1123</v>
      </c>
      <c r="Q180" s="49" t="s">
        <v>75</v>
      </c>
      <c r="R180" s="25" t="s">
        <v>91</v>
      </c>
      <c r="S180" s="56">
        <v>18</v>
      </c>
      <c r="T180" s="56">
        <v>52</v>
      </c>
      <c r="U180" s="228" t="s">
        <v>76</v>
      </c>
      <c r="V180" s="49"/>
      <c r="W180" s="225" t="s">
        <v>76</v>
      </c>
      <c r="X180" s="78" t="s">
        <v>78</v>
      </c>
      <c r="Y180" s="25"/>
      <c r="Z180" s="93" t="s">
        <v>93</v>
      </c>
      <c r="AA180" s="87"/>
      <c r="AC180" s="40"/>
    </row>
    <row r="181" spans="1:29" ht="106.5" hidden="1" customHeight="1">
      <c r="A181" s="88">
        <v>171</v>
      </c>
      <c r="B181" s="79" t="s">
        <v>1124</v>
      </c>
      <c r="C181" s="148" t="s">
        <v>8</v>
      </c>
      <c r="D181" s="80" t="s">
        <v>63</v>
      </c>
      <c r="E181" s="82" t="s">
        <v>1125</v>
      </c>
      <c r="F181" s="80" t="s">
        <v>109</v>
      </c>
      <c r="G181" s="81" t="s">
        <v>809</v>
      </c>
      <c r="H181" s="80" t="s">
        <v>1126</v>
      </c>
      <c r="I181" s="83">
        <v>45474</v>
      </c>
      <c r="J181" s="80" t="s">
        <v>663</v>
      </c>
      <c r="K181" s="80" t="s">
        <v>99</v>
      </c>
      <c r="L181" s="84" t="s">
        <v>100</v>
      </c>
      <c r="M181" s="84" t="s">
        <v>595</v>
      </c>
      <c r="N181" s="84" t="s">
        <v>72</v>
      </c>
      <c r="O181" s="85" t="s">
        <v>1127</v>
      </c>
      <c r="P181" s="85" t="s">
        <v>1128</v>
      </c>
      <c r="Q181" s="49" t="s">
        <v>91</v>
      </c>
      <c r="R181" s="25"/>
      <c r="S181" s="56">
        <v>9</v>
      </c>
      <c r="T181" s="56"/>
      <c r="U181" s="228" t="s">
        <v>1129</v>
      </c>
      <c r="V181" s="62"/>
      <c r="W181" s="225" t="s">
        <v>76</v>
      </c>
      <c r="X181" s="78"/>
      <c r="Y181" s="25"/>
      <c r="Z181" s="93" t="s">
        <v>193</v>
      </c>
      <c r="AA181" s="87"/>
      <c r="AC181" s="40"/>
    </row>
    <row r="182" spans="1:29" ht="82.5" hidden="1">
      <c r="A182" s="88">
        <v>172</v>
      </c>
      <c r="B182" s="79" t="s">
        <v>1130</v>
      </c>
      <c r="C182" s="148" t="s">
        <v>8</v>
      </c>
      <c r="D182" s="80" t="s">
        <v>63</v>
      </c>
      <c r="E182" s="82" t="s">
        <v>1131</v>
      </c>
      <c r="F182" s="80" t="s">
        <v>109</v>
      </c>
      <c r="G182" s="81" t="s">
        <v>1132</v>
      </c>
      <c r="H182" s="80" t="s">
        <v>1133</v>
      </c>
      <c r="I182" s="83">
        <v>45474</v>
      </c>
      <c r="J182" s="80" t="s">
        <v>1134</v>
      </c>
      <c r="K182" s="80" t="s">
        <v>112</v>
      </c>
      <c r="L182" s="84" t="s">
        <v>122</v>
      </c>
      <c r="M182" s="84" t="s">
        <v>252</v>
      </c>
      <c r="N182" s="84" t="s">
        <v>72</v>
      </c>
      <c r="O182" s="85" t="s">
        <v>1135</v>
      </c>
      <c r="P182" s="85" t="s">
        <v>1136</v>
      </c>
      <c r="Q182" s="49" t="s">
        <v>75</v>
      </c>
      <c r="R182" s="25" t="s">
        <v>91</v>
      </c>
      <c r="S182" s="56">
        <v>20</v>
      </c>
      <c r="T182" s="56">
        <v>56</v>
      </c>
      <c r="U182" s="228" t="s">
        <v>1015</v>
      </c>
      <c r="V182" s="73"/>
      <c r="W182" s="225" t="s">
        <v>76</v>
      </c>
      <c r="X182" s="78" t="s">
        <v>78</v>
      </c>
      <c r="Y182" s="25"/>
      <c r="Z182" s="93" t="s">
        <v>93</v>
      </c>
      <c r="AA182" s="87"/>
      <c r="AC182" s="40"/>
    </row>
    <row r="183" spans="1:29" ht="132" hidden="1">
      <c r="A183" s="88">
        <v>173</v>
      </c>
      <c r="B183" s="79" t="s">
        <v>1137</v>
      </c>
      <c r="C183" s="148" t="s">
        <v>8</v>
      </c>
      <c r="D183" s="80" t="s">
        <v>63</v>
      </c>
      <c r="E183" s="82" t="s">
        <v>1131</v>
      </c>
      <c r="F183" s="80" t="s">
        <v>109</v>
      </c>
      <c r="G183" s="81" t="s">
        <v>1132</v>
      </c>
      <c r="H183" s="80" t="s">
        <v>1133</v>
      </c>
      <c r="I183" s="83">
        <v>45474</v>
      </c>
      <c r="J183" s="80" t="s">
        <v>187</v>
      </c>
      <c r="K183" s="80" t="s">
        <v>188</v>
      </c>
      <c r="L183" s="84" t="s">
        <v>189</v>
      </c>
      <c r="M183" s="84" t="s">
        <v>114</v>
      </c>
      <c r="N183" s="84" t="s">
        <v>310</v>
      </c>
      <c r="O183" s="85" t="s">
        <v>1138</v>
      </c>
      <c r="P183" s="85" t="s">
        <v>1139</v>
      </c>
      <c r="Q183" s="49" t="s">
        <v>75</v>
      </c>
      <c r="R183" s="25" t="s">
        <v>91</v>
      </c>
      <c r="S183" s="56">
        <v>20</v>
      </c>
      <c r="T183" s="56">
        <v>66</v>
      </c>
      <c r="U183" s="228" t="s">
        <v>1140</v>
      </c>
      <c r="V183" s="49" t="s">
        <v>75</v>
      </c>
      <c r="W183" s="225"/>
      <c r="X183" s="78" t="s">
        <v>78</v>
      </c>
      <c r="Y183" s="25"/>
      <c r="Z183" s="93" t="s">
        <v>106</v>
      </c>
      <c r="AA183" s="87"/>
      <c r="AC183" s="40"/>
    </row>
    <row r="184" spans="1:29" ht="82.5" hidden="1">
      <c r="A184" s="88">
        <v>174</v>
      </c>
      <c r="B184" s="79" t="s">
        <v>1141</v>
      </c>
      <c r="C184" s="148" t="s">
        <v>8</v>
      </c>
      <c r="D184" s="80" t="s">
        <v>63</v>
      </c>
      <c r="E184" s="82" t="s">
        <v>1142</v>
      </c>
      <c r="F184" s="80" t="s">
        <v>65</v>
      </c>
      <c r="G184" s="81" t="s">
        <v>809</v>
      </c>
      <c r="H184" s="80" t="s">
        <v>1143</v>
      </c>
      <c r="I184" s="83">
        <v>45474</v>
      </c>
      <c r="J184" s="80" t="s">
        <v>1144</v>
      </c>
      <c r="K184" s="80" t="s">
        <v>146</v>
      </c>
      <c r="L184" s="84" t="s">
        <v>189</v>
      </c>
      <c r="M184" s="84" t="s">
        <v>148</v>
      </c>
      <c r="N184" s="84" t="s">
        <v>310</v>
      </c>
      <c r="O184" s="85" t="s">
        <v>1145</v>
      </c>
      <c r="P184" s="85" t="s">
        <v>1146</v>
      </c>
      <c r="Q184" s="49" t="s">
        <v>75</v>
      </c>
      <c r="R184" s="25" t="s">
        <v>91</v>
      </c>
      <c r="S184" s="56">
        <v>19</v>
      </c>
      <c r="T184" s="76">
        <v>71</v>
      </c>
      <c r="U184" s="228" t="s">
        <v>1147</v>
      </c>
      <c r="V184" s="221"/>
      <c r="W184" s="225"/>
      <c r="X184" s="78" t="s">
        <v>78</v>
      </c>
      <c r="Y184" s="25"/>
      <c r="Z184" s="93" t="s">
        <v>93</v>
      </c>
      <c r="AA184" s="87"/>
      <c r="AC184" s="40"/>
    </row>
    <row r="185" spans="1:29" ht="66" hidden="1">
      <c r="A185" s="88">
        <v>175</v>
      </c>
      <c r="B185" s="79" t="s">
        <v>1148</v>
      </c>
      <c r="C185" s="148" t="s">
        <v>8</v>
      </c>
      <c r="D185" s="80" t="s">
        <v>63</v>
      </c>
      <c r="E185" s="82" t="s">
        <v>1142</v>
      </c>
      <c r="F185" s="80" t="s">
        <v>65</v>
      </c>
      <c r="G185" s="81" t="s">
        <v>809</v>
      </c>
      <c r="H185" s="80" t="s">
        <v>1143</v>
      </c>
      <c r="I185" s="83">
        <v>45474</v>
      </c>
      <c r="J185" s="80" t="s">
        <v>1144</v>
      </c>
      <c r="K185" s="80" t="s">
        <v>146</v>
      </c>
      <c r="L185" s="84" t="s">
        <v>189</v>
      </c>
      <c r="M185" s="84" t="s">
        <v>148</v>
      </c>
      <c r="N185" s="84" t="s">
        <v>72</v>
      </c>
      <c r="O185" s="85" t="s">
        <v>1149</v>
      </c>
      <c r="P185" s="85" t="s">
        <v>1150</v>
      </c>
      <c r="Q185" s="49" t="s">
        <v>91</v>
      </c>
      <c r="R185" s="25"/>
      <c r="S185" s="56">
        <v>14</v>
      </c>
      <c r="T185" s="56"/>
      <c r="U185" s="228" t="s">
        <v>1151</v>
      </c>
      <c r="V185" s="62"/>
      <c r="W185" s="225" t="s">
        <v>76</v>
      </c>
      <c r="X185" s="78"/>
      <c r="Y185" s="25"/>
      <c r="Z185" s="93" t="s">
        <v>193</v>
      </c>
      <c r="AA185" s="87"/>
      <c r="AC185" s="40"/>
    </row>
    <row r="186" spans="1:29" ht="49.5" hidden="1">
      <c r="A186" s="88">
        <v>176</v>
      </c>
      <c r="B186" s="79" t="s">
        <v>1152</v>
      </c>
      <c r="C186" s="148" t="s">
        <v>8</v>
      </c>
      <c r="D186" s="80" t="s">
        <v>83</v>
      </c>
      <c r="E186" s="82" t="s">
        <v>1153</v>
      </c>
      <c r="F186" s="80" t="s">
        <v>109</v>
      </c>
      <c r="G186" s="81" t="s">
        <v>918</v>
      </c>
      <c r="H186" s="80" t="s">
        <v>1154</v>
      </c>
      <c r="I186" s="83">
        <v>45474</v>
      </c>
      <c r="J186" s="80" t="s">
        <v>903</v>
      </c>
      <c r="K186" s="80" t="s">
        <v>69</v>
      </c>
      <c r="L186" s="84" t="s">
        <v>251</v>
      </c>
      <c r="M186" s="84" t="s">
        <v>904</v>
      </c>
      <c r="N186" s="84" t="s">
        <v>253</v>
      </c>
      <c r="O186" s="85" t="s">
        <v>1155</v>
      </c>
      <c r="P186" s="85" t="s">
        <v>1156</v>
      </c>
      <c r="Q186" s="49" t="s">
        <v>91</v>
      </c>
      <c r="R186" s="25"/>
      <c r="S186" s="56">
        <v>0</v>
      </c>
      <c r="T186" s="56"/>
      <c r="U186" s="228" t="s">
        <v>1157</v>
      </c>
      <c r="V186" s="62"/>
      <c r="W186" s="225" t="s">
        <v>76</v>
      </c>
      <c r="X186" s="78"/>
      <c r="Y186" s="25"/>
      <c r="Z186" s="93" t="s">
        <v>193</v>
      </c>
      <c r="AA186" s="87"/>
      <c r="AC186" s="40"/>
    </row>
    <row r="187" spans="1:29" ht="246.75" hidden="1">
      <c r="A187" s="88">
        <v>177</v>
      </c>
      <c r="B187" s="79" t="s">
        <v>1158</v>
      </c>
      <c r="C187" s="148" t="s">
        <v>8</v>
      </c>
      <c r="D187" s="80" t="s">
        <v>83</v>
      </c>
      <c r="E187" s="82" t="s">
        <v>1153</v>
      </c>
      <c r="F187" s="80" t="s">
        <v>109</v>
      </c>
      <c r="G187" s="81" t="s">
        <v>918</v>
      </c>
      <c r="H187" s="80" t="s">
        <v>1154</v>
      </c>
      <c r="I187" s="83">
        <v>45474</v>
      </c>
      <c r="J187" s="80" t="s">
        <v>1003</v>
      </c>
      <c r="K187" s="80" t="s">
        <v>99</v>
      </c>
      <c r="L187" s="84" t="s">
        <v>100</v>
      </c>
      <c r="M187" s="84" t="s">
        <v>252</v>
      </c>
      <c r="N187" s="84" t="s">
        <v>310</v>
      </c>
      <c r="O187" s="85" t="s">
        <v>1159</v>
      </c>
      <c r="P187" s="85" t="s">
        <v>1160</v>
      </c>
      <c r="Q187" s="49" t="s">
        <v>75</v>
      </c>
      <c r="R187" s="25" t="s">
        <v>91</v>
      </c>
      <c r="S187" s="56">
        <v>22</v>
      </c>
      <c r="T187" s="56">
        <v>64</v>
      </c>
      <c r="U187" s="228" t="s">
        <v>1161</v>
      </c>
      <c r="V187" s="49"/>
      <c r="W187" s="225" t="s">
        <v>76</v>
      </c>
      <c r="X187" s="78" t="s">
        <v>78</v>
      </c>
      <c r="Y187" s="25"/>
      <c r="Z187" s="93" t="s">
        <v>93</v>
      </c>
      <c r="AA187" s="87"/>
      <c r="AC187" s="40"/>
    </row>
    <row r="188" spans="1:29" ht="49.5" hidden="1">
      <c r="A188" s="88">
        <v>178</v>
      </c>
      <c r="B188" s="79" t="s">
        <v>1162</v>
      </c>
      <c r="C188" s="148" t="s">
        <v>8</v>
      </c>
      <c r="D188" s="80" t="s">
        <v>63</v>
      </c>
      <c r="E188" s="82" t="s">
        <v>1163</v>
      </c>
      <c r="F188" s="80" t="s">
        <v>109</v>
      </c>
      <c r="G188" s="81" t="s">
        <v>809</v>
      </c>
      <c r="H188" s="80" t="s">
        <v>1164</v>
      </c>
      <c r="I188" s="83">
        <v>45474</v>
      </c>
      <c r="J188" s="80" t="s">
        <v>1003</v>
      </c>
      <c r="K188" s="80" t="s">
        <v>99</v>
      </c>
      <c r="L188" s="84" t="s">
        <v>100</v>
      </c>
      <c r="M188" s="84" t="s">
        <v>252</v>
      </c>
      <c r="N188" s="84" t="s">
        <v>310</v>
      </c>
      <c r="O188" s="85" t="s">
        <v>1165</v>
      </c>
      <c r="P188" s="85" t="s">
        <v>1166</v>
      </c>
      <c r="Q188" s="49" t="s">
        <v>91</v>
      </c>
      <c r="R188" s="25"/>
      <c r="S188" s="56">
        <v>8</v>
      </c>
      <c r="T188" s="56"/>
      <c r="U188" s="228" t="s">
        <v>1167</v>
      </c>
      <c r="V188" s="62"/>
      <c r="W188" s="225" t="s">
        <v>76</v>
      </c>
      <c r="X188" s="78"/>
      <c r="Y188" s="25"/>
      <c r="Z188" s="93" t="s">
        <v>193</v>
      </c>
      <c r="AA188" s="87"/>
      <c r="AC188" s="40"/>
    </row>
    <row r="189" spans="1:29" ht="49.5" hidden="1">
      <c r="A189" s="88">
        <v>179</v>
      </c>
      <c r="B189" s="79" t="s">
        <v>1168</v>
      </c>
      <c r="C189" s="148" t="s">
        <v>8</v>
      </c>
      <c r="D189" s="80" t="s">
        <v>63</v>
      </c>
      <c r="E189" s="91" t="s">
        <v>1163</v>
      </c>
      <c r="F189" s="80" t="s">
        <v>109</v>
      </c>
      <c r="G189" s="81" t="s">
        <v>809</v>
      </c>
      <c r="H189" s="80" t="s">
        <v>1164</v>
      </c>
      <c r="I189" s="83">
        <v>45474</v>
      </c>
      <c r="J189" s="80" t="s">
        <v>1003</v>
      </c>
      <c r="K189" s="80" t="s">
        <v>299</v>
      </c>
      <c r="L189" s="84" t="s">
        <v>100</v>
      </c>
      <c r="M189" s="84" t="s">
        <v>252</v>
      </c>
      <c r="N189" s="84" t="s">
        <v>310</v>
      </c>
      <c r="O189" s="85" t="s">
        <v>1169</v>
      </c>
      <c r="P189" s="85" t="s">
        <v>1170</v>
      </c>
      <c r="Q189" s="49" t="s">
        <v>91</v>
      </c>
      <c r="R189" s="25"/>
      <c r="S189" s="56">
        <v>16</v>
      </c>
      <c r="T189" s="56"/>
      <c r="U189" s="228" t="s">
        <v>1171</v>
      </c>
      <c r="V189" s="62"/>
      <c r="W189" s="225" t="s">
        <v>76</v>
      </c>
      <c r="X189" s="78"/>
      <c r="Y189" s="25"/>
      <c r="Z189" s="93" t="s">
        <v>193</v>
      </c>
      <c r="AA189" s="87"/>
      <c r="AC189" s="40"/>
    </row>
    <row r="190" spans="1:29" ht="66" hidden="1">
      <c r="A190" s="88">
        <v>180</v>
      </c>
      <c r="B190" s="79" t="s">
        <v>1172</v>
      </c>
      <c r="C190" s="148" t="s">
        <v>8</v>
      </c>
      <c r="D190" s="80" t="s">
        <v>83</v>
      </c>
      <c r="E190" s="82" t="s">
        <v>1173</v>
      </c>
      <c r="F190" s="80" t="s">
        <v>284</v>
      </c>
      <c r="G190" s="81" t="s">
        <v>918</v>
      </c>
      <c r="H190" s="80" t="s">
        <v>1174</v>
      </c>
      <c r="I190" s="83">
        <v>45474</v>
      </c>
      <c r="J190" s="80" t="s">
        <v>250</v>
      </c>
      <c r="K190" s="80" t="s">
        <v>69</v>
      </c>
      <c r="L190" s="84" t="s">
        <v>251</v>
      </c>
      <c r="M190" s="84" t="s">
        <v>252</v>
      </c>
      <c r="N190" s="84" t="s">
        <v>253</v>
      </c>
      <c r="O190" s="85" t="s">
        <v>1175</v>
      </c>
      <c r="P190" s="85" t="s">
        <v>1176</v>
      </c>
      <c r="Q190" s="49" t="s">
        <v>75</v>
      </c>
      <c r="R190" s="25" t="s">
        <v>75</v>
      </c>
      <c r="S190" s="56">
        <v>20</v>
      </c>
      <c r="T190" s="76" t="s">
        <v>1177</v>
      </c>
      <c r="U190" s="228"/>
      <c r="V190" s="221" t="s">
        <v>75</v>
      </c>
      <c r="W190" s="225" t="s">
        <v>376</v>
      </c>
      <c r="X190" s="78" t="s">
        <v>78</v>
      </c>
      <c r="Y190" s="78" t="s">
        <v>78</v>
      </c>
      <c r="Z190" s="93" t="s">
        <v>79</v>
      </c>
      <c r="AA190" s="87"/>
      <c r="AC190" s="40"/>
    </row>
    <row r="191" spans="1:29" ht="104.25" hidden="1" customHeight="1">
      <c r="A191" s="88">
        <v>181</v>
      </c>
      <c r="B191" s="79" t="s">
        <v>1178</v>
      </c>
      <c r="C191" s="148" t="s">
        <v>8</v>
      </c>
      <c r="D191" s="80" t="s">
        <v>83</v>
      </c>
      <c r="E191" s="91" t="s">
        <v>215</v>
      </c>
      <c r="F191" s="80" t="s">
        <v>109</v>
      </c>
      <c r="G191" s="81" t="s">
        <v>96</v>
      </c>
      <c r="H191" s="80" t="s">
        <v>216</v>
      </c>
      <c r="I191" s="83">
        <v>45474</v>
      </c>
      <c r="J191" s="80" t="s">
        <v>1179</v>
      </c>
      <c r="K191" s="80" t="s">
        <v>299</v>
      </c>
      <c r="L191" s="84" t="s">
        <v>300</v>
      </c>
      <c r="M191" s="84" t="s">
        <v>71</v>
      </c>
      <c r="N191" s="84" t="s">
        <v>72</v>
      </c>
      <c r="O191" s="85" t="s">
        <v>1180</v>
      </c>
      <c r="P191" s="85" t="s">
        <v>1181</v>
      </c>
      <c r="Q191" s="49" t="s">
        <v>75</v>
      </c>
      <c r="R191" s="25" t="s">
        <v>91</v>
      </c>
      <c r="S191" s="56">
        <v>19</v>
      </c>
      <c r="T191" s="56"/>
      <c r="U191" s="228" t="s">
        <v>1182</v>
      </c>
      <c r="V191" s="62"/>
      <c r="W191" s="225" t="s">
        <v>76</v>
      </c>
      <c r="X191" s="78" t="s">
        <v>78</v>
      </c>
      <c r="Y191" s="25"/>
      <c r="Z191" s="93" t="s">
        <v>93</v>
      </c>
      <c r="AA191" s="87"/>
      <c r="AC191" s="40"/>
    </row>
    <row r="192" spans="1:29" ht="33" hidden="1">
      <c r="A192" s="88">
        <v>182</v>
      </c>
      <c r="B192" s="79" t="s">
        <v>1183</v>
      </c>
      <c r="C192" s="148" t="s">
        <v>8</v>
      </c>
      <c r="D192" s="80" t="s">
        <v>83</v>
      </c>
      <c r="E192" s="82" t="s">
        <v>1184</v>
      </c>
      <c r="F192" s="80" t="s">
        <v>65</v>
      </c>
      <c r="G192" s="81" t="s">
        <v>910</v>
      </c>
      <c r="H192" s="80" t="s">
        <v>1185</v>
      </c>
      <c r="I192" s="83">
        <v>45474</v>
      </c>
      <c r="J192" s="80" t="s">
        <v>1079</v>
      </c>
      <c r="K192" s="80" t="s">
        <v>112</v>
      </c>
      <c r="L192" s="84" t="s">
        <v>122</v>
      </c>
      <c r="M192" s="84" t="s">
        <v>71</v>
      </c>
      <c r="N192" s="84" t="s">
        <v>72</v>
      </c>
      <c r="O192" s="85" t="s">
        <v>1186</v>
      </c>
      <c r="P192" s="85" t="s">
        <v>1187</v>
      </c>
      <c r="Q192" s="49" t="s">
        <v>75</v>
      </c>
      <c r="R192" s="25" t="s">
        <v>91</v>
      </c>
      <c r="S192" s="56">
        <v>22</v>
      </c>
      <c r="T192" s="56">
        <v>57</v>
      </c>
      <c r="U192" s="228" t="s">
        <v>1188</v>
      </c>
      <c r="V192" s="62"/>
      <c r="W192" s="225" t="s">
        <v>76</v>
      </c>
      <c r="X192" s="78" t="s">
        <v>78</v>
      </c>
      <c r="Y192" s="25"/>
      <c r="Z192" s="93" t="s">
        <v>93</v>
      </c>
      <c r="AA192" s="87"/>
      <c r="AC192" s="40"/>
    </row>
    <row r="193" spans="1:29" ht="49.5" hidden="1">
      <c r="A193" s="88">
        <v>183</v>
      </c>
      <c r="B193" s="79" t="s">
        <v>1189</v>
      </c>
      <c r="C193" s="148" t="s">
        <v>8</v>
      </c>
      <c r="D193" s="80" t="s">
        <v>83</v>
      </c>
      <c r="E193" s="82" t="s">
        <v>1184</v>
      </c>
      <c r="F193" s="80" t="s">
        <v>65</v>
      </c>
      <c r="G193" s="81" t="s">
        <v>910</v>
      </c>
      <c r="H193" s="80" t="s">
        <v>1185</v>
      </c>
      <c r="I193" s="83">
        <v>45474</v>
      </c>
      <c r="J193" s="80" t="s">
        <v>1190</v>
      </c>
      <c r="K193" s="80" t="s">
        <v>112</v>
      </c>
      <c r="L193" s="84" t="s">
        <v>122</v>
      </c>
      <c r="M193" s="84" t="s">
        <v>904</v>
      </c>
      <c r="N193" s="84" t="s">
        <v>1191</v>
      </c>
      <c r="O193" s="85" t="s">
        <v>1192</v>
      </c>
      <c r="P193" s="85" t="s">
        <v>1193</v>
      </c>
      <c r="Q193" s="49" t="s">
        <v>75</v>
      </c>
      <c r="R193" s="25" t="s">
        <v>91</v>
      </c>
      <c r="S193" s="56">
        <v>24</v>
      </c>
      <c r="T193" s="232" t="s">
        <v>1194</v>
      </c>
      <c r="U193" s="228" t="s">
        <v>1195</v>
      </c>
      <c r="V193" s="62"/>
      <c r="W193" s="225" t="s">
        <v>76</v>
      </c>
      <c r="X193" s="78" t="s">
        <v>78</v>
      </c>
      <c r="Y193" s="25"/>
      <c r="Z193" s="93" t="s">
        <v>93</v>
      </c>
      <c r="AA193" s="87"/>
      <c r="AC193" s="40"/>
    </row>
    <row r="194" spans="1:29" ht="33" hidden="1">
      <c r="A194" s="88">
        <v>184</v>
      </c>
      <c r="B194" s="79" t="s">
        <v>1196</v>
      </c>
      <c r="C194" s="148" t="s">
        <v>8</v>
      </c>
      <c r="D194" s="80" t="s">
        <v>83</v>
      </c>
      <c r="E194" s="82" t="s">
        <v>1197</v>
      </c>
      <c r="F194" s="80" t="s">
        <v>65</v>
      </c>
      <c r="G194" s="81" t="s">
        <v>910</v>
      </c>
      <c r="H194" s="80" t="s">
        <v>1198</v>
      </c>
      <c r="I194" s="83">
        <v>45474</v>
      </c>
      <c r="J194" s="80" t="s">
        <v>1190</v>
      </c>
      <c r="K194" s="80" t="s">
        <v>112</v>
      </c>
      <c r="L194" s="84" t="s">
        <v>122</v>
      </c>
      <c r="M194" s="84" t="s">
        <v>904</v>
      </c>
      <c r="N194" s="84" t="s">
        <v>1191</v>
      </c>
      <c r="O194" s="85" t="s">
        <v>1199</v>
      </c>
      <c r="P194" s="85" t="s">
        <v>1200</v>
      </c>
      <c r="Q194" s="49" t="s">
        <v>75</v>
      </c>
      <c r="R194" s="25" t="s">
        <v>91</v>
      </c>
      <c r="S194" s="56">
        <v>21</v>
      </c>
      <c r="T194" s="56">
        <v>60</v>
      </c>
      <c r="U194" s="228" t="s">
        <v>1201</v>
      </c>
      <c r="V194" s="62"/>
      <c r="W194" s="225" t="s">
        <v>76</v>
      </c>
      <c r="X194" s="78" t="s">
        <v>78</v>
      </c>
      <c r="Y194" s="25"/>
      <c r="Z194" s="93" t="s">
        <v>93</v>
      </c>
      <c r="AA194" s="87"/>
      <c r="AC194" s="40"/>
    </row>
    <row r="195" spans="1:29" ht="33" hidden="1">
      <c r="A195" s="88">
        <v>185</v>
      </c>
      <c r="B195" s="79" t="s">
        <v>1202</v>
      </c>
      <c r="C195" s="148" t="s">
        <v>8</v>
      </c>
      <c r="D195" s="80" t="s">
        <v>83</v>
      </c>
      <c r="E195" s="82" t="s">
        <v>1203</v>
      </c>
      <c r="F195" s="80" t="s">
        <v>120</v>
      </c>
      <c r="G195" s="81" t="s">
        <v>910</v>
      </c>
      <c r="H195" s="80" t="s">
        <v>1204</v>
      </c>
      <c r="I195" s="83">
        <v>45474</v>
      </c>
      <c r="J195" s="80" t="s">
        <v>170</v>
      </c>
      <c r="K195" s="80" t="s">
        <v>156</v>
      </c>
      <c r="L195" s="84" t="s">
        <v>171</v>
      </c>
      <c r="M195" s="84" t="s">
        <v>71</v>
      </c>
      <c r="N195" s="84" t="s">
        <v>72</v>
      </c>
      <c r="O195" s="166" t="s">
        <v>1205</v>
      </c>
      <c r="P195" s="85" t="s">
        <v>1206</v>
      </c>
      <c r="Q195" s="49" t="s">
        <v>75</v>
      </c>
      <c r="R195" s="25" t="s">
        <v>75</v>
      </c>
      <c r="S195" s="56">
        <v>25</v>
      </c>
      <c r="T195" s="56">
        <v>76</v>
      </c>
      <c r="U195" s="228"/>
      <c r="V195" s="62" t="s">
        <v>75</v>
      </c>
      <c r="W195" s="229" t="s">
        <v>77</v>
      </c>
      <c r="X195" s="78" t="s">
        <v>78</v>
      </c>
      <c r="Y195" s="78" t="s">
        <v>78</v>
      </c>
      <c r="Z195" s="93" t="s">
        <v>79</v>
      </c>
      <c r="AA195" s="87"/>
      <c r="AC195" s="40"/>
    </row>
    <row r="196" spans="1:29" ht="33" hidden="1">
      <c r="A196" s="88">
        <v>186</v>
      </c>
      <c r="B196" s="79" t="s">
        <v>1207</v>
      </c>
      <c r="C196" s="148" t="s">
        <v>8</v>
      </c>
      <c r="D196" s="80" t="s">
        <v>83</v>
      </c>
      <c r="E196" s="82" t="s">
        <v>1203</v>
      </c>
      <c r="F196" s="80" t="s">
        <v>120</v>
      </c>
      <c r="G196" s="81" t="s">
        <v>910</v>
      </c>
      <c r="H196" s="80" t="s">
        <v>1204</v>
      </c>
      <c r="I196" s="83">
        <v>45474</v>
      </c>
      <c r="J196" s="80" t="s">
        <v>111</v>
      </c>
      <c r="K196" s="80" t="s">
        <v>112</v>
      </c>
      <c r="L196" s="84" t="s">
        <v>122</v>
      </c>
      <c r="M196" s="84" t="s">
        <v>114</v>
      </c>
      <c r="N196" s="84" t="s">
        <v>72</v>
      </c>
      <c r="O196" s="165" t="s">
        <v>1208</v>
      </c>
      <c r="P196" s="85" t="s">
        <v>1209</v>
      </c>
      <c r="Q196" s="49" t="s">
        <v>75</v>
      </c>
      <c r="R196" s="25" t="s">
        <v>75</v>
      </c>
      <c r="S196" s="56">
        <v>25</v>
      </c>
      <c r="T196" s="76">
        <v>79</v>
      </c>
      <c r="U196" s="228" t="s">
        <v>907</v>
      </c>
      <c r="V196" s="221" t="s">
        <v>75</v>
      </c>
      <c r="W196" s="229" t="s">
        <v>77</v>
      </c>
      <c r="X196" s="78" t="s">
        <v>78</v>
      </c>
      <c r="Y196" s="78" t="s">
        <v>78</v>
      </c>
      <c r="Z196" s="93" t="s">
        <v>79</v>
      </c>
      <c r="AA196" s="87" t="s">
        <v>1210</v>
      </c>
      <c r="AC196" s="40"/>
    </row>
    <row r="197" spans="1:29" ht="33" hidden="1">
      <c r="A197" s="88">
        <v>187</v>
      </c>
      <c r="B197" s="79" t="s">
        <v>1211</v>
      </c>
      <c r="C197" s="148" t="s">
        <v>8</v>
      </c>
      <c r="D197" s="80" t="s">
        <v>83</v>
      </c>
      <c r="E197" s="82" t="s">
        <v>1203</v>
      </c>
      <c r="F197" s="80" t="s">
        <v>120</v>
      </c>
      <c r="G197" s="81" t="s">
        <v>910</v>
      </c>
      <c r="H197" s="80" t="s">
        <v>1204</v>
      </c>
      <c r="I197" s="83">
        <v>45474</v>
      </c>
      <c r="J197" s="80" t="s">
        <v>1190</v>
      </c>
      <c r="K197" s="80" t="s">
        <v>112</v>
      </c>
      <c r="L197" s="84" t="s">
        <v>122</v>
      </c>
      <c r="M197" s="84" t="s">
        <v>904</v>
      </c>
      <c r="N197" s="84" t="s">
        <v>1191</v>
      </c>
      <c r="O197" s="85" t="s">
        <v>1212</v>
      </c>
      <c r="P197" s="85" t="s">
        <v>1213</v>
      </c>
      <c r="Q197" s="49" t="s">
        <v>75</v>
      </c>
      <c r="R197" s="25" t="s">
        <v>75</v>
      </c>
      <c r="S197" s="56">
        <v>23</v>
      </c>
      <c r="T197" s="76" t="s">
        <v>1214</v>
      </c>
      <c r="U197" s="228" t="s">
        <v>1215</v>
      </c>
      <c r="V197" s="62" t="s">
        <v>75</v>
      </c>
      <c r="W197" s="225" t="s">
        <v>792</v>
      </c>
      <c r="X197" s="78" t="s">
        <v>78</v>
      </c>
      <c r="Y197" s="25"/>
      <c r="Z197" s="93" t="s">
        <v>79</v>
      </c>
      <c r="AA197" s="87" t="s">
        <v>1216</v>
      </c>
      <c r="AC197" s="40"/>
    </row>
    <row r="198" spans="1:29" ht="33" hidden="1">
      <c r="A198" s="88">
        <v>188</v>
      </c>
      <c r="B198" s="79" t="s">
        <v>1217</v>
      </c>
      <c r="C198" s="148" t="s">
        <v>8</v>
      </c>
      <c r="D198" s="80" t="s">
        <v>83</v>
      </c>
      <c r="E198" s="82" t="s">
        <v>1218</v>
      </c>
      <c r="F198" s="80" t="s">
        <v>120</v>
      </c>
      <c r="G198" s="81" t="s">
        <v>910</v>
      </c>
      <c r="H198" s="80" t="s">
        <v>1219</v>
      </c>
      <c r="I198" s="83">
        <v>45474</v>
      </c>
      <c r="J198" s="80" t="s">
        <v>250</v>
      </c>
      <c r="K198" s="80" t="s">
        <v>491</v>
      </c>
      <c r="L198" s="84" t="s">
        <v>251</v>
      </c>
      <c r="M198" s="84" t="s">
        <v>252</v>
      </c>
      <c r="N198" s="84" t="s">
        <v>72</v>
      </c>
      <c r="O198" s="85" t="s">
        <v>1220</v>
      </c>
      <c r="P198" s="85" t="s">
        <v>1221</v>
      </c>
      <c r="Q198" s="49" t="s">
        <v>75</v>
      </c>
      <c r="R198" s="25" t="s">
        <v>91</v>
      </c>
      <c r="S198" s="56">
        <v>18</v>
      </c>
      <c r="T198" s="56"/>
      <c r="U198" s="228" t="s">
        <v>1222</v>
      </c>
      <c r="V198" s="62"/>
      <c r="W198" s="225" t="s">
        <v>76</v>
      </c>
      <c r="X198" s="78" t="s">
        <v>78</v>
      </c>
      <c r="Y198" s="25"/>
      <c r="Z198" s="93" t="s">
        <v>106</v>
      </c>
      <c r="AA198" s="87"/>
      <c r="AC198" s="40"/>
    </row>
    <row r="199" spans="1:29" ht="33" hidden="1">
      <c r="A199" s="88">
        <v>189</v>
      </c>
      <c r="B199" s="79" t="s">
        <v>1223</v>
      </c>
      <c r="C199" s="148" t="s">
        <v>8</v>
      </c>
      <c r="D199" s="80" t="s">
        <v>83</v>
      </c>
      <c r="E199" s="82" t="s">
        <v>1224</v>
      </c>
      <c r="F199" s="80" t="s">
        <v>109</v>
      </c>
      <c r="G199" s="81" t="s">
        <v>910</v>
      </c>
      <c r="H199" s="80" t="s">
        <v>1225</v>
      </c>
      <c r="I199" s="83">
        <v>45474</v>
      </c>
      <c r="J199" s="80" t="s">
        <v>1226</v>
      </c>
      <c r="K199" s="80" t="s">
        <v>146</v>
      </c>
      <c r="L199" s="84" t="s">
        <v>147</v>
      </c>
      <c r="M199" s="84" t="s">
        <v>853</v>
      </c>
      <c r="N199" s="84" t="s">
        <v>72</v>
      </c>
      <c r="O199" s="85" t="s">
        <v>1227</v>
      </c>
      <c r="P199" s="85" t="s">
        <v>1228</v>
      </c>
      <c r="Q199" s="49" t="s">
        <v>75</v>
      </c>
      <c r="R199" s="25" t="s">
        <v>91</v>
      </c>
      <c r="S199" s="56">
        <v>20</v>
      </c>
      <c r="T199" s="56">
        <v>66</v>
      </c>
      <c r="U199" s="228" t="s">
        <v>1229</v>
      </c>
      <c r="V199" s="62"/>
      <c r="W199" s="225" t="s">
        <v>76</v>
      </c>
      <c r="X199" s="78" t="s">
        <v>78</v>
      </c>
      <c r="Y199" s="25"/>
      <c r="Z199" s="93" t="s">
        <v>93</v>
      </c>
      <c r="AA199" s="174"/>
      <c r="AC199" s="40"/>
    </row>
    <row r="200" spans="1:29" ht="33" hidden="1">
      <c r="A200" s="88">
        <v>190</v>
      </c>
      <c r="B200" s="79" t="s">
        <v>1230</v>
      </c>
      <c r="C200" s="148" t="s">
        <v>8</v>
      </c>
      <c r="D200" s="80" t="s">
        <v>83</v>
      </c>
      <c r="E200" s="91" t="s">
        <v>1231</v>
      </c>
      <c r="F200" s="80" t="s">
        <v>109</v>
      </c>
      <c r="G200" s="81" t="s">
        <v>910</v>
      </c>
      <c r="H200" s="80" t="s">
        <v>1232</v>
      </c>
      <c r="I200" s="83">
        <v>45474</v>
      </c>
      <c r="J200" s="80" t="s">
        <v>903</v>
      </c>
      <c r="K200" s="80" t="s">
        <v>491</v>
      </c>
      <c r="L200" s="84" t="s">
        <v>251</v>
      </c>
      <c r="M200" s="84" t="s">
        <v>904</v>
      </c>
      <c r="N200" s="84" t="s">
        <v>1191</v>
      </c>
      <c r="O200" s="85" t="s">
        <v>1233</v>
      </c>
      <c r="P200" s="85" t="s">
        <v>1234</v>
      </c>
      <c r="Q200" s="49" t="s">
        <v>91</v>
      </c>
      <c r="R200" s="25"/>
      <c r="S200" s="56">
        <v>15</v>
      </c>
      <c r="T200" s="56"/>
      <c r="U200" s="228" t="s">
        <v>1235</v>
      </c>
      <c r="V200" s="62"/>
      <c r="W200" s="225" t="s">
        <v>76</v>
      </c>
      <c r="X200" s="78"/>
      <c r="Y200" s="25"/>
      <c r="Z200" s="93" t="s">
        <v>193</v>
      </c>
      <c r="AA200" s="87"/>
      <c r="AC200" s="40"/>
    </row>
    <row r="201" spans="1:29" ht="49.5" hidden="1">
      <c r="A201" s="88">
        <v>191</v>
      </c>
      <c r="B201" s="79" t="s">
        <v>1236</v>
      </c>
      <c r="C201" s="148" t="s">
        <v>8</v>
      </c>
      <c r="D201" s="80" t="s">
        <v>83</v>
      </c>
      <c r="E201" s="82" t="s">
        <v>1237</v>
      </c>
      <c r="F201" s="80" t="s">
        <v>65</v>
      </c>
      <c r="G201" s="81" t="s">
        <v>910</v>
      </c>
      <c r="H201" s="80" t="s">
        <v>1238</v>
      </c>
      <c r="I201" s="83">
        <v>45474</v>
      </c>
      <c r="J201" s="80" t="s">
        <v>1190</v>
      </c>
      <c r="K201" s="80" t="s">
        <v>112</v>
      </c>
      <c r="L201" s="84" t="s">
        <v>122</v>
      </c>
      <c r="M201" s="84" t="s">
        <v>904</v>
      </c>
      <c r="N201" s="84" t="s">
        <v>1191</v>
      </c>
      <c r="O201" s="85" t="s">
        <v>1239</v>
      </c>
      <c r="P201" s="85" t="s">
        <v>1240</v>
      </c>
      <c r="Q201" s="49" t="s">
        <v>75</v>
      </c>
      <c r="R201" s="25" t="s">
        <v>91</v>
      </c>
      <c r="S201" s="56">
        <v>15</v>
      </c>
      <c r="T201" s="56">
        <v>50</v>
      </c>
      <c r="U201" s="226" t="s">
        <v>1241</v>
      </c>
      <c r="V201" s="221"/>
      <c r="W201" s="229" t="s">
        <v>76</v>
      </c>
      <c r="X201" s="78" t="s">
        <v>78</v>
      </c>
      <c r="Y201" s="25"/>
      <c r="Z201" s="93" t="s">
        <v>93</v>
      </c>
      <c r="AA201" s="174"/>
      <c r="AC201" s="40"/>
    </row>
    <row r="202" spans="1:29" ht="33" hidden="1">
      <c r="A202" s="88">
        <v>192</v>
      </c>
      <c r="B202" s="79" t="s">
        <v>1242</v>
      </c>
      <c r="C202" s="148" t="s">
        <v>8</v>
      </c>
      <c r="D202" s="80" t="s">
        <v>83</v>
      </c>
      <c r="E202" s="82" t="s">
        <v>1243</v>
      </c>
      <c r="F202" s="80" t="s">
        <v>120</v>
      </c>
      <c r="G202" s="81" t="s">
        <v>589</v>
      </c>
      <c r="H202" s="80" t="s">
        <v>1244</v>
      </c>
      <c r="I202" s="83">
        <v>45474</v>
      </c>
      <c r="J202" s="80" t="s">
        <v>1134</v>
      </c>
      <c r="K202" s="80" t="s">
        <v>112</v>
      </c>
      <c r="L202" s="84" t="s">
        <v>122</v>
      </c>
      <c r="M202" s="84" t="s">
        <v>252</v>
      </c>
      <c r="N202" s="84" t="s">
        <v>253</v>
      </c>
      <c r="O202" s="85" t="s">
        <v>1245</v>
      </c>
      <c r="P202" s="85" t="s">
        <v>1246</v>
      </c>
      <c r="Q202" s="49" t="s">
        <v>75</v>
      </c>
      <c r="R202" s="25" t="s">
        <v>75</v>
      </c>
      <c r="S202" s="56">
        <v>27</v>
      </c>
      <c r="T202" s="56">
        <v>81</v>
      </c>
      <c r="U202" s="227" t="s">
        <v>907</v>
      </c>
      <c r="V202" s="221" t="s">
        <v>75</v>
      </c>
      <c r="W202" s="229" t="s">
        <v>792</v>
      </c>
      <c r="X202" s="78" t="s">
        <v>78</v>
      </c>
      <c r="Y202" s="78" t="s">
        <v>369</v>
      </c>
      <c r="Z202" s="93" t="s">
        <v>79</v>
      </c>
      <c r="AA202" s="174"/>
      <c r="AC202" s="40"/>
    </row>
    <row r="203" spans="1:29" ht="33" hidden="1">
      <c r="A203" s="88">
        <v>193</v>
      </c>
      <c r="B203" s="79" t="s">
        <v>1247</v>
      </c>
      <c r="C203" s="148" t="s">
        <v>8</v>
      </c>
      <c r="D203" s="80" t="s">
        <v>83</v>
      </c>
      <c r="E203" s="82" t="s">
        <v>1248</v>
      </c>
      <c r="F203" s="80" t="s">
        <v>120</v>
      </c>
      <c r="G203" s="81" t="s">
        <v>910</v>
      </c>
      <c r="H203" s="80" t="s">
        <v>1249</v>
      </c>
      <c r="I203" s="83">
        <v>45474</v>
      </c>
      <c r="J203" s="80" t="s">
        <v>241</v>
      </c>
      <c r="K203" s="80" t="s">
        <v>198</v>
      </c>
      <c r="L203" s="84" t="s">
        <v>199</v>
      </c>
      <c r="M203" s="84" t="s">
        <v>221</v>
      </c>
      <c r="N203" s="84" t="s">
        <v>72</v>
      </c>
      <c r="O203" s="85" t="s">
        <v>1250</v>
      </c>
      <c r="P203" s="85" t="s">
        <v>1251</v>
      </c>
      <c r="Q203" s="49" t="s">
        <v>75</v>
      </c>
      <c r="R203" s="25" t="s">
        <v>91</v>
      </c>
      <c r="S203" s="56">
        <v>19</v>
      </c>
      <c r="T203" s="56">
        <v>55</v>
      </c>
      <c r="U203" s="228" t="s">
        <v>714</v>
      </c>
      <c r="V203" s="62"/>
      <c r="W203" s="225"/>
      <c r="X203" s="78" t="s">
        <v>78</v>
      </c>
      <c r="Y203" s="78"/>
      <c r="Z203" s="93" t="s">
        <v>93</v>
      </c>
      <c r="AA203" s="87"/>
      <c r="AC203" s="40"/>
    </row>
    <row r="204" spans="1:29" ht="82.5" hidden="1">
      <c r="A204" s="88">
        <v>194</v>
      </c>
      <c r="B204" s="79" t="s">
        <v>1252</v>
      </c>
      <c r="C204" s="148" t="s">
        <v>8</v>
      </c>
      <c r="D204" s="80" t="s">
        <v>83</v>
      </c>
      <c r="E204" s="82" t="s">
        <v>1253</v>
      </c>
      <c r="F204" s="80" t="s">
        <v>120</v>
      </c>
      <c r="G204" s="81" t="s">
        <v>910</v>
      </c>
      <c r="H204" s="80" t="s">
        <v>1254</v>
      </c>
      <c r="I204" s="83">
        <v>45474</v>
      </c>
      <c r="J204" s="80" t="s">
        <v>1134</v>
      </c>
      <c r="K204" s="80" t="s">
        <v>112</v>
      </c>
      <c r="L204" s="84" t="s">
        <v>113</v>
      </c>
      <c r="M204" s="84" t="s">
        <v>252</v>
      </c>
      <c r="N204" s="84" t="s">
        <v>72</v>
      </c>
      <c r="O204" s="85" t="s">
        <v>1255</v>
      </c>
      <c r="P204" s="85" t="s">
        <v>1256</v>
      </c>
      <c r="Q204" s="49" t="s">
        <v>75</v>
      </c>
      <c r="R204" s="25" t="s">
        <v>91</v>
      </c>
      <c r="S204" s="56">
        <v>26</v>
      </c>
      <c r="T204" s="56">
        <v>68</v>
      </c>
      <c r="U204" s="227" t="s">
        <v>1257</v>
      </c>
      <c r="V204" s="221"/>
      <c r="W204" s="229" t="s">
        <v>76</v>
      </c>
      <c r="X204" s="78" t="s">
        <v>78</v>
      </c>
      <c r="Y204" s="25"/>
      <c r="Z204" s="93" t="s">
        <v>93</v>
      </c>
      <c r="AA204" s="174"/>
      <c r="AC204" s="40"/>
    </row>
    <row r="205" spans="1:29" ht="49.5" hidden="1">
      <c r="A205" s="88">
        <v>195</v>
      </c>
      <c r="B205" s="79" t="s">
        <v>1258</v>
      </c>
      <c r="C205" s="148" t="s">
        <v>8</v>
      </c>
      <c r="D205" s="80" t="s">
        <v>83</v>
      </c>
      <c r="E205" s="82" t="s">
        <v>1259</v>
      </c>
      <c r="F205" s="80" t="s">
        <v>65</v>
      </c>
      <c r="G205" s="81" t="s">
        <v>910</v>
      </c>
      <c r="H205" s="80" t="s">
        <v>1260</v>
      </c>
      <c r="I205" s="83">
        <v>45474</v>
      </c>
      <c r="J205" s="80" t="s">
        <v>250</v>
      </c>
      <c r="K205" s="80" t="s">
        <v>491</v>
      </c>
      <c r="L205" s="84" t="s">
        <v>251</v>
      </c>
      <c r="M205" s="84" t="s">
        <v>252</v>
      </c>
      <c r="N205" s="84" t="s">
        <v>253</v>
      </c>
      <c r="O205" s="85" t="s">
        <v>1261</v>
      </c>
      <c r="P205" s="85" t="s">
        <v>1262</v>
      </c>
      <c r="Q205" s="49" t="s">
        <v>75</v>
      </c>
      <c r="R205" s="25" t="s">
        <v>91</v>
      </c>
      <c r="S205" s="56">
        <v>18</v>
      </c>
      <c r="T205" s="56"/>
      <c r="U205" s="227" t="s">
        <v>1263</v>
      </c>
      <c r="V205" s="62"/>
      <c r="W205" s="225" t="s">
        <v>76</v>
      </c>
      <c r="X205" s="78" t="s">
        <v>78</v>
      </c>
      <c r="Y205" s="25"/>
      <c r="Z205" s="93" t="s">
        <v>193</v>
      </c>
      <c r="AA205" s="87"/>
      <c r="AC205" s="40"/>
    </row>
    <row r="206" spans="1:29" ht="66" hidden="1">
      <c r="A206" s="88">
        <v>196</v>
      </c>
      <c r="B206" s="79" t="s">
        <v>1264</v>
      </c>
      <c r="C206" s="148" t="s">
        <v>8</v>
      </c>
      <c r="D206" s="80" t="s">
        <v>83</v>
      </c>
      <c r="E206" s="82" t="s">
        <v>1265</v>
      </c>
      <c r="F206" s="80" t="s">
        <v>338</v>
      </c>
      <c r="G206" s="81" t="s">
        <v>910</v>
      </c>
      <c r="H206" s="80" t="s">
        <v>1266</v>
      </c>
      <c r="I206" s="83">
        <v>45474</v>
      </c>
      <c r="J206" s="80" t="s">
        <v>187</v>
      </c>
      <c r="K206" s="80" t="s">
        <v>1267</v>
      </c>
      <c r="L206" s="84" t="s">
        <v>189</v>
      </c>
      <c r="M206" s="84" t="s">
        <v>114</v>
      </c>
      <c r="N206" s="84" t="s">
        <v>72</v>
      </c>
      <c r="O206" s="47" t="s">
        <v>1268</v>
      </c>
      <c r="P206" s="85" t="s">
        <v>1269</v>
      </c>
      <c r="Q206" s="49" t="s">
        <v>75</v>
      </c>
      <c r="R206" s="25" t="s">
        <v>91</v>
      </c>
      <c r="S206" s="56">
        <v>19</v>
      </c>
      <c r="T206" s="56">
        <v>53</v>
      </c>
      <c r="U206" s="228" t="s">
        <v>1270</v>
      </c>
      <c r="V206" s="73"/>
      <c r="W206" s="225" t="s">
        <v>76</v>
      </c>
      <c r="X206" s="78" t="s">
        <v>78</v>
      </c>
      <c r="Y206" s="25"/>
      <c r="Z206" s="93" t="s">
        <v>93</v>
      </c>
      <c r="AA206" s="174"/>
      <c r="AC206" s="40"/>
    </row>
    <row r="207" spans="1:29" ht="33" hidden="1">
      <c r="A207" s="88">
        <v>197</v>
      </c>
      <c r="B207" s="79" t="s">
        <v>1271</v>
      </c>
      <c r="C207" s="148" t="s">
        <v>8</v>
      </c>
      <c r="D207" s="80" t="s">
        <v>83</v>
      </c>
      <c r="E207" s="82" t="s">
        <v>1272</v>
      </c>
      <c r="F207" s="80" t="s">
        <v>65</v>
      </c>
      <c r="G207" s="81" t="s">
        <v>910</v>
      </c>
      <c r="H207" s="80" t="s">
        <v>1273</v>
      </c>
      <c r="I207" s="83">
        <v>45474</v>
      </c>
      <c r="J207" s="80" t="s">
        <v>811</v>
      </c>
      <c r="K207" s="80" t="s">
        <v>299</v>
      </c>
      <c r="L207" s="84" t="s">
        <v>300</v>
      </c>
      <c r="M207" s="84" t="s">
        <v>114</v>
      </c>
      <c r="N207" s="84" t="s">
        <v>72</v>
      </c>
      <c r="O207" s="72" t="s">
        <v>1274</v>
      </c>
      <c r="P207" s="85" t="s">
        <v>1275</v>
      </c>
      <c r="Q207" s="49" t="s">
        <v>75</v>
      </c>
      <c r="R207" s="25" t="s">
        <v>91</v>
      </c>
      <c r="S207" s="56">
        <v>22</v>
      </c>
      <c r="T207" s="56" t="s">
        <v>1276</v>
      </c>
      <c r="U207" s="228" t="s">
        <v>1277</v>
      </c>
      <c r="V207" s="49"/>
      <c r="W207" s="225" t="s">
        <v>76</v>
      </c>
      <c r="X207" s="78" t="s">
        <v>78</v>
      </c>
      <c r="Y207" s="25"/>
      <c r="Z207" s="93" t="s">
        <v>93</v>
      </c>
      <c r="AA207" s="174"/>
      <c r="AC207" s="40"/>
    </row>
    <row r="208" spans="1:29" ht="33" hidden="1">
      <c r="A208" s="88">
        <v>198</v>
      </c>
      <c r="B208" s="79" t="s">
        <v>1278</v>
      </c>
      <c r="C208" s="148" t="s">
        <v>8</v>
      </c>
      <c r="D208" s="80" t="s">
        <v>83</v>
      </c>
      <c r="E208" s="82" t="s">
        <v>1279</v>
      </c>
      <c r="F208" s="80" t="s">
        <v>109</v>
      </c>
      <c r="G208" s="81" t="s">
        <v>910</v>
      </c>
      <c r="H208" s="80" t="s">
        <v>1280</v>
      </c>
      <c r="I208" s="83">
        <v>45474</v>
      </c>
      <c r="J208" s="80" t="s">
        <v>811</v>
      </c>
      <c r="K208" s="80" t="s">
        <v>299</v>
      </c>
      <c r="L208" s="84" t="s">
        <v>300</v>
      </c>
      <c r="M208" s="84" t="s">
        <v>114</v>
      </c>
      <c r="N208" s="84" t="s">
        <v>72</v>
      </c>
      <c r="O208" s="85" t="s">
        <v>1281</v>
      </c>
      <c r="P208" s="85" t="s">
        <v>1282</v>
      </c>
      <c r="Q208" s="49" t="s">
        <v>75</v>
      </c>
      <c r="R208" s="25" t="s">
        <v>91</v>
      </c>
      <c r="S208" s="56">
        <v>21</v>
      </c>
      <c r="T208" s="56" t="s">
        <v>1276</v>
      </c>
      <c r="U208" s="228" t="s">
        <v>1283</v>
      </c>
      <c r="V208" s="62"/>
      <c r="W208" s="225" t="s">
        <v>76</v>
      </c>
      <c r="X208" s="78" t="s">
        <v>78</v>
      </c>
      <c r="Y208" s="25"/>
      <c r="Z208" s="93" t="s">
        <v>93</v>
      </c>
      <c r="AA208" s="174"/>
      <c r="AC208" s="40"/>
    </row>
    <row r="209" spans="1:29" ht="49.5" hidden="1">
      <c r="A209" s="88">
        <v>199</v>
      </c>
      <c r="B209" s="79" t="s">
        <v>1284</v>
      </c>
      <c r="C209" s="148" t="s">
        <v>9</v>
      </c>
      <c r="D209" s="80" t="s">
        <v>83</v>
      </c>
      <c r="E209" s="82" t="s">
        <v>1285</v>
      </c>
      <c r="F209" s="80" t="s">
        <v>109</v>
      </c>
      <c r="G209" s="81" t="s">
        <v>1286</v>
      </c>
      <c r="H209" s="80" t="s">
        <v>1287</v>
      </c>
      <c r="I209" s="83">
        <v>45474</v>
      </c>
      <c r="J209" s="80" t="s">
        <v>1288</v>
      </c>
      <c r="K209" s="80" t="s">
        <v>112</v>
      </c>
      <c r="L209" s="84" t="s">
        <v>113</v>
      </c>
      <c r="M209" s="84" t="s">
        <v>148</v>
      </c>
      <c r="N209" s="84" t="s">
        <v>72</v>
      </c>
      <c r="O209" s="85" t="s">
        <v>1289</v>
      </c>
      <c r="P209" s="85" t="s">
        <v>1290</v>
      </c>
      <c r="Q209" s="49" t="s">
        <v>75</v>
      </c>
      <c r="R209" s="25" t="s">
        <v>504</v>
      </c>
      <c r="S209" s="56">
        <v>25</v>
      </c>
      <c r="T209" s="56">
        <v>73</v>
      </c>
      <c r="U209" s="228" t="s">
        <v>1291</v>
      </c>
      <c r="V209" s="221"/>
      <c r="W209" s="229"/>
      <c r="X209" s="78" t="s">
        <v>78</v>
      </c>
      <c r="Y209" s="25"/>
      <c r="Z209" s="93" t="s">
        <v>106</v>
      </c>
      <c r="AA209" s="174"/>
      <c r="AC209" s="40"/>
    </row>
    <row r="210" spans="1:29" ht="33" hidden="1">
      <c r="A210" s="88">
        <v>200</v>
      </c>
      <c r="B210" s="79" t="s">
        <v>1292</v>
      </c>
      <c r="C210" s="148" t="s">
        <v>9</v>
      </c>
      <c r="D210" s="80" t="s">
        <v>83</v>
      </c>
      <c r="E210" s="82" t="s">
        <v>1293</v>
      </c>
      <c r="F210" s="80" t="s">
        <v>109</v>
      </c>
      <c r="G210" s="81" t="s">
        <v>1286</v>
      </c>
      <c r="H210" s="80" t="s">
        <v>1294</v>
      </c>
      <c r="I210" s="83">
        <v>45474</v>
      </c>
      <c r="J210" s="80" t="s">
        <v>220</v>
      </c>
      <c r="K210" s="80" t="s">
        <v>112</v>
      </c>
      <c r="L210" s="84" t="s">
        <v>122</v>
      </c>
      <c r="M210" s="84" t="s">
        <v>221</v>
      </c>
      <c r="N210" s="84" t="s">
        <v>72</v>
      </c>
      <c r="O210" s="85" t="s">
        <v>1295</v>
      </c>
      <c r="P210" s="85" t="s">
        <v>1296</v>
      </c>
      <c r="Q210" s="49" t="s">
        <v>75</v>
      </c>
      <c r="R210" s="25" t="s">
        <v>91</v>
      </c>
      <c r="S210" s="56">
        <v>20</v>
      </c>
      <c r="T210" s="56">
        <v>57</v>
      </c>
      <c r="U210" s="228" t="s">
        <v>1297</v>
      </c>
      <c r="V210" s="73"/>
      <c r="W210" s="225" t="s">
        <v>76</v>
      </c>
      <c r="X210" s="78" t="s">
        <v>78</v>
      </c>
      <c r="Y210" s="25"/>
      <c r="Z210" s="93" t="s">
        <v>93</v>
      </c>
      <c r="AA210" s="174"/>
      <c r="AC210" s="40"/>
    </row>
    <row r="211" spans="1:29" ht="49.5" hidden="1">
      <c r="A211" s="88">
        <v>201</v>
      </c>
      <c r="B211" s="79" t="s">
        <v>1298</v>
      </c>
      <c r="C211" s="148" t="s">
        <v>9</v>
      </c>
      <c r="D211" s="80" t="s">
        <v>83</v>
      </c>
      <c r="E211" s="82" t="s">
        <v>1299</v>
      </c>
      <c r="F211" s="80" t="s">
        <v>120</v>
      </c>
      <c r="G211" s="81" t="s">
        <v>1286</v>
      </c>
      <c r="H211" s="80" t="s">
        <v>1300</v>
      </c>
      <c r="I211" s="83">
        <v>45474</v>
      </c>
      <c r="J211" s="80" t="s">
        <v>250</v>
      </c>
      <c r="K211" s="80" t="s">
        <v>69</v>
      </c>
      <c r="L211" s="84" t="s">
        <v>251</v>
      </c>
      <c r="M211" s="84" t="s">
        <v>252</v>
      </c>
      <c r="N211" s="84" t="s">
        <v>253</v>
      </c>
      <c r="O211" s="85" t="s">
        <v>1301</v>
      </c>
      <c r="P211" s="85" t="s">
        <v>1302</v>
      </c>
      <c r="Q211" s="49" t="s">
        <v>75</v>
      </c>
      <c r="R211" s="25" t="s">
        <v>91</v>
      </c>
      <c r="S211" s="56">
        <v>20</v>
      </c>
      <c r="T211" s="76" t="s">
        <v>256</v>
      </c>
      <c r="U211" s="228"/>
      <c r="V211" s="63"/>
      <c r="W211" s="225" t="s">
        <v>76</v>
      </c>
      <c r="X211" s="78" t="s">
        <v>78</v>
      </c>
      <c r="Y211" s="25"/>
      <c r="Z211" s="93" t="s">
        <v>93</v>
      </c>
      <c r="AA211" s="174"/>
      <c r="AC211" s="40"/>
    </row>
    <row r="212" spans="1:29" ht="49.5" hidden="1">
      <c r="A212" s="88">
        <v>202</v>
      </c>
      <c r="B212" s="79" t="s">
        <v>1303</v>
      </c>
      <c r="C212" s="148" t="s">
        <v>9</v>
      </c>
      <c r="D212" s="80" t="s">
        <v>83</v>
      </c>
      <c r="E212" s="82" t="s">
        <v>1304</v>
      </c>
      <c r="F212" s="80" t="s">
        <v>120</v>
      </c>
      <c r="G212" s="81" t="s">
        <v>1286</v>
      </c>
      <c r="H212" s="80" t="s">
        <v>1305</v>
      </c>
      <c r="I212" s="83">
        <v>45474</v>
      </c>
      <c r="J212" s="80" t="s">
        <v>111</v>
      </c>
      <c r="K212" s="80" t="s">
        <v>112</v>
      </c>
      <c r="L212" s="84" t="s">
        <v>113</v>
      </c>
      <c r="M212" s="84" t="s">
        <v>114</v>
      </c>
      <c r="N212" s="84" t="s">
        <v>72</v>
      </c>
      <c r="O212" s="85" t="s">
        <v>1306</v>
      </c>
      <c r="P212" s="85" t="s">
        <v>1307</v>
      </c>
      <c r="Q212" s="49" t="s">
        <v>75</v>
      </c>
      <c r="R212" s="25" t="s">
        <v>91</v>
      </c>
      <c r="S212" s="56">
        <v>19</v>
      </c>
      <c r="T212" s="56">
        <v>49</v>
      </c>
      <c r="U212" s="227" t="s">
        <v>1308</v>
      </c>
      <c r="V212" s="221"/>
      <c r="W212" s="229" t="s">
        <v>76</v>
      </c>
      <c r="X212" s="78" t="s">
        <v>78</v>
      </c>
      <c r="Y212" s="25"/>
      <c r="Z212" s="93" t="s">
        <v>93</v>
      </c>
      <c r="AA212" s="174"/>
      <c r="AC212" s="40"/>
    </row>
    <row r="213" spans="1:29" ht="33" hidden="1">
      <c r="A213" s="88">
        <v>203</v>
      </c>
      <c r="B213" s="79" t="s">
        <v>1309</v>
      </c>
      <c r="C213" s="148" t="s">
        <v>9</v>
      </c>
      <c r="D213" s="80" t="s">
        <v>83</v>
      </c>
      <c r="E213" s="82" t="s">
        <v>1310</v>
      </c>
      <c r="F213" s="80" t="s">
        <v>120</v>
      </c>
      <c r="G213" s="81" t="s">
        <v>1286</v>
      </c>
      <c r="H213" s="80" t="s">
        <v>1311</v>
      </c>
      <c r="I213" s="83">
        <v>45474</v>
      </c>
      <c r="J213" s="80" t="s">
        <v>170</v>
      </c>
      <c r="K213" s="80" t="s">
        <v>156</v>
      </c>
      <c r="L213" s="84" t="s">
        <v>171</v>
      </c>
      <c r="M213" s="84" t="s">
        <v>71</v>
      </c>
      <c r="N213" s="84" t="s">
        <v>72</v>
      </c>
      <c r="O213" s="85" t="s">
        <v>1312</v>
      </c>
      <c r="P213" s="85" t="s">
        <v>1313</v>
      </c>
      <c r="Q213" s="49" t="s">
        <v>91</v>
      </c>
      <c r="R213" s="25"/>
      <c r="S213" s="56">
        <v>17</v>
      </c>
      <c r="T213" s="56"/>
      <c r="U213" s="227" t="s">
        <v>1314</v>
      </c>
      <c r="V213" s="62"/>
      <c r="W213" s="225" t="s">
        <v>76</v>
      </c>
      <c r="X213" s="78"/>
      <c r="Y213" s="25"/>
      <c r="Z213" s="93" t="s">
        <v>193</v>
      </c>
      <c r="AA213" s="174"/>
      <c r="AC213" s="40"/>
    </row>
    <row r="214" spans="1:29" ht="49.5" hidden="1">
      <c r="A214" s="88">
        <v>204</v>
      </c>
      <c r="B214" s="79" t="s">
        <v>1315</v>
      </c>
      <c r="C214" s="148" t="s">
        <v>9</v>
      </c>
      <c r="D214" s="80" t="s">
        <v>83</v>
      </c>
      <c r="E214" s="82" t="s">
        <v>1316</v>
      </c>
      <c r="F214" s="80" t="s">
        <v>120</v>
      </c>
      <c r="G214" s="81" t="s">
        <v>1286</v>
      </c>
      <c r="H214" s="80" t="s">
        <v>1317</v>
      </c>
      <c r="I214" s="83">
        <v>45474</v>
      </c>
      <c r="J214" s="80" t="s">
        <v>250</v>
      </c>
      <c r="K214" s="80" t="s">
        <v>491</v>
      </c>
      <c r="L214" s="84" t="s">
        <v>251</v>
      </c>
      <c r="M214" s="84" t="s">
        <v>252</v>
      </c>
      <c r="N214" s="84" t="s">
        <v>920</v>
      </c>
      <c r="O214" s="85" t="s">
        <v>1318</v>
      </c>
      <c r="P214" s="85" t="s">
        <v>1319</v>
      </c>
      <c r="Q214" s="49" t="s">
        <v>91</v>
      </c>
      <c r="R214" s="25"/>
      <c r="S214" s="56">
        <v>12</v>
      </c>
      <c r="T214" s="56"/>
      <c r="U214" s="228" t="s">
        <v>761</v>
      </c>
      <c r="V214" s="62"/>
      <c r="W214" s="225" t="s">
        <v>76</v>
      </c>
      <c r="X214" s="78"/>
      <c r="Y214" s="25"/>
      <c r="Z214" s="93" t="s">
        <v>193</v>
      </c>
      <c r="AA214" s="87"/>
      <c r="AC214" s="40"/>
    </row>
    <row r="215" spans="1:29" ht="33" hidden="1">
      <c r="A215" s="88">
        <v>205</v>
      </c>
      <c r="B215" s="79" t="s">
        <v>1320</v>
      </c>
      <c r="C215" s="148" t="s">
        <v>9</v>
      </c>
      <c r="D215" s="80" t="s">
        <v>83</v>
      </c>
      <c r="E215" s="82" t="s">
        <v>1321</v>
      </c>
      <c r="F215" s="80" t="s">
        <v>65</v>
      </c>
      <c r="G215" s="81" t="s">
        <v>1286</v>
      </c>
      <c r="H215" s="80" t="s">
        <v>1322</v>
      </c>
      <c r="I215" s="83">
        <v>45474</v>
      </c>
      <c r="J215" s="80" t="s">
        <v>833</v>
      </c>
      <c r="K215" s="80" t="s">
        <v>188</v>
      </c>
      <c r="L215" s="84" t="s">
        <v>189</v>
      </c>
      <c r="M215" s="84" t="s">
        <v>252</v>
      </c>
      <c r="N215" s="84" t="s">
        <v>72</v>
      </c>
      <c r="O215" s="85" t="s">
        <v>1323</v>
      </c>
      <c r="P215" s="85" t="s">
        <v>1324</v>
      </c>
      <c r="Q215" s="49" t="s">
        <v>91</v>
      </c>
      <c r="R215" s="25"/>
      <c r="S215" s="56">
        <v>14</v>
      </c>
      <c r="T215" s="56"/>
      <c r="U215" s="228" t="s">
        <v>76</v>
      </c>
      <c r="V215" s="49"/>
      <c r="W215" s="225" t="s">
        <v>76</v>
      </c>
      <c r="X215" s="78"/>
      <c r="Y215" s="25"/>
      <c r="Z215" s="93"/>
      <c r="AA215" s="174"/>
      <c r="AC215" s="40"/>
    </row>
    <row r="216" spans="1:29" ht="49.5" hidden="1">
      <c r="A216" s="88">
        <v>206</v>
      </c>
      <c r="B216" s="79" t="s">
        <v>1325</v>
      </c>
      <c r="C216" s="148" t="s">
        <v>8</v>
      </c>
      <c r="D216" s="80" t="s">
        <v>178</v>
      </c>
      <c r="E216" s="91" t="s">
        <v>523</v>
      </c>
      <c r="F216" s="80" t="s">
        <v>109</v>
      </c>
      <c r="G216" s="81" t="s">
        <v>180</v>
      </c>
      <c r="H216" s="80" t="s">
        <v>524</v>
      </c>
      <c r="I216" s="83">
        <v>45474</v>
      </c>
      <c r="J216" s="80" t="s">
        <v>525</v>
      </c>
      <c r="K216" s="80" t="s">
        <v>146</v>
      </c>
      <c r="L216" s="84" t="s">
        <v>300</v>
      </c>
      <c r="M216" s="84" t="s">
        <v>148</v>
      </c>
      <c r="N216" s="84" t="s">
        <v>72</v>
      </c>
      <c r="O216" s="85" t="s">
        <v>1326</v>
      </c>
      <c r="P216" s="85" t="s">
        <v>1327</v>
      </c>
      <c r="Q216" s="49" t="s">
        <v>91</v>
      </c>
      <c r="R216" s="25"/>
      <c r="S216" s="56">
        <v>17</v>
      </c>
      <c r="T216" s="56"/>
      <c r="U216" s="228" t="s">
        <v>1328</v>
      </c>
      <c r="V216" s="62"/>
      <c r="W216" s="225" t="s">
        <v>76</v>
      </c>
      <c r="X216" s="78"/>
      <c r="Y216" s="25"/>
      <c r="Z216" s="93" t="s">
        <v>193</v>
      </c>
      <c r="AA216" s="174"/>
      <c r="AC216" s="40"/>
    </row>
    <row r="217" spans="1:29" ht="174" hidden="1" customHeight="1">
      <c r="A217" s="88">
        <v>207</v>
      </c>
      <c r="B217" s="79" t="s">
        <v>1329</v>
      </c>
      <c r="C217" s="148" t="s">
        <v>8</v>
      </c>
      <c r="D217" s="80" t="s">
        <v>178</v>
      </c>
      <c r="E217" s="91" t="s">
        <v>523</v>
      </c>
      <c r="F217" s="80" t="s">
        <v>109</v>
      </c>
      <c r="G217" s="81" t="s">
        <v>180</v>
      </c>
      <c r="H217" s="80" t="s">
        <v>524</v>
      </c>
      <c r="I217" s="83">
        <v>45474</v>
      </c>
      <c r="J217" s="80" t="s">
        <v>145</v>
      </c>
      <c r="K217" s="80" t="s">
        <v>146</v>
      </c>
      <c r="L217" s="84" t="s">
        <v>147</v>
      </c>
      <c r="M217" s="84" t="s">
        <v>148</v>
      </c>
      <c r="N217" s="84" t="s">
        <v>72</v>
      </c>
      <c r="O217" s="85" t="s">
        <v>1330</v>
      </c>
      <c r="P217" s="85" t="s">
        <v>1331</v>
      </c>
      <c r="Q217" s="49" t="s">
        <v>75</v>
      </c>
      <c r="R217" s="25" t="s">
        <v>91</v>
      </c>
      <c r="S217" s="56">
        <v>19</v>
      </c>
      <c r="T217" s="56">
        <v>63</v>
      </c>
      <c r="U217" s="228" t="s">
        <v>1332</v>
      </c>
      <c r="V217" s="62"/>
      <c r="W217" s="225" t="s">
        <v>76</v>
      </c>
      <c r="X217" s="78" t="s">
        <v>78</v>
      </c>
      <c r="Y217" s="25"/>
      <c r="Z217" s="93" t="s">
        <v>93</v>
      </c>
      <c r="AA217" s="174"/>
      <c r="AC217" s="40"/>
    </row>
    <row r="218" spans="1:29" ht="66" hidden="1" customHeight="1">
      <c r="A218" s="88">
        <v>208</v>
      </c>
      <c r="B218" s="79" t="e">
        <v>#N/A</v>
      </c>
      <c r="C218" s="148" t="s">
        <v>8</v>
      </c>
      <c r="D218" s="80" t="s">
        <v>83</v>
      </c>
      <c r="E218" s="91" t="s">
        <v>518</v>
      </c>
      <c r="F218" s="80" t="s">
        <v>65</v>
      </c>
      <c r="G218" s="81" t="s">
        <v>477</v>
      </c>
      <c r="H218" s="80" t="s">
        <v>519</v>
      </c>
      <c r="I218" s="83">
        <v>45474</v>
      </c>
      <c r="J218" s="80" t="s">
        <v>170</v>
      </c>
      <c r="K218" s="80" t="s">
        <v>156</v>
      </c>
      <c r="L218" s="84" t="s">
        <v>171</v>
      </c>
      <c r="M218" s="84" t="s">
        <v>71</v>
      </c>
      <c r="N218" s="84"/>
      <c r="O218" s="255" t="s">
        <v>1333</v>
      </c>
      <c r="P218" s="255" t="s">
        <v>1334</v>
      </c>
      <c r="Q218" s="49" t="s">
        <v>75</v>
      </c>
      <c r="R218" s="25" t="s">
        <v>91</v>
      </c>
      <c r="S218" s="26">
        <v>21</v>
      </c>
      <c r="T218" s="26">
        <v>69</v>
      </c>
      <c r="U218" s="228" t="s">
        <v>1335</v>
      </c>
      <c r="V218" s="62"/>
      <c r="W218" s="229" t="s">
        <v>76</v>
      </c>
      <c r="X218" s="78" t="s">
        <v>78</v>
      </c>
      <c r="Y218" s="26" t="s">
        <v>76</v>
      </c>
      <c r="Z218" s="256" t="s">
        <v>93</v>
      </c>
      <c r="AA218" s="257" t="s">
        <v>76</v>
      </c>
      <c r="AB218" s="26"/>
      <c r="AC218" s="44"/>
    </row>
    <row r="219" spans="1:29" ht="107.25" hidden="1" customHeight="1">
      <c r="A219" s="88">
        <v>209</v>
      </c>
      <c r="B219" s="79" t="s">
        <v>1336</v>
      </c>
      <c r="C219" s="148" t="s">
        <v>8</v>
      </c>
      <c r="D219" s="80" t="s">
        <v>63</v>
      </c>
      <c r="E219" s="91" t="s">
        <v>1337</v>
      </c>
      <c r="F219" s="80" t="s">
        <v>65</v>
      </c>
      <c r="G219" s="81" t="s">
        <v>440</v>
      </c>
      <c r="H219" s="80" t="s">
        <v>1338</v>
      </c>
      <c r="I219" s="83">
        <v>45474</v>
      </c>
      <c r="J219" s="80" t="s">
        <v>250</v>
      </c>
      <c r="K219" s="80" t="s">
        <v>491</v>
      </c>
      <c r="L219" s="84" t="s">
        <v>251</v>
      </c>
      <c r="M219" s="84" t="s">
        <v>252</v>
      </c>
      <c r="N219" s="84" t="s">
        <v>253</v>
      </c>
      <c r="O219" s="28" t="s">
        <v>1339</v>
      </c>
      <c r="P219" s="28" t="s">
        <v>1340</v>
      </c>
      <c r="Q219" s="49" t="s">
        <v>91</v>
      </c>
      <c r="R219" s="25"/>
      <c r="S219" s="26">
        <v>16</v>
      </c>
      <c r="T219" s="26" t="s">
        <v>76</v>
      </c>
      <c r="U219" s="228" t="s">
        <v>1341</v>
      </c>
      <c r="V219" s="66"/>
      <c r="W219" s="225" t="s">
        <v>76</v>
      </c>
      <c r="X219" s="106" t="s">
        <v>76</v>
      </c>
      <c r="Y219" s="26" t="s">
        <v>76</v>
      </c>
      <c r="Z219" s="75" t="s">
        <v>193</v>
      </c>
      <c r="AA219" s="30" t="s">
        <v>76</v>
      </c>
      <c r="AB219" s="26"/>
      <c r="AC219" s="44"/>
    </row>
    <row r="220" spans="1:29" ht="138.75" hidden="1" customHeight="1">
      <c r="A220" s="88">
        <v>210</v>
      </c>
      <c r="B220" s="79" t="s">
        <v>1342</v>
      </c>
      <c r="C220" s="258" t="s">
        <v>237</v>
      </c>
      <c r="D220" s="80" t="s">
        <v>83</v>
      </c>
      <c r="E220" s="125" t="s">
        <v>1343</v>
      </c>
      <c r="F220" s="80" t="s">
        <v>1344</v>
      </c>
      <c r="G220" s="81" t="s">
        <v>239</v>
      </c>
      <c r="H220" s="80" t="s">
        <v>1345</v>
      </c>
      <c r="I220" s="83">
        <v>45474</v>
      </c>
      <c r="J220" s="80" t="s">
        <v>1346</v>
      </c>
      <c r="K220" s="80" t="s">
        <v>69</v>
      </c>
      <c r="L220" s="84" t="s">
        <v>70</v>
      </c>
      <c r="M220" s="84" t="s">
        <v>114</v>
      </c>
      <c r="N220" s="84" t="s">
        <v>72</v>
      </c>
      <c r="O220" s="28" t="s">
        <v>1347</v>
      </c>
      <c r="P220" s="28" t="s">
        <v>1348</v>
      </c>
      <c r="Q220" s="49" t="s">
        <v>75</v>
      </c>
      <c r="R220" s="25" t="s">
        <v>91</v>
      </c>
      <c r="S220" s="26">
        <v>22</v>
      </c>
      <c r="T220" s="26">
        <v>59</v>
      </c>
      <c r="U220" s="228" t="s">
        <v>1349</v>
      </c>
      <c r="V220" s="66"/>
      <c r="W220" s="225" t="s">
        <v>76</v>
      </c>
      <c r="X220" s="78" t="s">
        <v>78</v>
      </c>
      <c r="Y220" s="26" t="s">
        <v>76</v>
      </c>
      <c r="Z220" s="75" t="s">
        <v>93</v>
      </c>
      <c r="AA220" s="53" t="s">
        <v>76</v>
      </c>
      <c r="AB220" s="26"/>
      <c r="AC220" s="44"/>
    </row>
    <row r="221" spans="1:29" ht="132" hidden="1">
      <c r="A221" s="88">
        <v>211</v>
      </c>
      <c r="B221" s="79" t="s">
        <v>1350</v>
      </c>
      <c r="C221" s="148" t="s">
        <v>237</v>
      </c>
      <c r="D221" s="80" t="s">
        <v>83</v>
      </c>
      <c r="E221" s="91" t="s">
        <v>1351</v>
      </c>
      <c r="F221" s="80" t="s">
        <v>1352</v>
      </c>
      <c r="G221" s="81" t="s">
        <v>239</v>
      </c>
      <c r="H221" s="80" t="s">
        <v>1353</v>
      </c>
      <c r="I221" s="83">
        <v>45474</v>
      </c>
      <c r="J221" s="80" t="s">
        <v>341</v>
      </c>
      <c r="K221" s="80" t="s">
        <v>69</v>
      </c>
      <c r="L221" s="84" t="s">
        <v>70</v>
      </c>
      <c r="M221" s="84" t="s">
        <v>252</v>
      </c>
      <c r="N221" s="84" t="s">
        <v>72</v>
      </c>
      <c r="O221" s="28" t="s">
        <v>1354</v>
      </c>
      <c r="P221" s="28" t="s">
        <v>1355</v>
      </c>
      <c r="Q221" s="49" t="s">
        <v>75</v>
      </c>
      <c r="R221" s="25" t="s">
        <v>91</v>
      </c>
      <c r="S221" s="26">
        <v>23</v>
      </c>
      <c r="T221" s="26">
        <v>61</v>
      </c>
      <c r="U221" s="228" t="s">
        <v>1356</v>
      </c>
      <c r="V221" s="66"/>
      <c r="W221" s="225" t="s">
        <v>76</v>
      </c>
      <c r="X221" s="78" t="s">
        <v>78</v>
      </c>
      <c r="Y221" s="26" t="s">
        <v>76</v>
      </c>
      <c r="Z221" s="75" t="s">
        <v>93</v>
      </c>
      <c r="AA221" s="53" t="s">
        <v>76</v>
      </c>
      <c r="AB221" s="26"/>
      <c r="AC221" s="44"/>
    </row>
    <row r="222" spans="1:29" ht="173.25" hidden="1" customHeight="1">
      <c r="A222" s="88">
        <v>212</v>
      </c>
      <c r="B222" s="79" t="s">
        <v>1357</v>
      </c>
      <c r="C222" s="148" t="s">
        <v>237</v>
      </c>
      <c r="D222" s="80" t="s">
        <v>83</v>
      </c>
      <c r="E222" s="91" t="s">
        <v>1351</v>
      </c>
      <c r="F222" s="80" t="s">
        <v>1352</v>
      </c>
      <c r="G222" s="81" t="s">
        <v>239</v>
      </c>
      <c r="H222" s="80" t="s">
        <v>1353</v>
      </c>
      <c r="I222" s="83">
        <v>45474</v>
      </c>
      <c r="J222" s="80" t="s">
        <v>341</v>
      </c>
      <c r="K222" s="80" t="s">
        <v>69</v>
      </c>
      <c r="L222" s="84" t="s">
        <v>70</v>
      </c>
      <c r="M222" s="84" t="s">
        <v>252</v>
      </c>
      <c r="N222" s="84" t="s">
        <v>72</v>
      </c>
      <c r="O222" s="28" t="s">
        <v>1358</v>
      </c>
      <c r="P222" s="28" t="s">
        <v>1359</v>
      </c>
      <c r="Q222" s="49" t="s">
        <v>91</v>
      </c>
      <c r="R222" s="25"/>
      <c r="S222" s="26">
        <v>17</v>
      </c>
      <c r="T222" s="26"/>
      <c r="U222" s="228" t="s">
        <v>1360</v>
      </c>
      <c r="V222" s="66"/>
      <c r="W222" s="225" t="s">
        <v>76</v>
      </c>
      <c r="X222" s="106" t="s">
        <v>76</v>
      </c>
      <c r="Y222" s="26" t="s">
        <v>76</v>
      </c>
      <c r="Z222" s="75" t="s">
        <v>193</v>
      </c>
      <c r="AA222" s="53" t="s">
        <v>76</v>
      </c>
      <c r="AB222" s="26"/>
      <c r="AC222" s="44"/>
    </row>
    <row r="223" spans="1:29" ht="145.5" hidden="1" customHeight="1">
      <c r="A223" s="88">
        <v>213</v>
      </c>
      <c r="B223" s="79" t="s">
        <v>1361</v>
      </c>
      <c r="C223" s="148" t="s">
        <v>237</v>
      </c>
      <c r="D223" s="80" t="s">
        <v>83</v>
      </c>
      <c r="E223" s="91" t="s">
        <v>1362</v>
      </c>
      <c r="F223" s="80" t="s">
        <v>284</v>
      </c>
      <c r="G223" s="81" t="s">
        <v>239</v>
      </c>
      <c r="H223" s="80" t="s">
        <v>1363</v>
      </c>
      <c r="I223" s="83">
        <v>45474</v>
      </c>
      <c r="J223" s="80" t="s">
        <v>341</v>
      </c>
      <c r="K223" s="80" t="s">
        <v>69</v>
      </c>
      <c r="L223" s="84" t="s">
        <v>70</v>
      </c>
      <c r="M223" s="84" t="s">
        <v>252</v>
      </c>
      <c r="N223" s="84" t="s">
        <v>72</v>
      </c>
      <c r="O223" s="28" t="s">
        <v>1364</v>
      </c>
      <c r="P223" s="28" t="s">
        <v>1365</v>
      </c>
      <c r="Q223" s="49" t="s">
        <v>75</v>
      </c>
      <c r="R223" s="25" t="s">
        <v>75</v>
      </c>
      <c r="S223" s="26">
        <v>25</v>
      </c>
      <c r="T223" s="26">
        <v>79</v>
      </c>
      <c r="U223" s="228"/>
      <c r="V223" s="221" t="s">
        <v>75</v>
      </c>
      <c r="W223" s="225" t="s">
        <v>425</v>
      </c>
      <c r="X223" s="78" t="s">
        <v>78</v>
      </c>
      <c r="Y223" s="106" t="s">
        <v>516</v>
      </c>
      <c r="Z223" s="75" t="s">
        <v>106</v>
      </c>
      <c r="AA223" s="53" t="s">
        <v>76</v>
      </c>
      <c r="AB223" s="26"/>
      <c r="AC223" s="44"/>
    </row>
    <row r="224" spans="1:29" ht="66" hidden="1">
      <c r="A224" s="88">
        <v>214</v>
      </c>
      <c r="B224" s="79" t="s">
        <v>1366</v>
      </c>
      <c r="C224" s="148" t="s">
        <v>237</v>
      </c>
      <c r="D224" s="80" t="s">
        <v>63</v>
      </c>
      <c r="E224" s="91" t="s">
        <v>1367</v>
      </c>
      <c r="F224" s="80" t="s">
        <v>65</v>
      </c>
      <c r="G224" s="81" t="s">
        <v>1368</v>
      </c>
      <c r="H224" s="80" t="s">
        <v>1369</v>
      </c>
      <c r="I224" s="83">
        <v>45474</v>
      </c>
      <c r="J224" s="80" t="s">
        <v>298</v>
      </c>
      <c r="K224" s="80" t="s">
        <v>299</v>
      </c>
      <c r="L224" s="84" t="s">
        <v>300</v>
      </c>
      <c r="M224" s="84" t="s">
        <v>252</v>
      </c>
      <c r="N224" s="84" t="s">
        <v>72</v>
      </c>
      <c r="O224" s="28" t="s">
        <v>1370</v>
      </c>
      <c r="P224" s="28" t="s">
        <v>1371</v>
      </c>
      <c r="Q224" s="49" t="s">
        <v>91</v>
      </c>
      <c r="R224" s="25"/>
      <c r="S224" s="26">
        <v>14</v>
      </c>
      <c r="T224" s="26" t="s">
        <v>76</v>
      </c>
      <c r="U224" s="228" t="s">
        <v>1372</v>
      </c>
      <c r="V224" s="66"/>
      <c r="W224" s="225" t="s">
        <v>76</v>
      </c>
      <c r="X224" s="106" t="s">
        <v>76</v>
      </c>
      <c r="Y224" s="26" t="s">
        <v>76</v>
      </c>
      <c r="Z224" s="75" t="s">
        <v>193</v>
      </c>
      <c r="AA224" s="53" t="s">
        <v>76</v>
      </c>
      <c r="AB224" s="26"/>
      <c r="AC224" s="44"/>
    </row>
    <row r="225" spans="1:29" ht="162" hidden="1" customHeight="1">
      <c r="A225" s="88">
        <v>215</v>
      </c>
      <c r="B225" s="79" t="s">
        <v>1373</v>
      </c>
      <c r="C225" s="148" t="s">
        <v>399</v>
      </c>
      <c r="D225" s="80" t="s">
        <v>83</v>
      </c>
      <c r="E225" s="259" t="s">
        <v>1374</v>
      </c>
      <c r="F225" s="80" t="s">
        <v>120</v>
      </c>
      <c r="G225" s="81" t="s">
        <v>1375</v>
      </c>
      <c r="H225" s="80" t="s">
        <v>1376</v>
      </c>
      <c r="I225" s="83">
        <v>45474</v>
      </c>
      <c r="J225" s="80" t="s">
        <v>145</v>
      </c>
      <c r="K225" s="80" t="s">
        <v>146</v>
      </c>
      <c r="L225" s="84" t="s">
        <v>147</v>
      </c>
      <c r="M225" s="84" t="s">
        <v>148</v>
      </c>
      <c r="N225" s="84" t="s">
        <v>72</v>
      </c>
      <c r="O225" s="165" t="s">
        <v>1377</v>
      </c>
      <c r="P225" s="85" t="s">
        <v>1378</v>
      </c>
      <c r="Q225" s="49" t="s">
        <v>75</v>
      </c>
      <c r="R225" s="25" t="s">
        <v>75</v>
      </c>
      <c r="S225" s="56">
        <v>25</v>
      </c>
      <c r="T225" s="76">
        <v>79</v>
      </c>
      <c r="U225" s="228"/>
      <c r="V225" s="221" t="s">
        <v>75</v>
      </c>
      <c r="W225" s="225" t="s">
        <v>77</v>
      </c>
      <c r="X225" s="78" t="s">
        <v>78</v>
      </c>
      <c r="Y225" s="78" t="s">
        <v>78</v>
      </c>
      <c r="Z225" s="93" t="s">
        <v>79</v>
      </c>
      <c r="AA225" s="174"/>
      <c r="AC225" s="40"/>
    </row>
    <row r="226" spans="1:29" ht="300.75" hidden="1" customHeight="1">
      <c r="A226" s="88">
        <v>216</v>
      </c>
      <c r="B226" s="79" t="s">
        <v>1379</v>
      </c>
      <c r="C226" s="148" t="s">
        <v>399</v>
      </c>
      <c r="D226" s="80" t="s">
        <v>83</v>
      </c>
      <c r="E226" s="27" t="s">
        <v>1374</v>
      </c>
      <c r="F226" s="80" t="s">
        <v>120</v>
      </c>
      <c r="G226" s="81" t="s">
        <v>1375</v>
      </c>
      <c r="H226" s="80" t="s">
        <v>1376</v>
      </c>
      <c r="I226" s="83">
        <v>45474</v>
      </c>
      <c r="J226" s="80" t="s">
        <v>250</v>
      </c>
      <c r="K226" s="80" t="s">
        <v>491</v>
      </c>
      <c r="L226" s="84" t="s">
        <v>251</v>
      </c>
      <c r="M226" s="84" t="s">
        <v>252</v>
      </c>
      <c r="N226" s="84" t="s">
        <v>310</v>
      </c>
      <c r="O226" s="85" t="s">
        <v>1380</v>
      </c>
      <c r="P226" s="85" t="s">
        <v>1381</v>
      </c>
      <c r="Q226" s="49" t="s">
        <v>75</v>
      </c>
      <c r="R226" s="25" t="s">
        <v>91</v>
      </c>
      <c r="S226" s="56">
        <v>22</v>
      </c>
      <c r="T226" s="56" t="s">
        <v>303</v>
      </c>
      <c r="U226" s="228" t="s">
        <v>1382</v>
      </c>
      <c r="V226" s="62"/>
      <c r="W226" s="225" t="s">
        <v>76</v>
      </c>
      <c r="X226" s="78" t="s">
        <v>78</v>
      </c>
      <c r="Y226" s="25"/>
      <c r="Z226" s="93" t="s">
        <v>93</v>
      </c>
      <c r="AA226" s="87"/>
      <c r="AC226" s="40"/>
    </row>
    <row r="227" spans="1:29" ht="75.75" hidden="1" customHeight="1">
      <c r="A227" s="88">
        <v>217</v>
      </c>
      <c r="B227" s="79" t="s">
        <v>1383</v>
      </c>
      <c r="C227" s="148" t="s">
        <v>399</v>
      </c>
      <c r="D227" s="80" t="s">
        <v>83</v>
      </c>
      <c r="E227" s="27" t="s">
        <v>1374</v>
      </c>
      <c r="F227" s="80" t="s">
        <v>120</v>
      </c>
      <c r="G227" s="81" t="s">
        <v>1375</v>
      </c>
      <c r="H227" s="80" t="s">
        <v>1376</v>
      </c>
      <c r="I227" s="83">
        <v>45474</v>
      </c>
      <c r="J227" s="80" t="s">
        <v>145</v>
      </c>
      <c r="K227" s="80" t="s">
        <v>146</v>
      </c>
      <c r="L227" s="84" t="s">
        <v>147</v>
      </c>
      <c r="M227" s="84" t="s">
        <v>148</v>
      </c>
      <c r="N227" s="84" t="s">
        <v>72</v>
      </c>
      <c r="O227" s="85" t="s">
        <v>1384</v>
      </c>
      <c r="P227" s="85" t="s">
        <v>1385</v>
      </c>
      <c r="Q227" s="49" t="s">
        <v>75</v>
      </c>
      <c r="R227" s="25" t="s">
        <v>91</v>
      </c>
      <c r="S227" s="56">
        <v>22</v>
      </c>
      <c r="T227" s="56">
        <v>56</v>
      </c>
      <c r="U227" s="228" t="s">
        <v>1386</v>
      </c>
      <c r="V227" s="49"/>
      <c r="W227" s="225" t="s">
        <v>76</v>
      </c>
      <c r="X227" s="78" t="s">
        <v>78</v>
      </c>
      <c r="Y227" s="25"/>
      <c r="Z227" s="93" t="s">
        <v>93</v>
      </c>
      <c r="AA227" s="174"/>
      <c r="AC227" s="40"/>
    </row>
    <row r="228" spans="1:29" ht="135" hidden="1" customHeight="1">
      <c r="A228" s="88">
        <v>218</v>
      </c>
      <c r="B228" s="79" t="s">
        <v>1387</v>
      </c>
      <c r="C228" s="148" t="s">
        <v>399</v>
      </c>
      <c r="D228" s="80" t="s">
        <v>83</v>
      </c>
      <c r="E228" s="27" t="s">
        <v>1374</v>
      </c>
      <c r="F228" s="80" t="s">
        <v>120</v>
      </c>
      <c r="G228" s="81" t="s">
        <v>1375</v>
      </c>
      <c r="H228" s="80" t="s">
        <v>1376</v>
      </c>
      <c r="I228" s="83">
        <v>45474</v>
      </c>
      <c r="J228" s="80" t="s">
        <v>1144</v>
      </c>
      <c r="K228" s="80" t="s">
        <v>558</v>
      </c>
      <c r="L228" s="84" t="s">
        <v>189</v>
      </c>
      <c r="M228" s="84" t="s">
        <v>148</v>
      </c>
      <c r="N228" s="84" t="s">
        <v>72</v>
      </c>
      <c r="O228" s="85" t="s">
        <v>1388</v>
      </c>
      <c r="P228" s="85" t="s">
        <v>1389</v>
      </c>
      <c r="Q228" s="49" t="s">
        <v>75</v>
      </c>
      <c r="R228" s="25" t="s">
        <v>91</v>
      </c>
      <c r="S228" s="56">
        <v>19</v>
      </c>
      <c r="T228" s="56">
        <v>61</v>
      </c>
      <c r="U228" s="228" t="s">
        <v>1390</v>
      </c>
      <c r="V228" s="62"/>
      <c r="W228" s="225" t="s">
        <v>76</v>
      </c>
      <c r="X228" s="78" t="s">
        <v>78</v>
      </c>
      <c r="Y228" s="25"/>
      <c r="Z228" s="93" t="s">
        <v>93</v>
      </c>
      <c r="AA228" s="174"/>
      <c r="AC228" s="40"/>
    </row>
    <row r="229" spans="1:29" ht="71.25" hidden="1" customHeight="1">
      <c r="A229" s="88">
        <v>219</v>
      </c>
      <c r="B229" s="79" t="s">
        <v>1391</v>
      </c>
      <c r="C229" s="148" t="s">
        <v>399</v>
      </c>
      <c r="D229" s="80" t="s">
        <v>83</v>
      </c>
      <c r="E229" s="27" t="s">
        <v>1374</v>
      </c>
      <c r="F229" s="80" t="s">
        <v>120</v>
      </c>
      <c r="G229" s="81" t="s">
        <v>1375</v>
      </c>
      <c r="H229" s="80" t="s">
        <v>1376</v>
      </c>
      <c r="I229" s="83">
        <v>45474</v>
      </c>
      <c r="J229" s="80" t="s">
        <v>145</v>
      </c>
      <c r="K229" s="80" t="s">
        <v>146</v>
      </c>
      <c r="L229" s="84" t="s">
        <v>147</v>
      </c>
      <c r="M229" s="84" t="s">
        <v>148</v>
      </c>
      <c r="N229" s="84" t="s">
        <v>72</v>
      </c>
      <c r="O229" s="85" t="s">
        <v>1392</v>
      </c>
      <c r="P229" s="85" t="s">
        <v>1393</v>
      </c>
      <c r="Q229" s="49" t="s">
        <v>75</v>
      </c>
      <c r="R229" s="25" t="s">
        <v>91</v>
      </c>
      <c r="S229" s="56">
        <v>27</v>
      </c>
      <c r="T229" s="76" t="s">
        <v>1394</v>
      </c>
      <c r="U229" s="228" t="s">
        <v>1395</v>
      </c>
      <c r="V229" s="62"/>
      <c r="W229" s="225" t="s">
        <v>76</v>
      </c>
      <c r="X229" s="78" t="s">
        <v>78</v>
      </c>
      <c r="Y229" s="25"/>
      <c r="Z229" s="93" t="s">
        <v>93</v>
      </c>
      <c r="AA229" s="174"/>
      <c r="AC229" s="40"/>
    </row>
    <row r="230" spans="1:29" ht="33" hidden="1">
      <c r="A230" s="88">
        <v>220</v>
      </c>
      <c r="B230" s="79" t="s">
        <v>1396</v>
      </c>
      <c r="C230" s="148" t="s">
        <v>8</v>
      </c>
      <c r="D230" s="80" t="s">
        <v>63</v>
      </c>
      <c r="E230" s="27" t="s">
        <v>1397</v>
      </c>
      <c r="F230" s="80" t="s">
        <v>109</v>
      </c>
      <c r="G230" s="81" t="s">
        <v>1398</v>
      </c>
      <c r="H230" s="80" t="s">
        <v>1399</v>
      </c>
      <c r="I230" s="83">
        <v>45474</v>
      </c>
      <c r="J230" s="80" t="s">
        <v>1400</v>
      </c>
      <c r="K230" s="80" t="s">
        <v>1401</v>
      </c>
      <c r="L230" s="84" t="s">
        <v>189</v>
      </c>
      <c r="M230" s="84" t="s">
        <v>601</v>
      </c>
      <c r="N230" s="84" t="s">
        <v>72</v>
      </c>
      <c r="O230" s="85" t="s">
        <v>1402</v>
      </c>
      <c r="P230" s="85" t="s">
        <v>1403</v>
      </c>
      <c r="Q230" s="49" t="s">
        <v>75</v>
      </c>
      <c r="R230" s="25" t="s">
        <v>75</v>
      </c>
      <c r="S230" s="56">
        <v>23</v>
      </c>
      <c r="T230" s="56">
        <v>79</v>
      </c>
      <c r="U230" s="228"/>
      <c r="V230" s="221" t="s">
        <v>75</v>
      </c>
      <c r="W230" s="225" t="s">
        <v>305</v>
      </c>
      <c r="X230" s="78" t="s">
        <v>78</v>
      </c>
      <c r="Y230" s="25"/>
      <c r="Z230" s="93" t="s">
        <v>106</v>
      </c>
      <c r="AA230" s="174"/>
      <c r="AC230" s="40"/>
    </row>
    <row r="231" spans="1:29" ht="66" hidden="1">
      <c r="A231" s="88">
        <v>221</v>
      </c>
      <c r="B231" s="79" t="s">
        <v>1404</v>
      </c>
      <c r="C231" s="148" t="s">
        <v>8</v>
      </c>
      <c r="D231" s="80" t="s">
        <v>63</v>
      </c>
      <c r="E231" s="27" t="s">
        <v>1405</v>
      </c>
      <c r="F231" s="80" t="s">
        <v>109</v>
      </c>
      <c r="G231" s="81" t="s">
        <v>1406</v>
      </c>
      <c r="H231" s="80" t="s">
        <v>1407</v>
      </c>
      <c r="I231" s="83">
        <v>45474</v>
      </c>
      <c r="J231" s="80" t="s">
        <v>170</v>
      </c>
      <c r="K231" s="80" t="s">
        <v>156</v>
      </c>
      <c r="L231" s="84" t="s">
        <v>171</v>
      </c>
      <c r="M231" s="84" t="s">
        <v>71</v>
      </c>
      <c r="N231" s="84" t="s">
        <v>72</v>
      </c>
      <c r="O231" s="85" t="s">
        <v>1408</v>
      </c>
      <c r="P231" s="85" t="s">
        <v>1409</v>
      </c>
      <c r="Q231" s="49" t="s">
        <v>75</v>
      </c>
      <c r="R231" s="25" t="s">
        <v>91</v>
      </c>
      <c r="S231" s="56">
        <v>19</v>
      </c>
      <c r="T231" s="56">
        <v>67</v>
      </c>
      <c r="U231" s="260" t="s">
        <v>1410</v>
      </c>
      <c r="V231" s="62"/>
      <c r="W231" s="225" t="s">
        <v>76</v>
      </c>
      <c r="X231" s="78" t="s">
        <v>78</v>
      </c>
      <c r="Y231" s="25"/>
      <c r="Z231" s="93" t="s">
        <v>93</v>
      </c>
      <c r="AA231" s="174"/>
      <c r="AC231" s="40"/>
    </row>
    <row r="232" spans="1:29" ht="66" hidden="1">
      <c r="A232" s="88">
        <v>222</v>
      </c>
      <c r="B232" s="79" t="s">
        <v>1411</v>
      </c>
      <c r="C232" s="148" t="s">
        <v>8</v>
      </c>
      <c r="D232" s="80" t="s">
        <v>63</v>
      </c>
      <c r="E232" s="126" t="s">
        <v>1412</v>
      </c>
      <c r="F232" s="80" t="s">
        <v>109</v>
      </c>
      <c r="G232" s="81" t="s">
        <v>1413</v>
      </c>
      <c r="H232" s="80" t="s">
        <v>1414</v>
      </c>
      <c r="I232" s="83">
        <v>45474</v>
      </c>
      <c r="J232" s="80" t="s">
        <v>98</v>
      </c>
      <c r="K232" s="80" t="s">
        <v>99</v>
      </c>
      <c r="L232" s="84" t="s">
        <v>100</v>
      </c>
      <c r="M232" s="84" t="s">
        <v>101</v>
      </c>
      <c r="N232" s="84" t="s">
        <v>72</v>
      </c>
      <c r="O232" s="85" t="s">
        <v>1415</v>
      </c>
      <c r="P232" s="85" t="s">
        <v>1416</v>
      </c>
      <c r="Q232" s="49" t="s">
        <v>75</v>
      </c>
      <c r="R232" s="25" t="s">
        <v>91</v>
      </c>
      <c r="S232" s="56"/>
      <c r="T232" s="56" t="s">
        <v>303</v>
      </c>
      <c r="U232" s="261"/>
      <c r="V232" s="69"/>
      <c r="W232" s="225" t="s">
        <v>76</v>
      </c>
      <c r="X232" s="78" t="s">
        <v>78</v>
      </c>
      <c r="Y232" s="25"/>
      <c r="Z232" s="93" t="s">
        <v>93</v>
      </c>
      <c r="AA232" s="174"/>
      <c r="AC232" s="40"/>
    </row>
    <row r="233" spans="1:29" ht="115.5" hidden="1">
      <c r="A233" s="88">
        <v>223</v>
      </c>
      <c r="B233" s="79" t="s">
        <v>1417</v>
      </c>
      <c r="C233" s="148" t="s">
        <v>8</v>
      </c>
      <c r="D233" s="80" t="s">
        <v>63</v>
      </c>
      <c r="E233" s="259" t="s">
        <v>1418</v>
      </c>
      <c r="F233" s="80" t="s">
        <v>65</v>
      </c>
      <c r="G233" s="81" t="s">
        <v>1419</v>
      </c>
      <c r="H233" s="80" t="s">
        <v>1420</v>
      </c>
      <c r="I233" s="83">
        <v>45474</v>
      </c>
      <c r="J233" s="80" t="s">
        <v>663</v>
      </c>
      <c r="K233" s="80" t="s">
        <v>146</v>
      </c>
      <c r="L233" s="84" t="s">
        <v>100</v>
      </c>
      <c r="M233" s="84" t="s">
        <v>595</v>
      </c>
      <c r="N233" s="84" t="s">
        <v>72</v>
      </c>
      <c r="O233" s="85" t="s">
        <v>1421</v>
      </c>
      <c r="P233" s="85" t="s">
        <v>1422</v>
      </c>
      <c r="Q233" s="49" t="s">
        <v>75</v>
      </c>
      <c r="R233" s="25" t="s">
        <v>91</v>
      </c>
      <c r="S233" s="56">
        <v>18</v>
      </c>
      <c r="T233" s="77">
        <v>60</v>
      </c>
      <c r="U233" s="262" t="s">
        <v>1423</v>
      </c>
      <c r="V233" s="62"/>
      <c r="W233" s="225" t="s">
        <v>76</v>
      </c>
      <c r="X233" s="78" t="s">
        <v>78</v>
      </c>
      <c r="Y233" s="25"/>
      <c r="Z233" s="93" t="s">
        <v>93</v>
      </c>
      <c r="AA233" s="174"/>
      <c r="AC233" s="40"/>
    </row>
    <row r="234" spans="1:29" ht="132" hidden="1">
      <c r="A234" s="88">
        <v>224</v>
      </c>
      <c r="B234" s="79" t="s">
        <v>1424</v>
      </c>
      <c r="C234" s="148" t="s">
        <v>8</v>
      </c>
      <c r="D234" s="80" t="s">
        <v>178</v>
      </c>
      <c r="E234" s="27" t="s">
        <v>1425</v>
      </c>
      <c r="F234" s="80" t="s">
        <v>120</v>
      </c>
      <c r="G234" s="81" t="s">
        <v>180</v>
      </c>
      <c r="H234" s="80" t="s">
        <v>196</v>
      </c>
      <c r="I234" s="83">
        <v>45474</v>
      </c>
      <c r="J234" s="80" t="s">
        <v>657</v>
      </c>
      <c r="K234" s="80" t="s">
        <v>156</v>
      </c>
      <c r="L234" s="84" t="s">
        <v>189</v>
      </c>
      <c r="M234" s="84" t="s">
        <v>221</v>
      </c>
      <c r="N234" s="84" t="s">
        <v>72</v>
      </c>
      <c r="O234" s="85" t="s">
        <v>1426</v>
      </c>
      <c r="P234" s="85" t="s">
        <v>1427</v>
      </c>
      <c r="Q234" s="49" t="s">
        <v>75</v>
      </c>
      <c r="R234" s="25" t="s">
        <v>75</v>
      </c>
      <c r="S234" s="56">
        <v>19</v>
      </c>
      <c r="T234" s="56">
        <v>71</v>
      </c>
      <c r="U234" s="61" t="s">
        <v>1428</v>
      </c>
      <c r="V234" s="221" t="s">
        <v>75</v>
      </c>
      <c r="W234" s="225" t="s">
        <v>949</v>
      </c>
      <c r="X234" s="78" t="s">
        <v>78</v>
      </c>
      <c r="Y234" s="25"/>
      <c r="Z234" s="93" t="s">
        <v>79</v>
      </c>
      <c r="AA234" s="174"/>
      <c r="AC234" s="40"/>
    </row>
    <row r="235" spans="1:29" ht="49.5" hidden="1">
      <c r="A235" s="88">
        <v>225</v>
      </c>
      <c r="B235" s="79" t="s">
        <v>1429</v>
      </c>
      <c r="C235" s="148" t="s">
        <v>8</v>
      </c>
      <c r="D235" s="80" t="s">
        <v>63</v>
      </c>
      <c r="E235" s="27" t="s">
        <v>1430</v>
      </c>
      <c r="F235" s="80" t="s">
        <v>109</v>
      </c>
      <c r="G235" s="81" t="s">
        <v>1047</v>
      </c>
      <c r="H235" s="80" t="s">
        <v>1431</v>
      </c>
      <c r="I235" s="83">
        <v>45474</v>
      </c>
      <c r="J235" s="80" t="s">
        <v>745</v>
      </c>
      <c r="K235" s="80" t="s">
        <v>99</v>
      </c>
      <c r="L235" s="84" t="s">
        <v>100</v>
      </c>
      <c r="M235" s="84" t="s">
        <v>601</v>
      </c>
      <c r="N235" s="84" t="s">
        <v>72</v>
      </c>
      <c r="O235" s="85" t="s">
        <v>1432</v>
      </c>
      <c r="P235" s="85" t="s">
        <v>1433</v>
      </c>
      <c r="Q235" s="49" t="s">
        <v>75</v>
      </c>
      <c r="R235" s="25" t="s">
        <v>91</v>
      </c>
      <c r="S235" s="56"/>
      <c r="T235" s="76" t="s">
        <v>1434</v>
      </c>
      <c r="U235" s="261" t="s">
        <v>76</v>
      </c>
      <c r="V235" s="140"/>
      <c r="W235" s="225"/>
      <c r="X235" s="78" t="s">
        <v>78</v>
      </c>
      <c r="Y235" s="25"/>
      <c r="Z235" s="93" t="s">
        <v>93</v>
      </c>
      <c r="AA235" s="174"/>
      <c r="AC235" s="40"/>
    </row>
    <row r="236" spans="1:29" ht="33" hidden="1">
      <c r="A236" s="88">
        <v>226</v>
      </c>
      <c r="B236" s="79" t="s">
        <v>1435</v>
      </c>
      <c r="C236" s="148" t="s">
        <v>8</v>
      </c>
      <c r="D236" s="80" t="s">
        <v>63</v>
      </c>
      <c r="E236" s="27" t="s">
        <v>1430</v>
      </c>
      <c r="F236" s="80" t="s">
        <v>109</v>
      </c>
      <c r="G236" s="81" t="s">
        <v>1047</v>
      </c>
      <c r="H236" s="80" t="s">
        <v>1431</v>
      </c>
      <c r="I236" s="83">
        <v>45474</v>
      </c>
      <c r="J236" s="80" t="s">
        <v>657</v>
      </c>
      <c r="K236" s="80" t="s">
        <v>1401</v>
      </c>
      <c r="L236" s="84" t="s">
        <v>189</v>
      </c>
      <c r="M236" s="84" t="s">
        <v>221</v>
      </c>
      <c r="N236" s="84" t="s">
        <v>72</v>
      </c>
      <c r="O236" s="85" t="s">
        <v>1436</v>
      </c>
      <c r="P236" s="85" t="s">
        <v>1437</v>
      </c>
      <c r="Q236" s="49" t="s">
        <v>75</v>
      </c>
      <c r="R236" s="196" t="s">
        <v>91</v>
      </c>
      <c r="S236" s="56">
        <v>19</v>
      </c>
      <c r="T236" s="56">
        <v>70</v>
      </c>
      <c r="U236" s="227" t="s">
        <v>1438</v>
      </c>
      <c r="V236" s="221"/>
      <c r="W236" s="225"/>
      <c r="X236" s="78" t="s">
        <v>78</v>
      </c>
      <c r="Y236" s="25"/>
      <c r="Z236" s="93" t="s">
        <v>106</v>
      </c>
      <c r="AA236" s="174"/>
      <c r="AC236" s="40"/>
    </row>
    <row r="237" spans="1:29" ht="33" hidden="1">
      <c r="A237" s="88">
        <v>227</v>
      </c>
      <c r="B237" s="79" t="s">
        <v>1439</v>
      </c>
      <c r="C237" s="148" t="s">
        <v>8</v>
      </c>
      <c r="D237" s="80" t="s">
        <v>63</v>
      </c>
      <c r="E237" s="27" t="s">
        <v>1430</v>
      </c>
      <c r="F237" s="80" t="s">
        <v>109</v>
      </c>
      <c r="G237" s="81" t="s">
        <v>1047</v>
      </c>
      <c r="H237" s="80" t="s">
        <v>1431</v>
      </c>
      <c r="I237" s="83">
        <v>45474</v>
      </c>
      <c r="J237" s="80" t="s">
        <v>187</v>
      </c>
      <c r="K237" s="80" t="s">
        <v>188</v>
      </c>
      <c r="L237" s="84" t="s">
        <v>189</v>
      </c>
      <c r="M237" s="84" t="s">
        <v>114</v>
      </c>
      <c r="N237" s="84" t="s">
        <v>72</v>
      </c>
      <c r="O237" s="85" t="s">
        <v>1440</v>
      </c>
      <c r="P237" s="85" t="s">
        <v>1441</v>
      </c>
      <c r="Q237" s="49" t="s">
        <v>91</v>
      </c>
      <c r="R237" s="25"/>
      <c r="S237" s="56">
        <v>16</v>
      </c>
      <c r="T237" s="56" t="s">
        <v>76</v>
      </c>
      <c r="U237" s="228" t="s">
        <v>76</v>
      </c>
      <c r="V237" s="49"/>
      <c r="W237" s="225" t="s">
        <v>76</v>
      </c>
      <c r="X237" s="78"/>
      <c r="Y237" s="25"/>
      <c r="Z237" s="93"/>
      <c r="AA237" s="174"/>
      <c r="AC237" s="40"/>
    </row>
    <row r="238" spans="1:29" ht="33" hidden="1">
      <c r="A238" s="88">
        <v>228</v>
      </c>
      <c r="B238" s="79" t="s">
        <v>1442</v>
      </c>
      <c r="C238" s="148" t="s">
        <v>8</v>
      </c>
      <c r="D238" s="80" t="s">
        <v>63</v>
      </c>
      <c r="E238" s="27" t="s">
        <v>1430</v>
      </c>
      <c r="F238" s="80" t="s">
        <v>109</v>
      </c>
      <c r="G238" s="81" t="s">
        <v>1047</v>
      </c>
      <c r="H238" s="80" t="s">
        <v>1431</v>
      </c>
      <c r="I238" s="83">
        <v>45474</v>
      </c>
      <c r="J238" s="80" t="s">
        <v>187</v>
      </c>
      <c r="K238" s="80" t="s">
        <v>1267</v>
      </c>
      <c r="L238" s="84" t="s">
        <v>189</v>
      </c>
      <c r="M238" s="84" t="s">
        <v>114</v>
      </c>
      <c r="N238" s="84" t="s">
        <v>72</v>
      </c>
      <c r="O238" s="85" t="s">
        <v>1443</v>
      </c>
      <c r="P238" s="85" t="s">
        <v>1444</v>
      </c>
      <c r="Q238" s="49" t="s">
        <v>75</v>
      </c>
      <c r="R238" s="25" t="s">
        <v>91</v>
      </c>
      <c r="S238" s="56">
        <v>22</v>
      </c>
      <c r="T238" s="56">
        <v>66</v>
      </c>
      <c r="U238" s="227" t="s">
        <v>1445</v>
      </c>
      <c r="V238" s="73"/>
      <c r="W238" s="225" t="s">
        <v>76</v>
      </c>
      <c r="X238" s="78" t="s">
        <v>78</v>
      </c>
      <c r="Y238" s="25"/>
      <c r="Z238" s="93" t="s">
        <v>93</v>
      </c>
      <c r="AA238" s="174"/>
      <c r="AC238" s="40"/>
    </row>
    <row r="239" spans="1:29" ht="33" hidden="1">
      <c r="A239" s="88">
        <v>229</v>
      </c>
      <c r="B239" s="79" t="s">
        <v>1446</v>
      </c>
      <c r="C239" s="148" t="s">
        <v>8</v>
      </c>
      <c r="D239" s="80" t="s">
        <v>63</v>
      </c>
      <c r="E239" s="27" t="s">
        <v>1430</v>
      </c>
      <c r="F239" s="80" t="s">
        <v>109</v>
      </c>
      <c r="G239" s="81" t="s">
        <v>1047</v>
      </c>
      <c r="H239" s="80" t="s">
        <v>1431</v>
      </c>
      <c r="I239" s="83">
        <v>45474</v>
      </c>
      <c r="J239" s="80" t="s">
        <v>170</v>
      </c>
      <c r="K239" s="80" t="s">
        <v>156</v>
      </c>
      <c r="L239" s="84" t="s">
        <v>171</v>
      </c>
      <c r="M239" s="84" t="s">
        <v>71</v>
      </c>
      <c r="N239" s="84" t="s">
        <v>72</v>
      </c>
      <c r="O239" s="85" t="s">
        <v>1447</v>
      </c>
      <c r="P239" s="85" t="s">
        <v>1448</v>
      </c>
      <c r="Q239" s="49" t="s">
        <v>75</v>
      </c>
      <c r="R239" s="25" t="s">
        <v>91</v>
      </c>
      <c r="S239" s="56">
        <v>20</v>
      </c>
      <c r="T239" s="56">
        <v>66</v>
      </c>
      <c r="U239" s="228" t="s">
        <v>1449</v>
      </c>
      <c r="V239" s="49"/>
      <c r="W239" s="225"/>
      <c r="X239" s="78" t="s">
        <v>78</v>
      </c>
      <c r="Y239" s="25"/>
      <c r="Z239" s="93" t="s">
        <v>93</v>
      </c>
      <c r="AA239" s="174"/>
      <c r="AC239" s="40"/>
    </row>
    <row r="240" spans="1:29" ht="180.75" hidden="1">
      <c r="A240" s="88">
        <v>230</v>
      </c>
      <c r="B240" s="79" t="s">
        <v>1450</v>
      </c>
      <c r="C240" s="148" t="s">
        <v>8</v>
      </c>
      <c r="D240" s="80" t="s">
        <v>83</v>
      </c>
      <c r="E240" s="27" t="s">
        <v>378</v>
      </c>
      <c r="F240" s="80" t="s">
        <v>109</v>
      </c>
      <c r="G240" s="81" t="s">
        <v>339</v>
      </c>
      <c r="H240" s="80" t="s">
        <v>379</v>
      </c>
      <c r="I240" s="83">
        <v>45474</v>
      </c>
      <c r="J240" s="80" t="s">
        <v>250</v>
      </c>
      <c r="K240" s="80" t="s">
        <v>491</v>
      </c>
      <c r="L240" s="84" t="s">
        <v>251</v>
      </c>
      <c r="M240" s="84" t="s">
        <v>252</v>
      </c>
      <c r="N240" s="84" t="s">
        <v>253</v>
      </c>
      <c r="O240" s="85" t="s">
        <v>1451</v>
      </c>
      <c r="P240" s="85" t="s">
        <v>1452</v>
      </c>
      <c r="Q240" s="49" t="s">
        <v>91</v>
      </c>
      <c r="R240" s="25"/>
      <c r="S240" s="56">
        <v>14</v>
      </c>
      <c r="T240" s="56" t="s">
        <v>76</v>
      </c>
      <c r="U240" s="228" t="s">
        <v>727</v>
      </c>
      <c r="V240" s="62"/>
      <c r="W240" s="225" t="s">
        <v>76</v>
      </c>
      <c r="X240" s="78"/>
      <c r="Y240" s="25"/>
      <c r="Z240" s="93" t="s">
        <v>193</v>
      </c>
      <c r="AA240" s="87"/>
      <c r="AC240" s="40"/>
    </row>
    <row r="241" spans="1:29" ht="66" hidden="1">
      <c r="A241" s="88">
        <v>231</v>
      </c>
      <c r="B241" s="79" t="s">
        <v>1453</v>
      </c>
      <c r="C241" s="148" t="s">
        <v>8</v>
      </c>
      <c r="D241" s="80" t="s">
        <v>63</v>
      </c>
      <c r="E241" s="27" t="s">
        <v>1430</v>
      </c>
      <c r="F241" s="80" t="s">
        <v>109</v>
      </c>
      <c r="G241" s="81" t="s">
        <v>1047</v>
      </c>
      <c r="H241" s="80" t="s">
        <v>1431</v>
      </c>
      <c r="I241" s="83">
        <v>45474</v>
      </c>
      <c r="J241" s="80" t="s">
        <v>111</v>
      </c>
      <c r="K241" s="80" t="s">
        <v>112</v>
      </c>
      <c r="L241" s="84" t="s">
        <v>113</v>
      </c>
      <c r="M241" s="84" t="s">
        <v>114</v>
      </c>
      <c r="N241" s="84" t="s">
        <v>72</v>
      </c>
      <c r="O241" s="85" t="s">
        <v>1454</v>
      </c>
      <c r="P241" s="85" t="s">
        <v>1455</v>
      </c>
      <c r="Q241" s="49" t="s">
        <v>91</v>
      </c>
      <c r="R241" s="25"/>
      <c r="S241" s="56">
        <v>15</v>
      </c>
      <c r="T241" s="56"/>
      <c r="U241" s="227" t="s">
        <v>1456</v>
      </c>
      <c r="V241" s="73"/>
      <c r="W241" s="225" t="s">
        <v>76</v>
      </c>
      <c r="X241" s="78"/>
      <c r="Y241" s="25"/>
      <c r="Z241" s="93" t="s">
        <v>193</v>
      </c>
      <c r="AA241" s="174"/>
      <c r="AC241" s="40"/>
    </row>
    <row r="242" spans="1:29" ht="49.5" hidden="1">
      <c r="A242" s="88">
        <v>232</v>
      </c>
      <c r="B242" s="79" t="s">
        <v>1457</v>
      </c>
      <c r="C242" s="148" t="s">
        <v>8</v>
      </c>
      <c r="D242" s="80" t="s">
        <v>63</v>
      </c>
      <c r="E242" s="27" t="s">
        <v>1430</v>
      </c>
      <c r="F242" s="80" t="s">
        <v>109</v>
      </c>
      <c r="G242" s="81" t="s">
        <v>1047</v>
      </c>
      <c r="H242" s="80" t="s">
        <v>1431</v>
      </c>
      <c r="I242" s="83">
        <v>45474</v>
      </c>
      <c r="J242" s="80" t="s">
        <v>745</v>
      </c>
      <c r="K242" s="80" t="s">
        <v>99</v>
      </c>
      <c r="L242" s="84" t="s">
        <v>100</v>
      </c>
      <c r="M242" s="84" t="s">
        <v>601</v>
      </c>
      <c r="N242" s="84" t="s">
        <v>72</v>
      </c>
      <c r="O242" s="85" t="s">
        <v>1458</v>
      </c>
      <c r="P242" s="85" t="s">
        <v>1459</v>
      </c>
      <c r="Q242" s="49" t="s">
        <v>75</v>
      </c>
      <c r="R242" s="25" t="s">
        <v>91</v>
      </c>
      <c r="S242" s="56">
        <v>21</v>
      </c>
      <c r="T242" s="56">
        <v>63</v>
      </c>
      <c r="U242" s="261" t="s">
        <v>1460</v>
      </c>
      <c r="V242" s="140"/>
      <c r="W242" s="225" t="s">
        <v>76</v>
      </c>
      <c r="X242" s="78" t="s">
        <v>78</v>
      </c>
      <c r="Y242" s="25"/>
      <c r="Z242" s="93" t="s">
        <v>93</v>
      </c>
      <c r="AA242" s="174"/>
      <c r="AC242" s="40"/>
    </row>
    <row r="243" spans="1:29" ht="33" hidden="1">
      <c r="A243" s="88">
        <v>233</v>
      </c>
      <c r="B243" s="79" t="s">
        <v>1461</v>
      </c>
      <c r="C243" s="148" t="s">
        <v>8</v>
      </c>
      <c r="D243" s="80" t="s">
        <v>63</v>
      </c>
      <c r="E243" s="27" t="s">
        <v>1430</v>
      </c>
      <c r="F243" s="80" t="s">
        <v>109</v>
      </c>
      <c r="G243" s="81" t="s">
        <v>1047</v>
      </c>
      <c r="H243" s="80" t="s">
        <v>1431</v>
      </c>
      <c r="I243" s="83">
        <v>45474</v>
      </c>
      <c r="J243" s="80" t="s">
        <v>111</v>
      </c>
      <c r="K243" s="80" t="s">
        <v>112</v>
      </c>
      <c r="L243" s="84" t="s">
        <v>113</v>
      </c>
      <c r="M243" s="84" t="s">
        <v>114</v>
      </c>
      <c r="N243" s="84" t="s">
        <v>72</v>
      </c>
      <c r="O243" s="85" t="s">
        <v>1462</v>
      </c>
      <c r="P243" s="85" t="s">
        <v>1463</v>
      </c>
      <c r="Q243" s="49" t="s">
        <v>75</v>
      </c>
      <c r="R243" s="25" t="s">
        <v>91</v>
      </c>
      <c r="S243" s="56">
        <v>23</v>
      </c>
      <c r="T243" s="56">
        <v>66</v>
      </c>
      <c r="U243" s="227" t="s">
        <v>1464</v>
      </c>
      <c r="V243" s="73"/>
      <c r="W243" s="225"/>
      <c r="X243" s="78" t="s">
        <v>78</v>
      </c>
      <c r="Y243" s="25"/>
      <c r="Z243" s="93" t="s">
        <v>93</v>
      </c>
      <c r="AA243" s="174"/>
      <c r="AC243" s="40"/>
    </row>
    <row r="244" spans="1:29" ht="49.5" hidden="1">
      <c r="A244" s="88">
        <v>234</v>
      </c>
      <c r="B244" s="79" t="s">
        <v>1465</v>
      </c>
      <c r="C244" s="148" t="s">
        <v>8</v>
      </c>
      <c r="D244" s="80" t="s">
        <v>63</v>
      </c>
      <c r="E244" s="27" t="s">
        <v>1430</v>
      </c>
      <c r="F244" s="80" t="s">
        <v>109</v>
      </c>
      <c r="G244" s="81" t="s">
        <v>1047</v>
      </c>
      <c r="H244" s="80" t="s">
        <v>1431</v>
      </c>
      <c r="I244" s="83">
        <v>45474</v>
      </c>
      <c r="J244" s="80" t="s">
        <v>220</v>
      </c>
      <c r="K244" s="80" t="s">
        <v>1466</v>
      </c>
      <c r="L244" s="84" t="s">
        <v>122</v>
      </c>
      <c r="M244" s="84" t="s">
        <v>221</v>
      </c>
      <c r="N244" s="84" t="s">
        <v>72</v>
      </c>
      <c r="O244" s="85" t="s">
        <v>1467</v>
      </c>
      <c r="P244" s="85" t="s">
        <v>1468</v>
      </c>
      <c r="Q244" s="49" t="s">
        <v>91</v>
      </c>
      <c r="R244" s="25"/>
      <c r="S244" s="56">
        <v>14</v>
      </c>
      <c r="T244" s="56"/>
      <c r="U244" s="228" t="s">
        <v>76</v>
      </c>
      <c r="V244" s="49"/>
      <c r="W244" s="225" t="s">
        <v>76</v>
      </c>
      <c r="X244" s="78"/>
      <c r="Y244" s="25"/>
      <c r="Z244" s="93" t="s">
        <v>193</v>
      </c>
      <c r="AA244" s="174"/>
      <c r="AC244" s="40"/>
    </row>
    <row r="245" spans="1:29" ht="49.5" hidden="1">
      <c r="A245" s="88">
        <v>235</v>
      </c>
      <c r="B245" s="79" t="s">
        <v>1469</v>
      </c>
      <c r="C245" s="148" t="s">
        <v>8</v>
      </c>
      <c r="D245" s="80" t="s">
        <v>63</v>
      </c>
      <c r="E245" s="27" t="s">
        <v>1430</v>
      </c>
      <c r="F245" s="80" t="s">
        <v>109</v>
      </c>
      <c r="G245" s="81" t="s">
        <v>1047</v>
      </c>
      <c r="H245" s="80" t="s">
        <v>1431</v>
      </c>
      <c r="I245" s="83">
        <v>45474</v>
      </c>
      <c r="J245" s="80" t="s">
        <v>111</v>
      </c>
      <c r="K245" s="80" t="s">
        <v>112</v>
      </c>
      <c r="L245" s="84" t="s">
        <v>122</v>
      </c>
      <c r="M245" s="84" t="s">
        <v>114</v>
      </c>
      <c r="N245" s="84" t="s">
        <v>72</v>
      </c>
      <c r="O245" s="85" t="s">
        <v>1470</v>
      </c>
      <c r="P245" s="85" t="s">
        <v>1471</v>
      </c>
      <c r="Q245" s="49" t="s">
        <v>75</v>
      </c>
      <c r="R245" s="25" t="s">
        <v>91</v>
      </c>
      <c r="S245" s="56">
        <v>24</v>
      </c>
      <c r="T245" s="76">
        <v>67</v>
      </c>
      <c r="U245" s="228" t="s">
        <v>1472</v>
      </c>
      <c r="V245" s="73"/>
      <c r="W245" s="225" t="s">
        <v>76</v>
      </c>
      <c r="X245" s="78" t="s">
        <v>78</v>
      </c>
      <c r="Y245" s="25"/>
      <c r="Z245" s="93" t="s">
        <v>93</v>
      </c>
      <c r="AA245" s="87"/>
      <c r="AC245" s="40"/>
    </row>
    <row r="246" spans="1:29" ht="49.5" hidden="1">
      <c r="A246" s="88">
        <v>236</v>
      </c>
      <c r="B246" s="79" t="s">
        <v>1473</v>
      </c>
      <c r="C246" s="148" t="s">
        <v>8</v>
      </c>
      <c r="D246" s="80" t="s">
        <v>63</v>
      </c>
      <c r="E246" s="27" t="s">
        <v>1430</v>
      </c>
      <c r="F246" s="80" t="s">
        <v>109</v>
      </c>
      <c r="G246" s="81" t="s">
        <v>1047</v>
      </c>
      <c r="H246" s="80" t="s">
        <v>1431</v>
      </c>
      <c r="I246" s="83">
        <v>45474</v>
      </c>
      <c r="J246" s="80" t="s">
        <v>250</v>
      </c>
      <c r="K246" s="80" t="s">
        <v>491</v>
      </c>
      <c r="L246" s="84" t="s">
        <v>251</v>
      </c>
      <c r="M246" s="84" t="s">
        <v>252</v>
      </c>
      <c r="N246" s="84" t="s">
        <v>253</v>
      </c>
      <c r="O246" s="85" t="s">
        <v>1474</v>
      </c>
      <c r="P246" s="85" t="s">
        <v>1475</v>
      </c>
      <c r="Q246" s="49" t="s">
        <v>91</v>
      </c>
      <c r="R246" s="25"/>
      <c r="S246" s="56">
        <v>11</v>
      </c>
      <c r="T246" s="56" t="s">
        <v>76</v>
      </c>
      <c r="U246" s="228" t="s">
        <v>1476</v>
      </c>
      <c r="V246" s="62"/>
      <c r="W246" s="225" t="s">
        <v>76</v>
      </c>
      <c r="X246" s="78"/>
      <c r="Y246" s="25"/>
      <c r="Z246" s="93" t="s">
        <v>193</v>
      </c>
      <c r="AA246" s="87"/>
      <c r="AC246" s="40"/>
    </row>
    <row r="247" spans="1:29" ht="49.5" hidden="1">
      <c r="A247" s="88">
        <v>237</v>
      </c>
      <c r="B247" s="79" t="s">
        <v>1477</v>
      </c>
      <c r="C247" s="148" t="s">
        <v>8</v>
      </c>
      <c r="D247" s="80" t="s">
        <v>63</v>
      </c>
      <c r="E247" s="27" t="s">
        <v>1430</v>
      </c>
      <c r="F247" s="80" t="s">
        <v>109</v>
      </c>
      <c r="G247" s="81" t="s">
        <v>1047</v>
      </c>
      <c r="H247" s="80" t="s">
        <v>1431</v>
      </c>
      <c r="I247" s="83">
        <v>45474</v>
      </c>
      <c r="J247" s="80" t="s">
        <v>657</v>
      </c>
      <c r="K247" s="80" t="s">
        <v>1478</v>
      </c>
      <c r="L247" s="84" t="s">
        <v>189</v>
      </c>
      <c r="M247" s="84" t="s">
        <v>221</v>
      </c>
      <c r="N247" s="84" t="s">
        <v>72</v>
      </c>
      <c r="O247" s="85" t="s">
        <v>1479</v>
      </c>
      <c r="P247" s="85" t="s">
        <v>1480</v>
      </c>
      <c r="Q247" s="49" t="s">
        <v>75</v>
      </c>
      <c r="R247" s="25" t="s">
        <v>91</v>
      </c>
      <c r="S247" s="56">
        <v>18</v>
      </c>
      <c r="T247" s="56">
        <v>55</v>
      </c>
      <c r="U247" s="228" t="s">
        <v>1481</v>
      </c>
      <c r="V247" s="62"/>
      <c r="W247" s="225" t="s">
        <v>76</v>
      </c>
      <c r="X247" s="78" t="s">
        <v>78</v>
      </c>
      <c r="Y247" s="78"/>
      <c r="Z247" s="93" t="s">
        <v>93</v>
      </c>
      <c r="AA247" s="87"/>
      <c r="AC247" s="40"/>
    </row>
    <row r="248" spans="1:29" ht="66" hidden="1">
      <c r="A248" s="88">
        <v>238</v>
      </c>
      <c r="B248" s="79" t="s">
        <v>1482</v>
      </c>
      <c r="C248" s="148" t="s">
        <v>8</v>
      </c>
      <c r="D248" s="80" t="s">
        <v>63</v>
      </c>
      <c r="E248" s="27" t="s">
        <v>1430</v>
      </c>
      <c r="F248" s="80" t="s">
        <v>109</v>
      </c>
      <c r="G248" s="81" t="s">
        <v>1047</v>
      </c>
      <c r="H248" s="80" t="s">
        <v>1431</v>
      </c>
      <c r="I248" s="83">
        <v>45474</v>
      </c>
      <c r="J248" s="80" t="s">
        <v>187</v>
      </c>
      <c r="K248" s="80" t="s">
        <v>188</v>
      </c>
      <c r="L248" s="84" t="s">
        <v>189</v>
      </c>
      <c r="M248" s="84" t="s">
        <v>114</v>
      </c>
      <c r="N248" s="84" t="s">
        <v>72</v>
      </c>
      <c r="O248" s="85" t="s">
        <v>1483</v>
      </c>
      <c r="P248" s="85" t="s">
        <v>1484</v>
      </c>
      <c r="Q248" s="49" t="s">
        <v>75</v>
      </c>
      <c r="R248" s="25" t="s">
        <v>91</v>
      </c>
      <c r="S248" s="56">
        <v>20</v>
      </c>
      <c r="T248" s="56">
        <v>60</v>
      </c>
      <c r="U248" s="228" t="s">
        <v>76</v>
      </c>
      <c r="V248" s="49"/>
      <c r="W248" s="225" t="s">
        <v>76</v>
      </c>
      <c r="X248" s="78" t="s">
        <v>78</v>
      </c>
      <c r="Y248" s="25"/>
      <c r="Z248" s="93" t="s">
        <v>93</v>
      </c>
      <c r="AA248" s="174"/>
      <c r="AC248" s="40"/>
    </row>
    <row r="249" spans="1:29" ht="33" hidden="1">
      <c r="A249" s="88">
        <v>239</v>
      </c>
      <c r="B249" s="79" t="s">
        <v>1485</v>
      </c>
      <c r="C249" s="148" t="s">
        <v>8</v>
      </c>
      <c r="D249" s="80" t="s">
        <v>83</v>
      </c>
      <c r="E249" s="27" t="s">
        <v>1486</v>
      </c>
      <c r="F249" s="80" t="s">
        <v>65</v>
      </c>
      <c r="G249" s="81" t="s">
        <v>96</v>
      </c>
      <c r="H249" s="80" t="s">
        <v>1487</v>
      </c>
      <c r="I249" s="83">
        <v>45474</v>
      </c>
      <c r="J249" s="80" t="s">
        <v>250</v>
      </c>
      <c r="K249" s="80" t="s">
        <v>491</v>
      </c>
      <c r="L249" s="84" t="s">
        <v>251</v>
      </c>
      <c r="M249" s="84" t="s">
        <v>252</v>
      </c>
      <c r="N249" s="84" t="s">
        <v>253</v>
      </c>
      <c r="O249" s="85" t="s">
        <v>1488</v>
      </c>
      <c r="P249" s="85" t="s">
        <v>1489</v>
      </c>
      <c r="Q249" s="49" t="s">
        <v>91</v>
      </c>
      <c r="R249" s="25"/>
      <c r="S249" s="56">
        <v>15</v>
      </c>
      <c r="T249" s="56" t="s">
        <v>76</v>
      </c>
      <c r="U249" s="228" t="s">
        <v>1490</v>
      </c>
      <c r="V249" s="62"/>
      <c r="W249" s="225" t="s">
        <v>76</v>
      </c>
      <c r="X249" s="78"/>
      <c r="Y249" s="25"/>
      <c r="Z249" s="93" t="s">
        <v>193</v>
      </c>
      <c r="AA249" s="87"/>
      <c r="AC249" s="40"/>
    </row>
    <row r="250" spans="1:29" ht="84.75" hidden="1">
      <c r="A250" s="88">
        <v>240</v>
      </c>
      <c r="B250" s="79" t="s">
        <v>1491</v>
      </c>
      <c r="C250" s="148" t="s">
        <v>8</v>
      </c>
      <c r="D250" s="80" t="s">
        <v>63</v>
      </c>
      <c r="E250" s="27" t="s">
        <v>1492</v>
      </c>
      <c r="F250" s="80" t="s">
        <v>109</v>
      </c>
      <c r="G250" s="81" t="s">
        <v>440</v>
      </c>
      <c r="H250" s="80" t="s">
        <v>1493</v>
      </c>
      <c r="I250" s="83">
        <v>45474</v>
      </c>
      <c r="J250" s="80" t="s">
        <v>111</v>
      </c>
      <c r="K250" s="80" t="s">
        <v>112</v>
      </c>
      <c r="L250" s="84" t="s">
        <v>122</v>
      </c>
      <c r="M250" s="84" t="s">
        <v>114</v>
      </c>
      <c r="N250" s="84" t="s">
        <v>72</v>
      </c>
      <c r="O250" s="85" t="s">
        <v>1494</v>
      </c>
      <c r="P250" s="263" t="s">
        <v>1495</v>
      </c>
      <c r="Q250" s="49" t="s">
        <v>91</v>
      </c>
      <c r="R250" s="25"/>
      <c r="S250" s="56">
        <v>16</v>
      </c>
      <c r="T250" s="56"/>
      <c r="U250" s="228" t="s">
        <v>1496</v>
      </c>
      <c r="V250" s="73"/>
      <c r="W250" s="225" t="s">
        <v>76</v>
      </c>
      <c r="X250" s="78"/>
      <c r="Y250" s="25"/>
      <c r="Z250" s="93" t="s">
        <v>193</v>
      </c>
      <c r="AA250" s="174"/>
      <c r="AC250" s="40"/>
    </row>
    <row r="251" spans="1:29" ht="82.5" hidden="1">
      <c r="A251" s="88">
        <v>241</v>
      </c>
      <c r="B251" s="79" t="s">
        <v>1497</v>
      </c>
      <c r="C251" s="148" t="s">
        <v>8</v>
      </c>
      <c r="D251" s="80" t="s">
        <v>63</v>
      </c>
      <c r="E251" s="126" t="s">
        <v>1498</v>
      </c>
      <c r="F251" s="80" t="s">
        <v>109</v>
      </c>
      <c r="G251" s="81" t="s">
        <v>1413</v>
      </c>
      <c r="H251" s="80" t="s">
        <v>1499</v>
      </c>
      <c r="I251" s="83">
        <v>45474</v>
      </c>
      <c r="J251" s="80" t="s">
        <v>250</v>
      </c>
      <c r="K251" s="80" t="s">
        <v>491</v>
      </c>
      <c r="L251" s="84" t="s">
        <v>251</v>
      </c>
      <c r="M251" s="84" t="s">
        <v>252</v>
      </c>
      <c r="N251" s="84" t="s">
        <v>72</v>
      </c>
      <c r="O251" s="85" t="s">
        <v>1500</v>
      </c>
      <c r="P251" s="85" t="s">
        <v>1501</v>
      </c>
      <c r="Q251" s="49" t="s">
        <v>75</v>
      </c>
      <c r="R251" s="25" t="s">
        <v>91</v>
      </c>
      <c r="S251" s="56">
        <v>18</v>
      </c>
      <c r="T251" s="56"/>
      <c r="U251" s="228" t="s">
        <v>1502</v>
      </c>
      <c r="V251" s="62"/>
      <c r="W251" s="225" t="s">
        <v>76</v>
      </c>
      <c r="X251" s="78" t="s">
        <v>78</v>
      </c>
      <c r="Y251" s="25"/>
      <c r="Z251" s="93" t="s">
        <v>106</v>
      </c>
      <c r="AA251" s="87"/>
      <c r="AC251" s="40"/>
    </row>
    <row r="252" spans="1:29" ht="66" hidden="1">
      <c r="A252" s="88">
        <v>242</v>
      </c>
      <c r="B252" s="79" t="s">
        <v>1503</v>
      </c>
      <c r="C252" s="148" t="s">
        <v>8</v>
      </c>
      <c r="D252" s="80" t="s">
        <v>63</v>
      </c>
      <c r="E252" s="259" t="s">
        <v>1492</v>
      </c>
      <c r="F252" s="80" t="s">
        <v>109</v>
      </c>
      <c r="G252" s="81" t="s">
        <v>440</v>
      </c>
      <c r="H252" s="80" t="s">
        <v>1493</v>
      </c>
      <c r="I252" s="83">
        <v>45474</v>
      </c>
      <c r="J252" s="80" t="s">
        <v>111</v>
      </c>
      <c r="K252" s="80" t="s">
        <v>112</v>
      </c>
      <c r="L252" s="84" t="s">
        <v>122</v>
      </c>
      <c r="M252" s="84" t="s">
        <v>114</v>
      </c>
      <c r="N252" s="84" t="s">
        <v>72</v>
      </c>
      <c r="O252" s="85" t="s">
        <v>1504</v>
      </c>
      <c r="P252" s="85" t="s">
        <v>1505</v>
      </c>
      <c r="Q252" s="49" t="s">
        <v>91</v>
      </c>
      <c r="R252" s="25"/>
      <c r="S252" s="56">
        <v>16</v>
      </c>
      <c r="T252" s="56"/>
      <c r="U252" s="228" t="s">
        <v>1506</v>
      </c>
      <c r="V252" s="73"/>
      <c r="W252" s="225" t="s">
        <v>76</v>
      </c>
      <c r="X252" s="78"/>
      <c r="Y252" s="25"/>
      <c r="Z252" s="93" t="s">
        <v>193</v>
      </c>
      <c r="AA252" s="174"/>
      <c r="AC252" s="40"/>
    </row>
    <row r="253" spans="1:29" ht="49.5" hidden="1">
      <c r="A253" s="88">
        <v>243</v>
      </c>
      <c r="B253" s="79" t="s">
        <v>1507</v>
      </c>
      <c r="C253" s="148" t="s">
        <v>8</v>
      </c>
      <c r="D253" s="80" t="s">
        <v>83</v>
      </c>
      <c r="E253" s="27" t="s">
        <v>588</v>
      </c>
      <c r="F253" s="80" t="s">
        <v>109</v>
      </c>
      <c r="G253" s="81" t="s">
        <v>589</v>
      </c>
      <c r="H253" s="80" t="s">
        <v>590</v>
      </c>
      <c r="I253" s="83">
        <v>45474</v>
      </c>
      <c r="J253" s="80" t="s">
        <v>250</v>
      </c>
      <c r="K253" s="80" t="s">
        <v>491</v>
      </c>
      <c r="L253" s="84" t="s">
        <v>251</v>
      </c>
      <c r="M253" s="84" t="s">
        <v>252</v>
      </c>
      <c r="N253" s="84" t="s">
        <v>920</v>
      </c>
      <c r="O253" s="85" t="s">
        <v>1508</v>
      </c>
      <c r="P253" s="85" t="s">
        <v>1509</v>
      </c>
      <c r="Q253" s="49" t="s">
        <v>75</v>
      </c>
      <c r="R253" s="25" t="s">
        <v>75</v>
      </c>
      <c r="S253" s="56">
        <v>18</v>
      </c>
      <c r="T253" s="56"/>
      <c r="U253" s="228" t="s">
        <v>1510</v>
      </c>
      <c r="V253" s="49" t="s">
        <v>75</v>
      </c>
      <c r="W253" s="225" t="s">
        <v>1511</v>
      </c>
      <c r="X253" s="78" t="s">
        <v>78</v>
      </c>
      <c r="Y253" s="25" t="s">
        <v>176</v>
      </c>
      <c r="Z253" s="93" t="s">
        <v>93</v>
      </c>
      <c r="AA253" s="87" t="s">
        <v>1512</v>
      </c>
      <c r="AC253" s="40"/>
    </row>
    <row r="254" spans="1:29" ht="165" hidden="1">
      <c r="A254" s="88">
        <v>244</v>
      </c>
      <c r="B254" s="79" t="s">
        <v>1513</v>
      </c>
      <c r="C254" s="148" t="s">
        <v>8</v>
      </c>
      <c r="D254" s="80" t="s">
        <v>83</v>
      </c>
      <c r="E254" s="27" t="s">
        <v>968</v>
      </c>
      <c r="F254" s="80" t="s">
        <v>109</v>
      </c>
      <c r="G254" s="81" t="s">
        <v>932</v>
      </c>
      <c r="H254" s="80" t="s">
        <v>969</v>
      </c>
      <c r="I254" s="83">
        <v>45482</v>
      </c>
      <c r="J254" s="80" t="s">
        <v>220</v>
      </c>
      <c r="K254" s="80" t="s">
        <v>112</v>
      </c>
      <c r="L254" s="84" t="s">
        <v>113</v>
      </c>
      <c r="M254" s="84" t="s">
        <v>221</v>
      </c>
      <c r="N254" s="84" t="s">
        <v>72</v>
      </c>
      <c r="O254" s="33" t="s">
        <v>1514</v>
      </c>
      <c r="P254" s="28" t="s">
        <v>1515</v>
      </c>
      <c r="Q254" s="49" t="s">
        <v>75</v>
      </c>
      <c r="R254" s="25" t="s">
        <v>91</v>
      </c>
      <c r="S254" s="26">
        <v>22</v>
      </c>
      <c r="T254" s="55" t="s">
        <v>228</v>
      </c>
      <c r="U254" s="228" t="s">
        <v>1516</v>
      </c>
      <c r="V254" s="74"/>
      <c r="W254" s="225"/>
      <c r="X254" s="78" t="s">
        <v>78</v>
      </c>
      <c r="Y254" s="26" t="s">
        <v>76</v>
      </c>
      <c r="Z254" s="75" t="s">
        <v>93</v>
      </c>
      <c r="AA254" s="30" t="s">
        <v>228</v>
      </c>
      <c r="AB254" s="26"/>
      <c r="AC254" s="44"/>
    </row>
    <row r="255" spans="1:29" ht="115.5" hidden="1">
      <c r="A255" s="88">
        <v>245</v>
      </c>
      <c r="B255" s="79" t="s">
        <v>1517</v>
      </c>
      <c r="C255" s="148" t="s">
        <v>8</v>
      </c>
      <c r="D255" s="80" t="s">
        <v>83</v>
      </c>
      <c r="E255" s="27" t="s">
        <v>308</v>
      </c>
      <c r="F255" s="80" t="s">
        <v>109</v>
      </c>
      <c r="G255" s="81" t="s">
        <v>248</v>
      </c>
      <c r="H255" s="80" t="s">
        <v>309</v>
      </c>
      <c r="I255" s="83">
        <v>45474</v>
      </c>
      <c r="J255" s="80" t="s">
        <v>98</v>
      </c>
      <c r="K255" s="80" t="s">
        <v>99</v>
      </c>
      <c r="L255" s="84" t="s">
        <v>100</v>
      </c>
      <c r="M255" s="84" t="s">
        <v>101</v>
      </c>
      <c r="N255" s="84" t="s">
        <v>72</v>
      </c>
      <c r="O255" s="85" t="s">
        <v>1518</v>
      </c>
      <c r="P255" s="85" t="s">
        <v>1519</v>
      </c>
      <c r="Q255" s="49" t="s">
        <v>75</v>
      </c>
      <c r="R255" s="25" t="s">
        <v>91</v>
      </c>
      <c r="S255" s="56"/>
      <c r="T255" s="56" t="s">
        <v>303</v>
      </c>
      <c r="U255" s="261"/>
      <c r="V255" s="69"/>
      <c r="W255" s="225" t="s">
        <v>76</v>
      </c>
      <c r="X255" s="78" t="s">
        <v>78</v>
      </c>
      <c r="Y255" s="25"/>
      <c r="Z255" s="93" t="s">
        <v>93</v>
      </c>
      <c r="AA255" s="174"/>
      <c r="AC255" s="40"/>
    </row>
    <row r="256" spans="1:29" ht="213.75" hidden="1">
      <c r="A256" s="88">
        <v>246</v>
      </c>
      <c r="B256" s="79" t="s">
        <v>1520</v>
      </c>
      <c r="C256" s="148" t="s">
        <v>8</v>
      </c>
      <c r="D256" s="80" t="s">
        <v>63</v>
      </c>
      <c r="E256" s="27" t="s">
        <v>1521</v>
      </c>
      <c r="F256" s="80" t="s">
        <v>109</v>
      </c>
      <c r="G256" s="81" t="s">
        <v>1522</v>
      </c>
      <c r="H256" s="80" t="s">
        <v>1523</v>
      </c>
      <c r="I256" s="83">
        <v>45474</v>
      </c>
      <c r="J256" s="80" t="s">
        <v>657</v>
      </c>
      <c r="K256" s="80" t="s">
        <v>198</v>
      </c>
      <c r="L256" s="84" t="s">
        <v>189</v>
      </c>
      <c r="M256" s="84" t="s">
        <v>221</v>
      </c>
      <c r="N256" s="84" t="s">
        <v>72</v>
      </c>
      <c r="O256" s="85" t="s">
        <v>1524</v>
      </c>
      <c r="P256" s="85" t="s">
        <v>1525</v>
      </c>
      <c r="Q256" s="49" t="s">
        <v>75</v>
      </c>
      <c r="R256" s="25" t="s">
        <v>91</v>
      </c>
      <c r="S256" s="56">
        <v>22</v>
      </c>
      <c r="T256" s="77">
        <v>56</v>
      </c>
      <c r="U256" s="228" t="s">
        <v>1526</v>
      </c>
      <c r="V256" s="62"/>
      <c r="W256" s="225"/>
      <c r="X256" s="78" t="s">
        <v>78</v>
      </c>
      <c r="Y256" s="78"/>
      <c r="Z256" s="111" t="s">
        <v>93</v>
      </c>
      <c r="AA256" s="87"/>
      <c r="AC256" s="40"/>
    </row>
    <row r="257" spans="1:29" ht="99" hidden="1">
      <c r="A257" s="88">
        <v>247</v>
      </c>
      <c r="B257" s="79" t="s">
        <v>1527</v>
      </c>
      <c r="C257" s="148" t="s">
        <v>8</v>
      </c>
      <c r="D257" s="80" t="s">
        <v>63</v>
      </c>
      <c r="E257" s="27" t="s">
        <v>1521</v>
      </c>
      <c r="F257" s="80" t="s">
        <v>109</v>
      </c>
      <c r="G257" s="81" t="s">
        <v>1522</v>
      </c>
      <c r="H257" s="80" t="s">
        <v>1523</v>
      </c>
      <c r="I257" s="83">
        <v>45474</v>
      </c>
      <c r="J257" s="80" t="s">
        <v>657</v>
      </c>
      <c r="K257" s="80" t="s">
        <v>188</v>
      </c>
      <c r="L257" s="84" t="s">
        <v>189</v>
      </c>
      <c r="M257" s="84" t="s">
        <v>221</v>
      </c>
      <c r="N257" s="84" t="s">
        <v>72</v>
      </c>
      <c r="O257" s="85" t="s">
        <v>1528</v>
      </c>
      <c r="P257" s="85" t="s">
        <v>1529</v>
      </c>
      <c r="Q257" s="49" t="s">
        <v>91</v>
      </c>
      <c r="R257" s="25"/>
      <c r="S257" s="56">
        <v>14</v>
      </c>
      <c r="T257" s="56" t="s">
        <v>76</v>
      </c>
      <c r="U257" s="228" t="s">
        <v>76</v>
      </c>
      <c r="V257" s="49"/>
      <c r="W257" s="225" t="s">
        <v>76</v>
      </c>
      <c r="X257" s="78"/>
      <c r="Y257" s="25"/>
      <c r="Z257" s="93"/>
      <c r="AA257" s="174"/>
      <c r="AC257" s="40"/>
    </row>
    <row r="258" spans="1:29" ht="99" hidden="1">
      <c r="A258" s="88">
        <v>248</v>
      </c>
      <c r="B258" s="79" t="s">
        <v>1530</v>
      </c>
      <c r="C258" s="148" t="s">
        <v>8</v>
      </c>
      <c r="D258" s="80" t="s">
        <v>63</v>
      </c>
      <c r="E258" s="27" t="s">
        <v>1531</v>
      </c>
      <c r="F258" s="80" t="s">
        <v>109</v>
      </c>
      <c r="G258" s="81" t="s">
        <v>1522</v>
      </c>
      <c r="H258" s="80" t="s">
        <v>1532</v>
      </c>
      <c r="I258" s="83">
        <v>45474</v>
      </c>
      <c r="J258" s="80" t="s">
        <v>197</v>
      </c>
      <c r="K258" s="80" t="s">
        <v>198</v>
      </c>
      <c r="L258" s="84" t="s">
        <v>199</v>
      </c>
      <c r="M258" s="84" t="s">
        <v>200</v>
      </c>
      <c r="N258" s="84" t="s">
        <v>72</v>
      </c>
      <c r="O258" s="85" t="s">
        <v>1533</v>
      </c>
      <c r="P258" s="85" t="s">
        <v>1534</v>
      </c>
      <c r="Q258" s="49" t="s">
        <v>75</v>
      </c>
      <c r="R258" s="25" t="s">
        <v>91</v>
      </c>
      <c r="S258" s="56">
        <v>20</v>
      </c>
      <c r="T258" s="56">
        <v>69</v>
      </c>
      <c r="U258" s="108" t="s">
        <v>1535</v>
      </c>
      <c r="V258" s="62"/>
      <c r="W258" s="225"/>
      <c r="X258" s="78" t="s">
        <v>78</v>
      </c>
      <c r="Y258" s="78"/>
      <c r="Z258" s="111" t="s">
        <v>93</v>
      </c>
      <c r="AA258" s="87" t="s">
        <v>1536</v>
      </c>
      <c r="AC258" s="40"/>
    </row>
    <row r="259" spans="1:29" ht="82.5" hidden="1">
      <c r="A259" s="88">
        <v>249</v>
      </c>
      <c r="B259" s="79" t="s">
        <v>1537</v>
      </c>
      <c r="C259" s="148" t="s">
        <v>8</v>
      </c>
      <c r="D259" s="80" t="s">
        <v>63</v>
      </c>
      <c r="E259" s="126" t="s">
        <v>1538</v>
      </c>
      <c r="F259" s="80" t="s">
        <v>65</v>
      </c>
      <c r="G259" s="81" t="s">
        <v>1398</v>
      </c>
      <c r="H259" s="80" t="s">
        <v>1539</v>
      </c>
      <c r="I259" s="83">
        <v>45474</v>
      </c>
      <c r="J259" s="80" t="s">
        <v>98</v>
      </c>
      <c r="K259" s="80" t="s">
        <v>99</v>
      </c>
      <c r="L259" s="84" t="s">
        <v>100</v>
      </c>
      <c r="M259" s="84" t="s">
        <v>101</v>
      </c>
      <c r="N259" s="84" t="s">
        <v>72</v>
      </c>
      <c r="O259" s="85" t="s">
        <v>1540</v>
      </c>
      <c r="P259" s="85" t="s">
        <v>1541</v>
      </c>
      <c r="Q259" s="49" t="s">
        <v>75</v>
      </c>
      <c r="R259" s="25" t="s">
        <v>91</v>
      </c>
      <c r="S259" s="56">
        <v>18</v>
      </c>
      <c r="T259" s="56">
        <v>64</v>
      </c>
      <c r="U259" s="228" t="s">
        <v>1542</v>
      </c>
      <c r="V259" s="141"/>
      <c r="W259" s="225" t="s">
        <v>76</v>
      </c>
      <c r="X259" s="78" t="s">
        <v>78</v>
      </c>
      <c r="Y259" s="25"/>
      <c r="Z259" s="93" t="s">
        <v>106</v>
      </c>
      <c r="AA259" s="174"/>
      <c r="AC259" s="40"/>
    </row>
    <row r="260" spans="1:29" ht="49.5" hidden="1">
      <c r="A260" s="96">
        <v>250</v>
      </c>
      <c r="B260" s="79" t="s">
        <v>1543</v>
      </c>
      <c r="C260" s="148" t="s">
        <v>8</v>
      </c>
      <c r="D260" s="80" t="s">
        <v>83</v>
      </c>
      <c r="E260" s="27" t="s">
        <v>588</v>
      </c>
      <c r="F260" s="80" t="s">
        <v>109</v>
      </c>
      <c r="G260" s="81" t="s">
        <v>589</v>
      </c>
      <c r="H260" s="80" t="s">
        <v>590</v>
      </c>
      <c r="I260" s="83">
        <v>45474</v>
      </c>
      <c r="J260" s="80" t="s">
        <v>657</v>
      </c>
      <c r="K260" s="80" t="s">
        <v>1478</v>
      </c>
      <c r="L260" s="84" t="s">
        <v>189</v>
      </c>
      <c r="M260" s="84" t="s">
        <v>221</v>
      </c>
      <c r="N260" s="84" t="s">
        <v>72</v>
      </c>
      <c r="O260" s="85" t="s">
        <v>1544</v>
      </c>
      <c r="P260" s="85" t="s">
        <v>1545</v>
      </c>
      <c r="Q260" s="49" t="s">
        <v>75</v>
      </c>
      <c r="R260" s="25" t="s">
        <v>91</v>
      </c>
      <c r="S260" s="56">
        <v>24</v>
      </c>
      <c r="T260" s="56">
        <v>64</v>
      </c>
      <c r="U260" s="228" t="s">
        <v>1546</v>
      </c>
      <c r="V260" s="49"/>
      <c r="W260" s="225" t="s">
        <v>76</v>
      </c>
      <c r="X260" s="78" t="s">
        <v>78</v>
      </c>
      <c r="Y260" s="78"/>
      <c r="Z260" s="93" t="s">
        <v>93</v>
      </c>
      <c r="AA260" s="87"/>
      <c r="AC260" s="40"/>
    </row>
    <row r="261" spans="1:29" ht="49.5" hidden="1">
      <c r="A261" s="88">
        <v>251</v>
      </c>
      <c r="B261" s="79" t="s">
        <v>1547</v>
      </c>
      <c r="C261" s="148" t="s">
        <v>8</v>
      </c>
      <c r="D261" s="80" t="s">
        <v>63</v>
      </c>
      <c r="E261" s="27" t="s">
        <v>1548</v>
      </c>
      <c r="F261" s="80" t="s">
        <v>338</v>
      </c>
      <c r="G261" s="81" t="s">
        <v>1522</v>
      </c>
      <c r="H261" s="80" t="s">
        <v>1549</v>
      </c>
      <c r="I261" s="83">
        <v>45474</v>
      </c>
      <c r="J261" s="80" t="s">
        <v>241</v>
      </c>
      <c r="K261" s="80" t="s">
        <v>198</v>
      </c>
      <c r="L261" s="84" t="s">
        <v>199</v>
      </c>
      <c r="M261" s="84" t="s">
        <v>221</v>
      </c>
      <c r="N261" s="84" t="s">
        <v>72</v>
      </c>
      <c r="O261" s="255" t="s">
        <v>1550</v>
      </c>
      <c r="P261" s="255" t="s">
        <v>1551</v>
      </c>
      <c r="Q261" s="49" t="s">
        <v>75</v>
      </c>
      <c r="R261" s="25" t="s">
        <v>91</v>
      </c>
      <c r="S261" s="26">
        <v>19</v>
      </c>
      <c r="T261" s="26">
        <v>53</v>
      </c>
      <c r="U261" s="228" t="s">
        <v>1552</v>
      </c>
      <c r="V261" s="117"/>
      <c r="W261" s="225" t="s">
        <v>76</v>
      </c>
      <c r="X261" s="78" t="s">
        <v>78</v>
      </c>
      <c r="Y261" s="106" t="s">
        <v>76</v>
      </c>
      <c r="Z261" s="256" t="s">
        <v>93</v>
      </c>
      <c r="AA261" s="264"/>
      <c r="AB261" s="55"/>
      <c r="AC261" s="240"/>
    </row>
    <row r="262" spans="1:29" ht="66" hidden="1">
      <c r="A262" s="88">
        <v>252</v>
      </c>
      <c r="B262" s="79" t="s">
        <v>1553</v>
      </c>
      <c r="C262" s="148" t="s">
        <v>8</v>
      </c>
      <c r="D262" s="80" t="s">
        <v>63</v>
      </c>
      <c r="E262" s="27" t="s">
        <v>1548</v>
      </c>
      <c r="F262" s="80" t="s">
        <v>338</v>
      </c>
      <c r="G262" s="81" t="s">
        <v>1522</v>
      </c>
      <c r="H262" s="80" t="s">
        <v>1549</v>
      </c>
      <c r="I262" s="83">
        <v>45474</v>
      </c>
      <c r="J262" s="80" t="s">
        <v>859</v>
      </c>
      <c r="K262" s="80" t="s">
        <v>198</v>
      </c>
      <c r="L262" s="84" t="s">
        <v>300</v>
      </c>
      <c r="M262" s="84" t="s">
        <v>221</v>
      </c>
      <c r="N262" s="84" t="s">
        <v>72</v>
      </c>
      <c r="O262" s="28" t="s">
        <v>1554</v>
      </c>
      <c r="P262" s="28" t="s">
        <v>1555</v>
      </c>
      <c r="Q262" s="49" t="s">
        <v>75</v>
      </c>
      <c r="R262" s="25" t="s">
        <v>91</v>
      </c>
      <c r="S262" s="26">
        <v>24</v>
      </c>
      <c r="T262" s="55" t="s">
        <v>702</v>
      </c>
      <c r="U262" s="228" t="s">
        <v>1556</v>
      </c>
      <c r="V262" s="100"/>
      <c r="W262" s="225" t="s">
        <v>76</v>
      </c>
      <c r="X262" s="78" t="s">
        <v>78</v>
      </c>
      <c r="Y262" s="106" t="s">
        <v>76</v>
      </c>
      <c r="Z262" s="75" t="s">
        <v>93</v>
      </c>
      <c r="AA262" s="175" t="s">
        <v>702</v>
      </c>
      <c r="AB262" s="26"/>
      <c r="AC262" s="44"/>
    </row>
    <row r="263" spans="1:29" ht="148.5" hidden="1">
      <c r="A263" s="88">
        <v>253</v>
      </c>
      <c r="B263" s="79" t="s">
        <v>1557</v>
      </c>
      <c r="C263" s="148" t="s">
        <v>8</v>
      </c>
      <c r="D263" s="80" t="s">
        <v>63</v>
      </c>
      <c r="E263" s="27" t="s">
        <v>1548</v>
      </c>
      <c r="F263" s="80" t="s">
        <v>338</v>
      </c>
      <c r="G263" s="81" t="s">
        <v>1522</v>
      </c>
      <c r="H263" s="80" t="s">
        <v>1549</v>
      </c>
      <c r="I263" s="83">
        <v>45474</v>
      </c>
      <c r="J263" s="80" t="s">
        <v>197</v>
      </c>
      <c r="K263" s="80" t="s">
        <v>198</v>
      </c>
      <c r="L263" s="84" t="s">
        <v>199</v>
      </c>
      <c r="M263" s="84" t="s">
        <v>200</v>
      </c>
      <c r="N263" s="84" t="s">
        <v>72</v>
      </c>
      <c r="O263" s="28" t="s">
        <v>1558</v>
      </c>
      <c r="P263" s="28" t="s">
        <v>1559</v>
      </c>
      <c r="Q263" s="49" t="s">
        <v>75</v>
      </c>
      <c r="R263" s="25" t="s">
        <v>91</v>
      </c>
      <c r="S263" s="26">
        <v>24</v>
      </c>
      <c r="T263" s="26">
        <v>68</v>
      </c>
      <c r="U263" s="108" t="s">
        <v>1560</v>
      </c>
      <c r="V263" s="66"/>
      <c r="W263" s="225" t="s">
        <v>76</v>
      </c>
      <c r="X263" s="78" t="s">
        <v>78</v>
      </c>
      <c r="Y263" s="106" t="s">
        <v>76</v>
      </c>
      <c r="Z263" s="75" t="s">
        <v>93</v>
      </c>
      <c r="AA263" s="30" t="s">
        <v>1536</v>
      </c>
      <c r="AC263" s="40"/>
    </row>
    <row r="264" spans="1:29" ht="97.5" hidden="1" customHeight="1">
      <c r="A264" s="88">
        <v>254</v>
      </c>
      <c r="B264" s="79" t="s">
        <v>1561</v>
      </c>
      <c r="C264" s="148" t="s">
        <v>8</v>
      </c>
      <c r="D264" s="80" t="s">
        <v>63</v>
      </c>
      <c r="E264" s="27">
        <v>200628</v>
      </c>
      <c r="F264" s="80" t="s">
        <v>1344</v>
      </c>
      <c r="G264" s="81" t="s">
        <v>1562</v>
      </c>
      <c r="H264" s="80" t="s">
        <v>1563</v>
      </c>
      <c r="I264" s="83">
        <v>45474</v>
      </c>
      <c r="J264" s="80" t="s">
        <v>170</v>
      </c>
      <c r="K264" s="80" t="s">
        <v>156</v>
      </c>
      <c r="L264" s="84" t="s">
        <v>171</v>
      </c>
      <c r="M264" s="84" t="s">
        <v>71</v>
      </c>
      <c r="N264" s="84" t="s">
        <v>72</v>
      </c>
      <c r="O264" s="28" t="s">
        <v>1564</v>
      </c>
      <c r="P264" s="28" t="s">
        <v>1565</v>
      </c>
      <c r="Q264" s="49" t="s">
        <v>91</v>
      </c>
      <c r="R264" s="25"/>
      <c r="S264" s="26">
        <v>16</v>
      </c>
      <c r="T264" s="26" t="s">
        <v>76</v>
      </c>
      <c r="U264" s="228" t="s">
        <v>1566</v>
      </c>
      <c r="V264" s="66"/>
      <c r="W264" s="225" t="s">
        <v>76</v>
      </c>
      <c r="X264" s="106" t="s">
        <v>76</v>
      </c>
      <c r="Y264" s="26" t="s">
        <v>76</v>
      </c>
      <c r="Z264" s="75" t="s">
        <v>193</v>
      </c>
      <c r="AA264" s="53" t="s">
        <v>76</v>
      </c>
      <c r="AB264" s="26"/>
      <c r="AC264" s="44"/>
    </row>
    <row r="265" spans="1:29" ht="102" hidden="1" customHeight="1">
      <c r="A265" s="88">
        <v>255</v>
      </c>
      <c r="B265" s="79" t="s">
        <v>1567</v>
      </c>
      <c r="C265" s="148" t="s">
        <v>8</v>
      </c>
      <c r="D265" s="80" t="s">
        <v>63</v>
      </c>
      <c r="E265" s="27">
        <v>200628</v>
      </c>
      <c r="F265" s="80" t="s">
        <v>1344</v>
      </c>
      <c r="G265" s="81" t="s">
        <v>1562</v>
      </c>
      <c r="H265" s="80" t="s">
        <v>1563</v>
      </c>
      <c r="I265" s="83">
        <v>45474</v>
      </c>
      <c r="J265" s="80" t="s">
        <v>663</v>
      </c>
      <c r="K265" s="80" t="s">
        <v>1401</v>
      </c>
      <c r="L265" s="84" t="s">
        <v>100</v>
      </c>
      <c r="M265" s="84" t="s">
        <v>595</v>
      </c>
      <c r="N265" s="84" t="s">
        <v>72</v>
      </c>
      <c r="O265" s="28" t="s">
        <v>1568</v>
      </c>
      <c r="P265" s="28" t="s">
        <v>1569</v>
      </c>
      <c r="Q265" s="49" t="s">
        <v>91</v>
      </c>
      <c r="R265" s="25"/>
      <c r="S265" s="26">
        <v>14</v>
      </c>
      <c r="T265" s="26" t="s">
        <v>76</v>
      </c>
      <c r="U265" s="228" t="s">
        <v>1570</v>
      </c>
      <c r="V265" s="66"/>
      <c r="W265" s="225" t="s">
        <v>76</v>
      </c>
      <c r="X265" s="106" t="s">
        <v>76</v>
      </c>
      <c r="Y265" s="26" t="s">
        <v>76</v>
      </c>
      <c r="Z265" s="75" t="s">
        <v>193</v>
      </c>
      <c r="AA265" s="53" t="s">
        <v>76</v>
      </c>
      <c r="AB265" s="26"/>
      <c r="AC265" s="44"/>
    </row>
    <row r="266" spans="1:29" ht="237.75" hidden="1" customHeight="1">
      <c r="A266" s="88">
        <v>256</v>
      </c>
      <c r="B266" s="79" t="s">
        <v>1571</v>
      </c>
      <c r="C266" s="148" t="s">
        <v>8</v>
      </c>
      <c r="D266" s="80" t="s">
        <v>63</v>
      </c>
      <c r="E266" s="27" t="s">
        <v>1572</v>
      </c>
      <c r="F266" s="80" t="s">
        <v>109</v>
      </c>
      <c r="G266" s="81" t="s">
        <v>66</v>
      </c>
      <c r="H266" s="80" t="s">
        <v>1573</v>
      </c>
      <c r="I266" s="83">
        <v>45474</v>
      </c>
      <c r="J266" s="80" t="s">
        <v>298</v>
      </c>
      <c r="K266" s="80" t="s">
        <v>69</v>
      </c>
      <c r="L266" s="84" t="s">
        <v>300</v>
      </c>
      <c r="M266" s="84" t="s">
        <v>252</v>
      </c>
      <c r="N266" s="84" t="s">
        <v>72</v>
      </c>
      <c r="O266" s="28" t="s">
        <v>1574</v>
      </c>
      <c r="P266" s="28" t="s">
        <v>1575</v>
      </c>
      <c r="Q266" s="49" t="s">
        <v>75</v>
      </c>
      <c r="R266" s="25" t="s">
        <v>91</v>
      </c>
      <c r="S266" s="26">
        <v>26</v>
      </c>
      <c r="T266" s="26" t="s">
        <v>313</v>
      </c>
      <c r="U266" s="228" t="s">
        <v>1576</v>
      </c>
      <c r="V266" s="66"/>
      <c r="W266" s="225" t="s">
        <v>76</v>
      </c>
      <c r="X266" s="78" t="s">
        <v>78</v>
      </c>
      <c r="Y266" s="26" t="s">
        <v>76</v>
      </c>
      <c r="Z266" s="75" t="s">
        <v>93</v>
      </c>
      <c r="AA266" s="53" t="s">
        <v>76</v>
      </c>
      <c r="AB266" s="26"/>
      <c r="AC266" s="44"/>
    </row>
    <row r="267" spans="1:29" ht="49.5" hidden="1">
      <c r="A267" s="88">
        <v>257</v>
      </c>
      <c r="B267" s="79" t="s">
        <v>1577</v>
      </c>
      <c r="C267" s="148" t="s">
        <v>8</v>
      </c>
      <c r="D267" s="80" t="s">
        <v>63</v>
      </c>
      <c r="E267" s="27" t="s">
        <v>1531</v>
      </c>
      <c r="F267" s="80" t="s">
        <v>109</v>
      </c>
      <c r="G267" s="81" t="s">
        <v>1522</v>
      </c>
      <c r="H267" s="80" t="s">
        <v>1532</v>
      </c>
      <c r="I267" s="83">
        <v>45474</v>
      </c>
      <c r="J267" s="80" t="s">
        <v>298</v>
      </c>
      <c r="K267" s="80" t="s">
        <v>299</v>
      </c>
      <c r="L267" s="84" t="s">
        <v>300</v>
      </c>
      <c r="M267" s="84" t="s">
        <v>252</v>
      </c>
      <c r="N267" s="84" t="s">
        <v>72</v>
      </c>
      <c r="O267" s="28" t="s">
        <v>1578</v>
      </c>
      <c r="P267" s="28" t="s">
        <v>1579</v>
      </c>
      <c r="Q267" s="49" t="s">
        <v>91</v>
      </c>
      <c r="R267" s="25"/>
      <c r="S267" s="26">
        <v>16</v>
      </c>
      <c r="T267" s="56" t="s">
        <v>1276</v>
      </c>
      <c r="U267" s="228" t="s">
        <v>1580</v>
      </c>
      <c r="V267" s="66"/>
      <c r="W267" s="225" t="s">
        <v>76</v>
      </c>
      <c r="X267" s="106" t="s">
        <v>76</v>
      </c>
      <c r="Y267" s="26" t="s">
        <v>76</v>
      </c>
      <c r="Z267" s="75" t="s">
        <v>193</v>
      </c>
      <c r="AA267" s="53" t="s">
        <v>76</v>
      </c>
      <c r="AB267" s="26"/>
      <c r="AC267" s="44"/>
    </row>
    <row r="268" spans="1:29" ht="192" hidden="1" customHeight="1">
      <c r="A268" s="88">
        <v>258</v>
      </c>
      <c r="B268" s="79" t="s">
        <v>1581</v>
      </c>
      <c r="C268" s="148" t="s">
        <v>8</v>
      </c>
      <c r="D268" s="80" t="s">
        <v>63</v>
      </c>
      <c r="E268" s="27" t="s">
        <v>1582</v>
      </c>
      <c r="F268" s="80" t="s">
        <v>109</v>
      </c>
      <c r="G268" s="81" t="s">
        <v>1562</v>
      </c>
      <c r="H268" s="80" t="s">
        <v>1583</v>
      </c>
      <c r="I268" s="83">
        <v>45477</v>
      </c>
      <c r="J268" s="80" t="s">
        <v>1144</v>
      </c>
      <c r="K268" s="80" t="s">
        <v>146</v>
      </c>
      <c r="L268" s="84" t="s">
        <v>189</v>
      </c>
      <c r="M268" s="84" t="s">
        <v>148</v>
      </c>
      <c r="N268" s="84" t="s">
        <v>72</v>
      </c>
      <c r="O268" s="28" t="s">
        <v>1584</v>
      </c>
      <c r="P268" s="28" t="s">
        <v>1585</v>
      </c>
      <c r="Q268" s="49" t="s">
        <v>75</v>
      </c>
      <c r="R268" s="25" t="s">
        <v>91</v>
      </c>
      <c r="S268" s="26">
        <v>19</v>
      </c>
      <c r="T268" s="26">
        <v>61</v>
      </c>
      <c r="U268" s="228" t="s">
        <v>617</v>
      </c>
      <c r="V268" s="100"/>
      <c r="W268" s="225" t="s">
        <v>76</v>
      </c>
      <c r="X268" s="78" t="s">
        <v>78</v>
      </c>
      <c r="Y268" s="26" t="s">
        <v>76</v>
      </c>
      <c r="Z268" s="75" t="s">
        <v>93</v>
      </c>
      <c r="AA268" s="53" t="s">
        <v>76</v>
      </c>
      <c r="AB268" s="26"/>
      <c r="AC268" s="44"/>
    </row>
    <row r="269" spans="1:29" ht="66" hidden="1">
      <c r="A269" s="88">
        <v>259</v>
      </c>
      <c r="B269" s="79" t="s">
        <v>1586</v>
      </c>
      <c r="C269" s="148" t="s">
        <v>8</v>
      </c>
      <c r="D269" s="80" t="s">
        <v>63</v>
      </c>
      <c r="E269" s="27" t="s">
        <v>1492</v>
      </c>
      <c r="F269" s="80" t="s">
        <v>109</v>
      </c>
      <c r="G269" s="81" t="s">
        <v>440</v>
      </c>
      <c r="H269" s="80" t="s">
        <v>1493</v>
      </c>
      <c r="I269" s="83">
        <v>45477</v>
      </c>
      <c r="J269" s="80" t="s">
        <v>833</v>
      </c>
      <c r="K269" s="80" t="s">
        <v>188</v>
      </c>
      <c r="L269" s="84" t="s">
        <v>189</v>
      </c>
      <c r="M269" s="84" t="s">
        <v>252</v>
      </c>
      <c r="N269" s="84" t="s">
        <v>72</v>
      </c>
      <c r="O269" s="28" t="s">
        <v>1587</v>
      </c>
      <c r="P269" s="28" t="s">
        <v>1588</v>
      </c>
      <c r="Q269" s="49" t="s">
        <v>75</v>
      </c>
      <c r="R269" s="179" t="s">
        <v>91</v>
      </c>
      <c r="S269" s="26">
        <v>22</v>
      </c>
      <c r="T269" s="26">
        <v>66</v>
      </c>
      <c r="U269" s="228" t="s">
        <v>1589</v>
      </c>
      <c r="V269" s="100"/>
      <c r="W269" s="225" t="s">
        <v>76</v>
      </c>
      <c r="X269" s="78" t="s">
        <v>78</v>
      </c>
      <c r="Y269" s="26" t="s">
        <v>76</v>
      </c>
      <c r="Z269" s="75" t="s">
        <v>106</v>
      </c>
      <c r="AA269" s="53" t="s">
        <v>76</v>
      </c>
      <c r="AB269" s="26"/>
      <c r="AC269" s="44"/>
    </row>
    <row r="270" spans="1:29" ht="66" hidden="1">
      <c r="A270" s="88">
        <v>260</v>
      </c>
      <c r="B270" s="79" t="s">
        <v>1590</v>
      </c>
      <c r="C270" s="148" t="s">
        <v>8</v>
      </c>
      <c r="D270" s="80" t="s">
        <v>63</v>
      </c>
      <c r="E270" s="27" t="s">
        <v>1591</v>
      </c>
      <c r="F270" s="80" t="s">
        <v>109</v>
      </c>
      <c r="G270" s="81" t="s">
        <v>1132</v>
      </c>
      <c r="H270" s="80" t="s">
        <v>1592</v>
      </c>
      <c r="I270" s="83">
        <v>45477</v>
      </c>
      <c r="J270" s="80" t="s">
        <v>833</v>
      </c>
      <c r="K270" s="80" t="s">
        <v>1267</v>
      </c>
      <c r="L270" s="84" t="s">
        <v>189</v>
      </c>
      <c r="M270" s="84" t="s">
        <v>252</v>
      </c>
      <c r="N270" s="84" t="s">
        <v>72</v>
      </c>
      <c r="O270" s="28" t="s">
        <v>1593</v>
      </c>
      <c r="P270" s="28" t="s">
        <v>1594</v>
      </c>
      <c r="Q270" s="49" t="s">
        <v>75</v>
      </c>
      <c r="R270" s="25" t="s">
        <v>91</v>
      </c>
      <c r="S270" s="26">
        <v>18</v>
      </c>
      <c r="T270" s="26">
        <v>61</v>
      </c>
      <c r="U270" s="228" t="s">
        <v>1595</v>
      </c>
      <c r="V270" s="66"/>
      <c r="W270" s="225" t="s">
        <v>76</v>
      </c>
      <c r="X270" s="78" t="s">
        <v>78</v>
      </c>
      <c r="Y270" s="26" t="s">
        <v>76</v>
      </c>
      <c r="Z270" s="75" t="s">
        <v>93</v>
      </c>
      <c r="AA270" s="53" t="s">
        <v>76</v>
      </c>
      <c r="AB270" s="26"/>
      <c r="AC270" s="44"/>
    </row>
    <row r="271" spans="1:29" ht="148.5" hidden="1">
      <c r="A271" s="88">
        <v>261</v>
      </c>
      <c r="B271" s="79" t="s">
        <v>1596</v>
      </c>
      <c r="C271" s="148" t="s">
        <v>8</v>
      </c>
      <c r="D271" s="80" t="s">
        <v>83</v>
      </c>
      <c r="E271" s="27" t="s">
        <v>215</v>
      </c>
      <c r="F271" s="80" t="s">
        <v>109</v>
      </c>
      <c r="G271" s="81" t="s">
        <v>96</v>
      </c>
      <c r="H271" s="80" t="s">
        <v>216</v>
      </c>
      <c r="I271" s="83">
        <v>45478</v>
      </c>
      <c r="J271" s="80" t="s">
        <v>111</v>
      </c>
      <c r="K271" s="80" t="s">
        <v>112</v>
      </c>
      <c r="L271" s="84" t="s">
        <v>122</v>
      </c>
      <c r="M271" s="84" t="s">
        <v>114</v>
      </c>
      <c r="N271" s="84" t="s">
        <v>72</v>
      </c>
      <c r="O271" s="28" t="s">
        <v>1597</v>
      </c>
      <c r="P271" s="28" t="s">
        <v>1598</v>
      </c>
      <c r="Q271" s="49" t="s">
        <v>75</v>
      </c>
      <c r="R271" s="25" t="s">
        <v>91</v>
      </c>
      <c r="S271" s="26">
        <v>18</v>
      </c>
      <c r="T271" s="26">
        <v>51</v>
      </c>
      <c r="U271" s="228" t="s">
        <v>1599</v>
      </c>
      <c r="V271" s="66"/>
      <c r="W271" s="225" t="s">
        <v>76</v>
      </c>
      <c r="X271" s="78" t="s">
        <v>78</v>
      </c>
      <c r="Y271" s="26" t="s">
        <v>76</v>
      </c>
      <c r="Z271" s="75" t="s">
        <v>93</v>
      </c>
      <c r="AA271" s="53" t="s">
        <v>76</v>
      </c>
      <c r="AB271" s="26"/>
      <c r="AC271" s="44"/>
    </row>
    <row r="272" spans="1:29" ht="66" hidden="1">
      <c r="A272" s="88">
        <v>262</v>
      </c>
      <c r="B272" s="79" t="s">
        <v>1600</v>
      </c>
      <c r="C272" s="148" t="s">
        <v>8</v>
      </c>
      <c r="D272" s="80" t="s">
        <v>83</v>
      </c>
      <c r="E272" s="27" t="s">
        <v>337</v>
      </c>
      <c r="F272" s="80" t="s">
        <v>338</v>
      </c>
      <c r="G272" s="81" t="s">
        <v>339</v>
      </c>
      <c r="H272" s="80" t="s">
        <v>340</v>
      </c>
      <c r="I272" s="83">
        <v>45478</v>
      </c>
      <c r="J272" s="80" t="s">
        <v>657</v>
      </c>
      <c r="K272" s="81" t="s">
        <v>1601</v>
      </c>
      <c r="L272" s="84" t="s">
        <v>189</v>
      </c>
      <c r="M272" s="84" t="s">
        <v>221</v>
      </c>
      <c r="N272" s="84" t="s">
        <v>72</v>
      </c>
      <c r="O272" s="28" t="s">
        <v>1602</v>
      </c>
      <c r="P272" s="28" t="s">
        <v>1603</v>
      </c>
      <c r="Q272" s="49" t="s">
        <v>75</v>
      </c>
      <c r="R272" s="180" t="s">
        <v>504</v>
      </c>
      <c r="S272" s="26" t="s">
        <v>76</v>
      </c>
      <c r="T272" s="26" t="s">
        <v>76</v>
      </c>
      <c r="U272" s="228" t="s">
        <v>1604</v>
      </c>
      <c r="V272" s="100"/>
      <c r="W272" s="225" t="s">
        <v>76</v>
      </c>
      <c r="X272" s="78" t="s">
        <v>78</v>
      </c>
      <c r="Y272" s="26" t="s">
        <v>76</v>
      </c>
      <c r="Z272" s="75" t="s">
        <v>106</v>
      </c>
      <c r="AA272" s="53" t="s">
        <v>76</v>
      </c>
      <c r="AB272" s="26"/>
      <c r="AC272" s="44"/>
    </row>
    <row r="273" spans="1:29" ht="115.5" hidden="1">
      <c r="A273" s="88">
        <v>263</v>
      </c>
      <c r="B273" s="79" t="s">
        <v>1605</v>
      </c>
      <c r="C273" s="148" t="s">
        <v>8</v>
      </c>
      <c r="D273" s="80" t="s">
        <v>83</v>
      </c>
      <c r="E273" s="27" t="s">
        <v>1248</v>
      </c>
      <c r="F273" s="80" t="s">
        <v>120</v>
      </c>
      <c r="G273" s="81" t="s">
        <v>910</v>
      </c>
      <c r="H273" s="80" t="s">
        <v>1249</v>
      </c>
      <c r="I273" s="83">
        <v>45478</v>
      </c>
      <c r="J273" s="80" t="s">
        <v>111</v>
      </c>
      <c r="K273" s="80" t="s">
        <v>112</v>
      </c>
      <c r="L273" s="84" t="s">
        <v>122</v>
      </c>
      <c r="M273" s="84" t="s">
        <v>114</v>
      </c>
      <c r="N273" s="84" t="s">
        <v>72</v>
      </c>
      <c r="O273" s="28" t="s">
        <v>1606</v>
      </c>
      <c r="P273" s="28" t="s">
        <v>1607</v>
      </c>
      <c r="Q273" s="49" t="s">
        <v>75</v>
      </c>
      <c r="R273" s="25" t="s">
        <v>91</v>
      </c>
      <c r="S273" s="26">
        <v>25</v>
      </c>
      <c r="T273" s="26">
        <v>66</v>
      </c>
      <c r="U273" s="228" t="s">
        <v>1608</v>
      </c>
      <c r="V273" s="66"/>
      <c r="W273" s="225" t="s">
        <v>76</v>
      </c>
      <c r="X273" s="78" t="s">
        <v>78</v>
      </c>
      <c r="Y273" s="26" t="s">
        <v>76</v>
      </c>
      <c r="Z273" s="75" t="s">
        <v>93</v>
      </c>
      <c r="AA273" s="53" t="s">
        <v>76</v>
      </c>
      <c r="AB273" s="26"/>
      <c r="AC273" s="44"/>
    </row>
    <row r="274" spans="1:29" ht="49.5" hidden="1">
      <c r="A274" s="88">
        <v>264</v>
      </c>
      <c r="B274" s="79" t="s">
        <v>1609</v>
      </c>
      <c r="C274" s="148" t="s">
        <v>8</v>
      </c>
      <c r="D274" s="80" t="s">
        <v>63</v>
      </c>
      <c r="E274" s="27" t="s">
        <v>958</v>
      </c>
      <c r="F274" s="80" t="s">
        <v>120</v>
      </c>
      <c r="G274" s="81" t="s">
        <v>154</v>
      </c>
      <c r="H274" s="80" t="s">
        <v>959</v>
      </c>
      <c r="I274" s="83">
        <v>45478</v>
      </c>
      <c r="J274" s="80" t="s">
        <v>657</v>
      </c>
      <c r="K274" s="80" t="s">
        <v>188</v>
      </c>
      <c r="L274" s="84" t="s">
        <v>189</v>
      </c>
      <c r="M274" s="84" t="s">
        <v>221</v>
      </c>
      <c r="N274" s="84" t="s">
        <v>72</v>
      </c>
      <c r="O274" s="28" t="s">
        <v>1610</v>
      </c>
      <c r="P274" s="28" t="s">
        <v>1611</v>
      </c>
      <c r="Q274" s="49" t="s">
        <v>75</v>
      </c>
      <c r="R274" s="25" t="s">
        <v>91</v>
      </c>
      <c r="S274" s="26">
        <v>22</v>
      </c>
      <c r="T274" s="55" t="s">
        <v>361</v>
      </c>
      <c r="U274" s="228" t="s">
        <v>1612</v>
      </c>
      <c r="V274" s="100"/>
      <c r="W274" s="225"/>
      <c r="X274" s="78" t="s">
        <v>78</v>
      </c>
      <c r="Y274" s="26" t="s">
        <v>76</v>
      </c>
      <c r="Z274" s="93" t="s">
        <v>106</v>
      </c>
      <c r="AA274" s="53" t="s">
        <v>76</v>
      </c>
      <c r="AB274" s="26"/>
      <c r="AC274" s="44"/>
    </row>
    <row r="275" spans="1:29" ht="33" hidden="1">
      <c r="A275" s="88">
        <v>265</v>
      </c>
      <c r="B275" s="79" t="s">
        <v>1613</v>
      </c>
      <c r="C275" s="148" t="s">
        <v>8</v>
      </c>
      <c r="D275" s="80" t="s">
        <v>83</v>
      </c>
      <c r="E275" s="27" t="s">
        <v>668</v>
      </c>
      <c r="F275" s="80" t="s">
        <v>338</v>
      </c>
      <c r="G275" s="81" t="s">
        <v>669</v>
      </c>
      <c r="H275" s="80" t="s">
        <v>670</v>
      </c>
      <c r="I275" s="83">
        <v>45478</v>
      </c>
      <c r="J275" s="80" t="s">
        <v>111</v>
      </c>
      <c r="K275" s="80" t="s">
        <v>1614</v>
      </c>
      <c r="L275" s="84" t="s">
        <v>122</v>
      </c>
      <c r="M275" s="84" t="s">
        <v>114</v>
      </c>
      <c r="N275" s="84" t="s">
        <v>72</v>
      </c>
      <c r="O275" s="28" t="s">
        <v>1615</v>
      </c>
      <c r="P275" s="28" t="s">
        <v>1616</v>
      </c>
      <c r="Q275" s="49" t="s">
        <v>75</v>
      </c>
      <c r="R275" s="25" t="s">
        <v>91</v>
      </c>
      <c r="S275" s="26" t="s">
        <v>76</v>
      </c>
      <c r="T275" s="26" t="s">
        <v>303</v>
      </c>
      <c r="U275" s="228" t="s">
        <v>76</v>
      </c>
      <c r="V275" s="100"/>
      <c r="W275" s="225" t="s">
        <v>76</v>
      </c>
      <c r="X275" s="78" t="s">
        <v>78</v>
      </c>
      <c r="Y275" s="26" t="s">
        <v>76</v>
      </c>
      <c r="Z275" s="75" t="s">
        <v>93</v>
      </c>
      <c r="AA275" s="53" t="s">
        <v>76</v>
      </c>
      <c r="AB275" s="26"/>
      <c r="AC275" s="44"/>
    </row>
    <row r="276" spans="1:29" ht="66" hidden="1">
      <c r="A276" s="88">
        <v>266</v>
      </c>
      <c r="B276" s="79" t="s">
        <v>1617</v>
      </c>
      <c r="C276" s="148" t="s">
        <v>8</v>
      </c>
      <c r="D276" s="80" t="s">
        <v>63</v>
      </c>
      <c r="E276" s="27" t="s">
        <v>1618</v>
      </c>
      <c r="F276" s="80" t="s">
        <v>65</v>
      </c>
      <c r="G276" s="81" t="s">
        <v>154</v>
      </c>
      <c r="H276" s="80" t="s">
        <v>1619</v>
      </c>
      <c r="I276" s="83">
        <v>45478</v>
      </c>
      <c r="J276" s="80" t="s">
        <v>1144</v>
      </c>
      <c r="K276" s="80" t="s">
        <v>146</v>
      </c>
      <c r="L276" s="84" t="s">
        <v>189</v>
      </c>
      <c r="M276" s="84" t="s">
        <v>148</v>
      </c>
      <c r="N276" s="84" t="s">
        <v>72</v>
      </c>
      <c r="O276" s="28" t="s">
        <v>1620</v>
      </c>
      <c r="P276" s="28" t="s">
        <v>1621</v>
      </c>
      <c r="Q276" s="49" t="s">
        <v>75</v>
      </c>
      <c r="R276" s="25" t="s">
        <v>75</v>
      </c>
      <c r="S276" s="26">
        <v>23</v>
      </c>
      <c r="T276" s="55">
        <v>79</v>
      </c>
      <c r="U276" s="228"/>
      <c r="V276" s="62" t="s">
        <v>75</v>
      </c>
      <c r="W276" s="229" t="s">
        <v>104</v>
      </c>
      <c r="X276" s="78" t="s">
        <v>78</v>
      </c>
      <c r="Y276" s="106" t="s">
        <v>516</v>
      </c>
      <c r="Z276" s="75" t="s">
        <v>106</v>
      </c>
      <c r="AA276" s="53" t="s">
        <v>76</v>
      </c>
      <c r="AB276" s="26"/>
      <c r="AC276" s="44"/>
    </row>
    <row r="277" spans="1:29" ht="49.5" hidden="1">
      <c r="A277" s="88">
        <v>267</v>
      </c>
      <c r="B277" s="79" t="s">
        <v>1622</v>
      </c>
      <c r="C277" s="148" t="s">
        <v>8</v>
      </c>
      <c r="D277" s="80" t="s">
        <v>63</v>
      </c>
      <c r="E277" s="27" t="s">
        <v>1591</v>
      </c>
      <c r="F277" s="80" t="s">
        <v>109</v>
      </c>
      <c r="G277" s="81" t="s">
        <v>1132</v>
      </c>
      <c r="H277" s="80" t="s">
        <v>1592</v>
      </c>
      <c r="I277" s="83">
        <v>45478</v>
      </c>
      <c r="J277" s="80" t="s">
        <v>1288</v>
      </c>
      <c r="K277" s="80" t="s">
        <v>112</v>
      </c>
      <c r="L277" s="84" t="s">
        <v>122</v>
      </c>
      <c r="M277" s="84" t="s">
        <v>148</v>
      </c>
      <c r="N277" s="84" t="s">
        <v>72</v>
      </c>
      <c r="O277" s="28" t="s">
        <v>1623</v>
      </c>
      <c r="P277" s="28" t="s">
        <v>1624</v>
      </c>
      <c r="Q277" s="49" t="s">
        <v>91</v>
      </c>
      <c r="R277" s="25"/>
      <c r="S277" s="26">
        <v>16</v>
      </c>
      <c r="T277" s="26"/>
      <c r="U277" s="228" t="s">
        <v>1625</v>
      </c>
      <c r="V277" s="66"/>
      <c r="W277" s="225" t="s">
        <v>76</v>
      </c>
      <c r="X277" s="106" t="s">
        <v>76</v>
      </c>
      <c r="Y277" s="26" t="s">
        <v>76</v>
      </c>
      <c r="Z277" s="75" t="s">
        <v>193</v>
      </c>
      <c r="AA277" s="53" t="s">
        <v>76</v>
      </c>
      <c r="AB277" s="26"/>
      <c r="AC277" s="44"/>
    </row>
    <row r="278" spans="1:29" ht="66" hidden="1">
      <c r="A278" s="88">
        <v>268</v>
      </c>
      <c r="B278" s="79" t="s">
        <v>1626</v>
      </c>
      <c r="C278" s="148" t="s">
        <v>8</v>
      </c>
      <c r="D278" s="80" t="s">
        <v>178</v>
      </c>
      <c r="E278" s="27" t="s">
        <v>1627</v>
      </c>
      <c r="F278" s="80" t="s">
        <v>109</v>
      </c>
      <c r="G278" s="81" t="s">
        <v>180</v>
      </c>
      <c r="H278" s="80" t="s">
        <v>1628</v>
      </c>
      <c r="I278" s="83">
        <v>45478</v>
      </c>
      <c r="J278" s="80" t="s">
        <v>111</v>
      </c>
      <c r="K278" s="80" t="s">
        <v>112</v>
      </c>
      <c r="L278" s="84" t="s">
        <v>122</v>
      </c>
      <c r="M278" s="84" t="s">
        <v>114</v>
      </c>
      <c r="N278" s="84" t="s">
        <v>72</v>
      </c>
      <c r="O278" s="28" t="s">
        <v>1629</v>
      </c>
      <c r="P278" s="28" t="s">
        <v>1630</v>
      </c>
      <c r="Q278" s="49" t="s">
        <v>75</v>
      </c>
      <c r="R278" s="196" t="s">
        <v>91</v>
      </c>
      <c r="S278" s="26">
        <v>19</v>
      </c>
      <c r="T278" s="26">
        <v>63</v>
      </c>
      <c r="U278" s="228" t="s">
        <v>1631</v>
      </c>
      <c r="V278" s="66"/>
      <c r="W278" s="225" t="s">
        <v>76</v>
      </c>
      <c r="X278" s="78" t="s">
        <v>78</v>
      </c>
      <c r="Y278" s="26" t="s">
        <v>76</v>
      </c>
      <c r="Z278" s="75" t="s">
        <v>93</v>
      </c>
      <c r="AA278" s="53" t="s">
        <v>76</v>
      </c>
      <c r="AB278" s="26"/>
      <c r="AC278" s="44"/>
    </row>
    <row r="279" spans="1:29" ht="115.5" hidden="1">
      <c r="A279" s="88">
        <v>269</v>
      </c>
      <c r="B279" s="79" t="s">
        <v>1632</v>
      </c>
      <c r="C279" s="148" t="s">
        <v>8</v>
      </c>
      <c r="D279" s="80" t="s">
        <v>178</v>
      </c>
      <c r="E279" s="27" t="s">
        <v>1627</v>
      </c>
      <c r="F279" s="80" t="s">
        <v>109</v>
      </c>
      <c r="G279" s="81" t="s">
        <v>180</v>
      </c>
      <c r="H279" s="80" t="s">
        <v>1628</v>
      </c>
      <c r="I279" s="83">
        <v>45478</v>
      </c>
      <c r="J279" s="80" t="s">
        <v>111</v>
      </c>
      <c r="K279" s="80" t="s">
        <v>112</v>
      </c>
      <c r="L279" s="84" t="s">
        <v>122</v>
      </c>
      <c r="M279" s="84" t="s">
        <v>114</v>
      </c>
      <c r="N279" s="84" t="s">
        <v>72</v>
      </c>
      <c r="O279" s="28" t="s">
        <v>1633</v>
      </c>
      <c r="P279" s="28" t="s">
        <v>1634</v>
      </c>
      <c r="Q279" s="49" t="s">
        <v>91</v>
      </c>
      <c r="R279" s="25"/>
      <c r="S279" s="26">
        <v>17</v>
      </c>
      <c r="T279" s="26" t="s">
        <v>76</v>
      </c>
      <c r="U279" s="228" t="s">
        <v>125</v>
      </c>
      <c r="V279" s="66"/>
      <c r="W279" s="225" t="s">
        <v>76</v>
      </c>
      <c r="X279" s="106" t="s">
        <v>76</v>
      </c>
      <c r="Y279" s="26" t="s">
        <v>76</v>
      </c>
      <c r="Z279" s="75" t="s">
        <v>193</v>
      </c>
      <c r="AA279" s="53" t="s">
        <v>76</v>
      </c>
      <c r="AB279" s="26"/>
      <c r="AC279" s="44"/>
    </row>
    <row r="280" spans="1:29" ht="66" hidden="1">
      <c r="A280" s="88">
        <v>270</v>
      </c>
      <c r="B280" s="79" t="s">
        <v>1635</v>
      </c>
      <c r="C280" s="148" t="s">
        <v>8</v>
      </c>
      <c r="D280" s="80" t="s">
        <v>178</v>
      </c>
      <c r="E280" s="27" t="s">
        <v>1627</v>
      </c>
      <c r="F280" s="80" t="s">
        <v>109</v>
      </c>
      <c r="G280" s="81" t="s">
        <v>180</v>
      </c>
      <c r="H280" s="80" t="s">
        <v>1628</v>
      </c>
      <c r="I280" s="83">
        <v>45478</v>
      </c>
      <c r="J280" s="80" t="s">
        <v>745</v>
      </c>
      <c r="K280" s="80" t="s">
        <v>99</v>
      </c>
      <c r="L280" s="84" t="s">
        <v>100</v>
      </c>
      <c r="M280" s="84" t="s">
        <v>601</v>
      </c>
      <c r="N280" s="84" t="s">
        <v>72</v>
      </c>
      <c r="O280" s="28" t="s">
        <v>1636</v>
      </c>
      <c r="P280" s="28" t="s">
        <v>1637</v>
      </c>
      <c r="Q280" s="49" t="s">
        <v>91</v>
      </c>
      <c r="R280" s="25"/>
      <c r="S280" s="26">
        <v>11</v>
      </c>
      <c r="T280" s="26" t="s">
        <v>76</v>
      </c>
      <c r="U280" s="228" t="s">
        <v>1638</v>
      </c>
      <c r="V280" s="66"/>
      <c r="W280" s="225" t="s">
        <v>76</v>
      </c>
      <c r="X280" s="106" t="s">
        <v>76</v>
      </c>
      <c r="Y280" s="26" t="s">
        <v>76</v>
      </c>
      <c r="Z280" s="93" t="s">
        <v>193</v>
      </c>
      <c r="AA280" s="53" t="s">
        <v>76</v>
      </c>
      <c r="AB280" s="26"/>
      <c r="AC280" s="44"/>
    </row>
    <row r="281" spans="1:29" ht="66" hidden="1">
      <c r="A281" s="88">
        <v>271</v>
      </c>
      <c r="B281" s="79" t="s">
        <v>1639</v>
      </c>
      <c r="C281" s="148" t="s">
        <v>8</v>
      </c>
      <c r="D281" s="80" t="s">
        <v>178</v>
      </c>
      <c r="E281" s="27" t="s">
        <v>1627</v>
      </c>
      <c r="F281" s="80" t="s">
        <v>109</v>
      </c>
      <c r="G281" s="81" t="s">
        <v>180</v>
      </c>
      <c r="H281" s="80" t="s">
        <v>1628</v>
      </c>
      <c r="I281" s="83">
        <v>45478</v>
      </c>
      <c r="J281" s="80" t="s">
        <v>111</v>
      </c>
      <c r="K281" s="80" t="s">
        <v>112</v>
      </c>
      <c r="L281" s="84" t="s">
        <v>122</v>
      </c>
      <c r="M281" s="84" t="s">
        <v>114</v>
      </c>
      <c r="N281" s="84" t="s">
        <v>72</v>
      </c>
      <c r="O281" s="28" t="s">
        <v>1640</v>
      </c>
      <c r="P281" s="28" t="s">
        <v>1641</v>
      </c>
      <c r="Q281" s="49" t="s">
        <v>91</v>
      </c>
      <c r="R281" s="25"/>
      <c r="S281" s="26">
        <v>11</v>
      </c>
      <c r="T281" s="26"/>
      <c r="U281" s="228" t="s">
        <v>1642</v>
      </c>
      <c r="V281" s="66"/>
      <c r="W281" s="225" t="s">
        <v>76</v>
      </c>
      <c r="X281" s="106" t="s">
        <v>76</v>
      </c>
      <c r="Y281" s="26" t="s">
        <v>76</v>
      </c>
      <c r="Z281" s="75" t="s">
        <v>193</v>
      </c>
      <c r="AA281" s="53" t="s">
        <v>76</v>
      </c>
      <c r="AB281" s="26"/>
      <c r="AC281" s="44"/>
    </row>
    <row r="282" spans="1:29" ht="49.5" hidden="1">
      <c r="A282" s="88">
        <v>272</v>
      </c>
      <c r="B282" s="79" t="s">
        <v>1643</v>
      </c>
      <c r="C282" s="148" t="s">
        <v>8</v>
      </c>
      <c r="D282" s="80" t="s">
        <v>178</v>
      </c>
      <c r="E282" s="27" t="s">
        <v>1627</v>
      </c>
      <c r="F282" s="80" t="s">
        <v>109</v>
      </c>
      <c r="G282" s="81" t="s">
        <v>180</v>
      </c>
      <c r="H282" s="80" t="s">
        <v>1628</v>
      </c>
      <c r="I282" s="83">
        <v>45478</v>
      </c>
      <c r="J282" s="80" t="s">
        <v>271</v>
      </c>
      <c r="K282" s="80" t="s">
        <v>69</v>
      </c>
      <c r="L282" s="84" t="s">
        <v>70</v>
      </c>
      <c r="M282" s="84" t="s">
        <v>101</v>
      </c>
      <c r="N282" s="84" t="s">
        <v>72</v>
      </c>
      <c r="O282" s="28" t="s">
        <v>1644</v>
      </c>
      <c r="P282" s="28" t="s">
        <v>1645</v>
      </c>
      <c r="Q282" s="49" t="s">
        <v>91</v>
      </c>
      <c r="R282" s="25"/>
      <c r="S282" s="26">
        <v>11</v>
      </c>
      <c r="T282" s="26" t="s">
        <v>76</v>
      </c>
      <c r="U282" s="228" t="s">
        <v>1646</v>
      </c>
      <c r="V282" s="66"/>
      <c r="W282" s="225" t="s">
        <v>76</v>
      </c>
      <c r="X282" s="106" t="s">
        <v>76</v>
      </c>
      <c r="Y282" s="26" t="s">
        <v>76</v>
      </c>
      <c r="Z282" s="75" t="s">
        <v>193</v>
      </c>
      <c r="AA282" s="53" t="s">
        <v>76</v>
      </c>
      <c r="AB282" s="26"/>
      <c r="AC282" s="44"/>
    </row>
    <row r="283" spans="1:29" ht="99" hidden="1">
      <c r="A283" s="88">
        <v>273</v>
      </c>
      <c r="B283" s="79" t="s">
        <v>1647</v>
      </c>
      <c r="C283" s="148" t="s">
        <v>8</v>
      </c>
      <c r="D283" s="80" t="s">
        <v>63</v>
      </c>
      <c r="E283" s="27" t="s">
        <v>1531</v>
      </c>
      <c r="F283" s="80" t="s">
        <v>109</v>
      </c>
      <c r="G283" s="81" t="s">
        <v>1522</v>
      </c>
      <c r="H283" s="80" t="s">
        <v>1532</v>
      </c>
      <c r="I283" s="83">
        <v>45479</v>
      </c>
      <c r="J283" s="80" t="s">
        <v>1003</v>
      </c>
      <c r="K283" s="80" t="s">
        <v>99</v>
      </c>
      <c r="L283" s="84" t="s">
        <v>100</v>
      </c>
      <c r="M283" s="84" t="s">
        <v>252</v>
      </c>
      <c r="N283" s="84" t="s">
        <v>72</v>
      </c>
      <c r="O283" s="33" t="s">
        <v>1648</v>
      </c>
      <c r="P283" s="28" t="s">
        <v>1649</v>
      </c>
      <c r="Q283" s="49" t="s">
        <v>91</v>
      </c>
      <c r="R283" s="25"/>
      <c r="S283" s="26">
        <v>10</v>
      </c>
      <c r="T283" s="26" t="s">
        <v>76</v>
      </c>
      <c r="U283" s="228" t="s">
        <v>1650</v>
      </c>
      <c r="V283" s="100"/>
      <c r="W283" s="225" t="s">
        <v>76</v>
      </c>
      <c r="X283" s="106" t="s">
        <v>76</v>
      </c>
      <c r="Y283" s="26" t="s">
        <v>76</v>
      </c>
      <c r="Z283" s="93" t="s">
        <v>193</v>
      </c>
      <c r="AA283" s="53" t="s">
        <v>76</v>
      </c>
      <c r="AB283" s="26"/>
      <c r="AC283" s="44"/>
    </row>
    <row r="284" spans="1:29" ht="99" hidden="1">
      <c r="A284" s="88">
        <v>274</v>
      </c>
      <c r="B284" s="79" t="s">
        <v>1651</v>
      </c>
      <c r="C284" s="148" t="s">
        <v>8</v>
      </c>
      <c r="D284" s="80" t="s">
        <v>63</v>
      </c>
      <c r="E284" s="27">
        <v>2400485</v>
      </c>
      <c r="F284" s="80" t="s">
        <v>1652</v>
      </c>
      <c r="G284" s="81" t="s">
        <v>1653</v>
      </c>
      <c r="H284" s="80" t="s">
        <v>1654</v>
      </c>
      <c r="I284" s="83">
        <v>45480</v>
      </c>
      <c r="J284" s="80" t="s">
        <v>1003</v>
      </c>
      <c r="K284" s="80" t="s">
        <v>1655</v>
      </c>
      <c r="L284" s="84" t="s">
        <v>100</v>
      </c>
      <c r="M284" s="84" t="s">
        <v>252</v>
      </c>
      <c r="N284" s="84" t="s">
        <v>72</v>
      </c>
      <c r="O284" s="33" t="s">
        <v>1656</v>
      </c>
      <c r="P284" s="28" t="s">
        <v>1657</v>
      </c>
      <c r="Q284" s="49" t="s">
        <v>75</v>
      </c>
      <c r="R284" s="25" t="s">
        <v>91</v>
      </c>
      <c r="S284" s="26">
        <v>24</v>
      </c>
      <c r="T284" s="55" t="s">
        <v>383</v>
      </c>
      <c r="U284" s="228" t="s">
        <v>1658</v>
      </c>
      <c r="V284" s="66"/>
      <c r="W284" s="225" t="s">
        <v>76</v>
      </c>
      <c r="X284" s="78" t="s">
        <v>78</v>
      </c>
      <c r="Y284" s="26" t="s">
        <v>76</v>
      </c>
      <c r="Z284" s="75" t="s">
        <v>93</v>
      </c>
      <c r="AA284" s="53" t="s">
        <v>76</v>
      </c>
      <c r="AB284" s="26"/>
      <c r="AC284" s="44"/>
    </row>
    <row r="285" spans="1:29" ht="82.5" hidden="1">
      <c r="A285" s="88">
        <v>275</v>
      </c>
      <c r="B285" s="79" t="s">
        <v>1659</v>
      </c>
      <c r="C285" s="148" t="s">
        <v>8</v>
      </c>
      <c r="D285" s="80" t="s">
        <v>83</v>
      </c>
      <c r="E285" s="27" t="s">
        <v>1660</v>
      </c>
      <c r="F285" s="80" t="s">
        <v>109</v>
      </c>
      <c r="G285" s="81" t="s">
        <v>932</v>
      </c>
      <c r="H285" s="80" t="s">
        <v>1661</v>
      </c>
      <c r="I285" s="83">
        <v>45480</v>
      </c>
      <c r="J285" s="80" t="s">
        <v>811</v>
      </c>
      <c r="K285" s="80" t="s">
        <v>299</v>
      </c>
      <c r="L285" s="84" t="s">
        <v>300</v>
      </c>
      <c r="M285" s="84" t="s">
        <v>114</v>
      </c>
      <c r="N285" s="84" t="s">
        <v>72</v>
      </c>
      <c r="O285" s="33" t="s">
        <v>1662</v>
      </c>
      <c r="P285" s="28" t="s">
        <v>1663</v>
      </c>
      <c r="Q285" s="49" t="s">
        <v>75</v>
      </c>
      <c r="R285" s="25" t="s">
        <v>91</v>
      </c>
      <c r="S285" s="26">
        <v>21</v>
      </c>
      <c r="T285" s="26" t="s">
        <v>505</v>
      </c>
      <c r="U285" s="228" t="s">
        <v>1664</v>
      </c>
      <c r="V285" s="66"/>
      <c r="W285" s="225" t="s">
        <v>76</v>
      </c>
      <c r="X285" s="78" t="s">
        <v>78</v>
      </c>
      <c r="Y285" s="26" t="s">
        <v>76</v>
      </c>
      <c r="Z285" s="75" t="s">
        <v>106</v>
      </c>
      <c r="AA285" s="53" t="s">
        <v>76</v>
      </c>
      <c r="AB285" s="26"/>
      <c r="AC285" s="44"/>
    </row>
    <row r="286" spans="1:29" ht="49.5" hidden="1">
      <c r="A286" s="88">
        <v>276</v>
      </c>
      <c r="B286" s="79" t="s">
        <v>1665</v>
      </c>
      <c r="C286" s="148" t="s">
        <v>8</v>
      </c>
      <c r="D286" s="80" t="s">
        <v>83</v>
      </c>
      <c r="E286" s="27" t="s">
        <v>1660</v>
      </c>
      <c r="F286" s="80" t="s">
        <v>109</v>
      </c>
      <c r="G286" s="81" t="s">
        <v>932</v>
      </c>
      <c r="H286" s="80" t="s">
        <v>1661</v>
      </c>
      <c r="I286" s="83">
        <v>45480</v>
      </c>
      <c r="J286" s="80" t="s">
        <v>111</v>
      </c>
      <c r="K286" s="80" t="s">
        <v>112</v>
      </c>
      <c r="L286" s="84" t="s">
        <v>122</v>
      </c>
      <c r="M286" s="84" t="s">
        <v>114</v>
      </c>
      <c r="N286" s="84" t="s">
        <v>72</v>
      </c>
      <c r="O286" s="33" t="s">
        <v>1666</v>
      </c>
      <c r="P286" s="28" t="s">
        <v>1667</v>
      </c>
      <c r="Q286" s="49" t="s">
        <v>75</v>
      </c>
      <c r="R286" s="25" t="s">
        <v>91</v>
      </c>
      <c r="S286" s="26">
        <v>24</v>
      </c>
      <c r="T286" s="26">
        <v>67</v>
      </c>
      <c r="U286" s="228" t="s">
        <v>1668</v>
      </c>
      <c r="V286" s="66"/>
      <c r="W286" s="225" t="s">
        <v>76</v>
      </c>
      <c r="X286" s="78" t="s">
        <v>78</v>
      </c>
      <c r="Y286" s="26" t="s">
        <v>76</v>
      </c>
      <c r="Z286" s="75" t="s">
        <v>93</v>
      </c>
      <c r="AA286" s="53" t="s">
        <v>76</v>
      </c>
      <c r="AB286" s="26"/>
      <c r="AC286" s="44"/>
    </row>
    <row r="287" spans="1:29" ht="66" hidden="1">
      <c r="A287" s="88">
        <v>277</v>
      </c>
      <c r="B287" s="79" t="s">
        <v>1669</v>
      </c>
      <c r="C287" s="148" t="s">
        <v>8</v>
      </c>
      <c r="D287" s="80" t="s">
        <v>83</v>
      </c>
      <c r="E287" s="27" t="s">
        <v>1660</v>
      </c>
      <c r="F287" s="80" t="s">
        <v>109</v>
      </c>
      <c r="G287" s="81" t="s">
        <v>932</v>
      </c>
      <c r="H287" s="80" t="s">
        <v>1661</v>
      </c>
      <c r="I287" s="83">
        <v>45480</v>
      </c>
      <c r="J287" s="80" t="s">
        <v>187</v>
      </c>
      <c r="K287" s="80" t="s">
        <v>1670</v>
      </c>
      <c r="L287" s="84" t="s">
        <v>189</v>
      </c>
      <c r="M287" s="84" t="s">
        <v>114</v>
      </c>
      <c r="N287" s="84" t="s">
        <v>72</v>
      </c>
      <c r="O287" s="33" t="s">
        <v>1671</v>
      </c>
      <c r="P287" s="28" t="s">
        <v>1672</v>
      </c>
      <c r="Q287" s="49" t="s">
        <v>75</v>
      </c>
      <c r="R287" s="25" t="s">
        <v>91</v>
      </c>
      <c r="S287" s="26">
        <v>20</v>
      </c>
      <c r="T287" s="26">
        <v>66</v>
      </c>
      <c r="U287" s="228"/>
      <c r="V287" s="100"/>
      <c r="W287" s="225"/>
      <c r="X287" s="78" t="s">
        <v>78</v>
      </c>
      <c r="Y287" s="26" t="s">
        <v>76</v>
      </c>
      <c r="Z287" s="93" t="s">
        <v>106</v>
      </c>
      <c r="AA287" s="53" t="s">
        <v>76</v>
      </c>
      <c r="AB287" s="26"/>
      <c r="AC287" s="44"/>
    </row>
    <row r="288" spans="1:29" ht="66" hidden="1">
      <c r="A288" s="88">
        <v>278</v>
      </c>
      <c r="B288" s="79" t="s">
        <v>1673</v>
      </c>
      <c r="C288" s="148" t="s">
        <v>8</v>
      </c>
      <c r="D288" s="80" t="s">
        <v>63</v>
      </c>
      <c r="E288" s="27" t="s">
        <v>1674</v>
      </c>
      <c r="F288" s="80" t="s">
        <v>338</v>
      </c>
      <c r="G288" s="81" t="s">
        <v>1406</v>
      </c>
      <c r="H288" s="80" t="s">
        <v>1675</v>
      </c>
      <c r="I288" s="83">
        <v>45481</v>
      </c>
      <c r="J288" s="80" t="s">
        <v>1144</v>
      </c>
      <c r="K288" s="80" t="s">
        <v>146</v>
      </c>
      <c r="L288" s="84" t="s">
        <v>189</v>
      </c>
      <c r="M288" s="84" t="s">
        <v>148</v>
      </c>
      <c r="N288" s="84" t="s">
        <v>72</v>
      </c>
      <c r="O288" s="33" t="s">
        <v>1676</v>
      </c>
      <c r="P288" s="28" t="s">
        <v>1677</v>
      </c>
      <c r="Q288" s="49" t="s">
        <v>75</v>
      </c>
      <c r="R288" s="25" t="s">
        <v>91</v>
      </c>
      <c r="S288" s="26">
        <v>23</v>
      </c>
      <c r="T288" s="26">
        <v>65</v>
      </c>
      <c r="U288" s="228" t="s">
        <v>1678</v>
      </c>
      <c r="V288" s="66"/>
      <c r="W288" s="225" t="s">
        <v>76</v>
      </c>
      <c r="X288" s="78" t="s">
        <v>78</v>
      </c>
      <c r="Y288" s="26" t="s">
        <v>76</v>
      </c>
      <c r="Z288" s="75" t="s">
        <v>93</v>
      </c>
      <c r="AA288" s="53" t="s">
        <v>76</v>
      </c>
      <c r="AB288" s="26"/>
      <c r="AC288" s="44"/>
    </row>
    <row r="289" spans="1:29" ht="49.5" hidden="1">
      <c r="A289" s="88">
        <v>279</v>
      </c>
      <c r="B289" s="79" t="s">
        <v>1679</v>
      </c>
      <c r="C289" s="148" t="s">
        <v>8</v>
      </c>
      <c r="D289" s="80" t="s">
        <v>83</v>
      </c>
      <c r="E289" s="27" t="s">
        <v>1680</v>
      </c>
      <c r="F289" s="80" t="s">
        <v>120</v>
      </c>
      <c r="G289" s="81" t="s">
        <v>248</v>
      </c>
      <c r="H289" s="80" t="s">
        <v>1681</v>
      </c>
      <c r="I289" s="83">
        <v>45481</v>
      </c>
      <c r="J289" s="80" t="s">
        <v>745</v>
      </c>
      <c r="K289" s="80" t="s">
        <v>1466</v>
      </c>
      <c r="L289" s="84" t="s">
        <v>100</v>
      </c>
      <c r="M289" s="84" t="s">
        <v>601</v>
      </c>
      <c r="N289" s="84" t="s">
        <v>72</v>
      </c>
      <c r="O289" s="167" t="s">
        <v>1682</v>
      </c>
      <c r="P289" s="28" t="s">
        <v>1683</v>
      </c>
      <c r="Q289" s="49" t="s">
        <v>75</v>
      </c>
      <c r="R289" s="25" t="s">
        <v>91</v>
      </c>
      <c r="S289" s="26">
        <v>18</v>
      </c>
      <c r="T289" s="26" t="s">
        <v>303</v>
      </c>
      <c r="U289" s="228"/>
      <c r="V289" s="142" t="s">
        <v>75</v>
      </c>
      <c r="W289" s="229" t="s">
        <v>77</v>
      </c>
      <c r="X289" s="78" t="s">
        <v>78</v>
      </c>
      <c r="Y289" s="78"/>
      <c r="Z289" s="93" t="s">
        <v>93</v>
      </c>
      <c r="AA289" s="53" t="s">
        <v>76</v>
      </c>
      <c r="AB289" s="26"/>
      <c r="AC289" s="44"/>
    </row>
    <row r="290" spans="1:29" ht="158.25" hidden="1" customHeight="1">
      <c r="A290" s="88">
        <v>280</v>
      </c>
      <c r="B290" s="79" t="s">
        <v>1684</v>
      </c>
      <c r="C290" s="148" t="s">
        <v>8</v>
      </c>
      <c r="D290" s="80" t="s">
        <v>63</v>
      </c>
      <c r="E290" s="27" t="s">
        <v>1521</v>
      </c>
      <c r="F290" s="80" t="s">
        <v>109</v>
      </c>
      <c r="G290" s="81" t="s">
        <v>1522</v>
      </c>
      <c r="H290" s="80" t="s">
        <v>1523</v>
      </c>
      <c r="I290" s="83">
        <v>45481</v>
      </c>
      <c r="J290" s="80" t="s">
        <v>332</v>
      </c>
      <c r="K290" s="80" t="s">
        <v>188</v>
      </c>
      <c r="L290" s="84" t="s">
        <v>189</v>
      </c>
      <c r="M290" s="84" t="s">
        <v>101</v>
      </c>
      <c r="N290" s="84" t="s">
        <v>72</v>
      </c>
      <c r="O290" s="33" t="s">
        <v>1685</v>
      </c>
      <c r="P290" s="28" t="s">
        <v>1686</v>
      </c>
      <c r="Q290" s="49" t="s">
        <v>91</v>
      </c>
      <c r="R290" s="25"/>
      <c r="S290" s="26">
        <v>14</v>
      </c>
      <c r="T290" s="26" t="s">
        <v>76</v>
      </c>
      <c r="U290" s="228" t="s">
        <v>76</v>
      </c>
      <c r="V290" s="100"/>
      <c r="W290" s="225" t="s">
        <v>76</v>
      </c>
      <c r="X290" s="106" t="s">
        <v>76</v>
      </c>
      <c r="Y290" s="26" t="s">
        <v>76</v>
      </c>
      <c r="Z290" s="75" t="s">
        <v>76</v>
      </c>
      <c r="AA290" s="53" t="s">
        <v>76</v>
      </c>
      <c r="AB290" s="26"/>
      <c r="AC290" s="44"/>
    </row>
    <row r="291" spans="1:29" ht="66" hidden="1">
      <c r="A291" s="88">
        <v>281</v>
      </c>
      <c r="B291" s="79" t="s">
        <v>1687</v>
      </c>
      <c r="C291" s="148" t="s">
        <v>8</v>
      </c>
      <c r="D291" s="80" t="s">
        <v>63</v>
      </c>
      <c r="E291" s="27" t="s">
        <v>1688</v>
      </c>
      <c r="F291" s="80" t="s">
        <v>109</v>
      </c>
      <c r="G291" s="81" t="s">
        <v>1368</v>
      </c>
      <c r="H291" s="80" t="s">
        <v>1689</v>
      </c>
      <c r="I291" s="83">
        <v>45481</v>
      </c>
      <c r="J291" s="80" t="s">
        <v>111</v>
      </c>
      <c r="K291" s="80" t="s">
        <v>1614</v>
      </c>
      <c r="L291" s="84" t="s">
        <v>122</v>
      </c>
      <c r="M291" s="84" t="s">
        <v>114</v>
      </c>
      <c r="N291" s="84" t="s">
        <v>72</v>
      </c>
      <c r="O291" s="33" t="s">
        <v>1690</v>
      </c>
      <c r="P291" s="28" t="s">
        <v>1691</v>
      </c>
      <c r="Q291" s="49" t="s">
        <v>91</v>
      </c>
      <c r="R291" s="25"/>
      <c r="S291" s="26" t="s">
        <v>76</v>
      </c>
      <c r="T291" s="26" t="s">
        <v>76</v>
      </c>
      <c r="U291" s="228" t="s">
        <v>1692</v>
      </c>
      <c r="V291" s="100"/>
      <c r="W291" s="225" t="s">
        <v>76</v>
      </c>
      <c r="X291" s="106" t="s">
        <v>76</v>
      </c>
      <c r="Y291" s="26" t="s">
        <v>76</v>
      </c>
      <c r="Z291" s="75" t="s">
        <v>193</v>
      </c>
      <c r="AA291" s="53" t="s">
        <v>76</v>
      </c>
      <c r="AB291" s="26"/>
      <c r="AC291" s="44"/>
    </row>
    <row r="292" spans="1:29" ht="267.75" hidden="1" customHeight="1">
      <c r="A292" s="88">
        <v>282</v>
      </c>
      <c r="B292" s="79" t="s">
        <v>1693</v>
      </c>
      <c r="C292" s="148" t="s">
        <v>8</v>
      </c>
      <c r="D292" s="80" t="s">
        <v>63</v>
      </c>
      <c r="E292" s="27" t="s">
        <v>1694</v>
      </c>
      <c r="F292" s="80" t="s">
        <v>109</v>
      </c>
      <c r="G292" s="81" t="s">
        <v>1522</v>
      </c>
      <c r="H292" s="80" t="s">
        <v>1695</v>
      </c>
      <c r="I292" s="83">
        <v>45481</v>
      </c>
      <c r="J292" s="80" t="s">
        <v>187</v>
      </c>
      <c r="K292" s="80" t="s">
        <v>188</v>
      </c>
      <c r="L292" s="84" t="s">
        <v>189</v>
      </c>
      <c r="M292" s="84" t="s">
        <v>114</v>
      </c>
      <c r="N292" s="84" t="s">
        <v>72</v>
      </c>
      <c r="O292" s="33" t="s">
        <v>1696</v>
      </c>
      <c r="P292" s="28" t="s">
        <v>1697</v>
      </c>
      <c r="Q292" s="49" t="s">
        <v>75</v>
      </c>
      <c r="R292" s="25" t="s">
        <v>91</v>
      </c>
      <c r="S292" s="26">
        <v>18</v>
      </c>
      <c r="T292" s="26">
        <v>52</v>
      </c>
      <c r="U292" s="228" t="s">
        <v>1698</v>
      </c>
      <c r="V292" s="100"/>
      <c r="W292" s="225" t="s">
        <v>76</v>
      </c>
      <c r="X292" s="78" t="s">
        <v>78</v>
      </c>
      <c r="Y292" s="26" t="s">
        <v>76</v>
      </c>
      <c r="Z292" s="75" t="s">
        <v>106</v>
      </c>
      <c r="AA292" s="53" t="s">
        <v>76</v>
      </c>
      <c r="AB292" s="26"/>
      <c r="AC292" s="44"/>
    </row>
    <row r="293" spans="1:29" ht="66" hidden="1">
      <c r="A293" s="88">
        <v>283</v>
      </c>
      <c r="B293" s="79" t="s">
        <v>1699</v>
      </c>
      <c r="C293" s="148" t="s">
        <v>8</v>
      </c>
      <c r="D293" s="80" t="s">
        <v>63</v>
      </c>
      <c r="E293" s="27" t="s">
        <v>1700</v>
      </c>
      <c r="F293" s="80" t="s">
        <v>109</v>
      </c>
      <c r="G293" s="81" t="s">
        <v>1701</v>
      </c>
      <c r="H293" s="80" t="s">
        <v>1702</v>
      </c>
      <c r="I293" s="83">
        <v>45482</v>
      </c>
      <c r="J293" s="80" t="s">
        <v>594</v>
      </c>
      <c r="K293" s="80" t="s">
        <v>69</v>
      </c>
      <c r="L293" s="84" t="s">
        <v>251</v>
      </c>
      <c r="M293" s="84" t="s">
        <v>595</v>
      </c>
      <c r="N293" s="84" t="s">
        <v>72</v>
      </c>
      <c r="O293" s="33" t="s">
        <v>1703</v>
      </c>
      <c r="P293" s="28" t="s">
        <v>1704</v>
      </c>
      <c r="Q293" s="49" t="s">
        <v>75</v>
      </c>
      <c r="R293" s="25" t="s">
        <v>91</v>
      </c>
      <c r="S293" s="26">
        <v>24</v>
      </c>
      <c r="T293" s="55" t="s">
        <v>383</v>
      </c>
      <c r="U293" s="228" t="s">
        <v>1658</v>
      </c>
      <c r="V293" s="66"/>
      <c r="W293" s="225" t="s">
        <v>76</v>
      </c>
      <c r="X293" s="78" t="s">
        <v>78</v>
      </c>
      <c r="Y293" s="26" t="s">
        <v>76</v>
      </c>
      <c r="Z293" s="75" t="s">
        <v>93</v>
      </c>
      <c r="AA293" s="53" t="s">
        <v>76</v>
      </c>
      <c r="AB293" s="26"/>
      <c r="AC293" s="44"/>
    </row>
    <row r="294" spans="1:29" ht="132" hidden="1">
      <c r="A294" s="88">
        <v>284</v>
      </c>
      <c r="B294" s="79" t="s">
        <v>1705</v>
      </c>
      <c r="C294" s="148" t="s">
        <v>8</v>
      </c>
      <c r="D294" s="80" t="s">
        <v>83</v>
      </c>
      <c r="E294" s="27" t="s">
        <v>337</v>
      </c>
      <c r="F294" s="80" t="s">
        <v>338</v>
      </c>
      <c r="G294" s="81" t="s">
        <v>339</v>
      </c>
      <c r="H294" s="80" t="s">
        <v>340</v>
      </c>
      <c r="I294" s="83">
        <v>45482</v>
      </c>
      <c r="J294" s="80" t="s">
        <v>1706</v>
      </c>
      <c r="K294" s="80" t="s">
        <v>69</v>
      </c>
      <c r="L294" s="84" t="s">
        <v>70</v>
      </c>
      <c r="M294" s="84" t="s">
        <v>595</v>
      </c>
      <c r="N294" s="84" t="s">
        <v>72</v>
      </c>
      <c r="O294" s="33" t="s">
        <v>1707</v>
      </c>
      <c r="P294" s="28" t="s">
        <v>1708</v>
      </c>
      <c r="Q294" s="49" t="s">
        <v>75</v>
      </c>
      <c r="R294" s="25" t="s">
        <v>91</v>
      </c>
      <c r="S294" s="26">
        <v>19</v>
      </c>
      <c r="T294" s="26">
        <v>50</v>
      </c>
      <c r="U294" s="228" t="s">
        <v>1709</v>
      </c>
      <c r="V294" s="66"/>
      <c r="W294" s="225" t="s">
        <v>76</v>
      </c>
      <c r="X294" s="78" t="s">
        <v>78</v>
      </c>
      <c r="Y294" s="26" t="s">
        <v>76</v>
      </c>
      <c r="Z294" s="75" t="s">
        <v>93</v>
      </c>
      <c r="AA294" s="53" t="s">
        <v>76</v>
      </c>
      <c r="AB294" s="26"/>
      <c r="AC294" s="44"/>
    </row>
    <row r="295" spans="1:29" ht="115.5" hidden="1">
      <c r="A295" s="88">
        <v>285</v>
      </c>
      <c r="B295" s="79" t="s">
        <v>1710</v>
      </c>
      <c r="C295" s="148" t="s">
        <v>8</v>
      </c>
      <c r="D295" s="80" t="s">
        <v>83</v>
      </c>
      <c r="E295" s="27" t="s">
        <v>337</v>
      </c>
      <c r="F295" s="80" t="s">
        <v>338</v>
      </c>
      <c r="G295" s="81" t="s">
        <v>339</v>
      </c>
      <c r="H295" s="80" t="s">
        <v>340</v>
      </c>
      <c r="I295" s="83">
        <v>45482</v>
      </c>
      <c r="J295" s="80" t="s">
        <v>594</v>
      </c>
      <c r="K295" s="80" t="s">
        <v>299</v>
      </c>
      <c r="L295" s="84" t="s">
        <v>251</v>
      </c>
      <c r="M295" s="84" t="s">
        <v>595</v>
      </c>
      <c r="N295" s="84" t="s">
        <v>72</v>
      </c>
      <c r="O295" s="33" t="s">
        <v>1711</v>
      </c>
      <c r="P295" s="28" t="s">
        <v>1712</v>
      </c>
      <c r="Q295" s="49" t="s">
        <v>75</v>
      </c>
      <c r="R295" s="25" t="s">
        <v>75</v>
      </c>
      <c r="S295" s="26">
        <v>21</v>
      </c>
      <c r="T295" s="26">
        <v>82</v>
      </c>
      <c r="U295" s="228" t="s">
        <v>1713</v>
      </c>
      <c r="V295" s="66" t="s">
        <v>75</v>
      </c>
      <c r="W295" s="225" t="s">
        <v>368</v>
      </c>
      <c r="X295" s="78" t="s">
        <v>78</v>
      </c>
      <c r="Y295" s="26" t="s">
        <v>76</v>
      </c>
      <c r="Z295" s="75" t="s">
        <v>106</v>
      </c>
      <c r="AA295" s="53" t="s">
        <v>76</v>
      </c>
      <c r="AB295" s="26"/>
      <c r="AC295" s="44"/>
    </row>
    <row r="296" spans="1:29" ht="312.75" hidden="1">
      <c r="A296" s="88">
        <v>286</v>
      </c>
      <c r="B296" s="79" t="s">
        <v>1714</v>
      </c>
      <c r="C296" s="148" t="s">
        <v>8</v>
      </c>
      <c r="D296" s="80" t="s">
        <v>83</v>
      </c>
      <c r="E296" s="27" t="s">
        <v>337</v>
      </c>
      <c r="F296" s="80" t="s">
        <v>338</v>
      </c>
      <c r="G296" s="81" t="s">
        <v>339</v>
      </c>
      <c r="H296" s="80" t="s">
        <v>340</v>
      </c>
      <c r="I296" s="83">
        <v>45482</v>
      </c>
      <c r="J296" s="80" t="s">
        <v>1003</v>
      </c>
      <c r="K296" s="80" t="s">
        <v>99</v>
      </c>
      <c r="L296" s="84" t="s">
        <v>100</v>
      </c>
      <c r="M296" s="84" t="s">
        <v>252</v>
      </c>
      <c r="N296" s="84" t="s">
        <v>72</v>
      </c>
      <c r="O296" s="33" t="s">
        <v>1715</v>
      </c>
      <c r="P296" s="28" t="s">
        <v>1716</v>
      </c>
      <c r="Q296" s="49" t="s">
        <v>75</v>
      </c>
      <c r="R296" s="25" t="s">
        <v>75</v>
      </c>
      <c r="S296" s="26">
        <v>19</v>
      </c>
      <c r="T296" s="26">
        <v>73</v>
      </c>
      <c r="U296" s="228" t="s">
        <v>1717</v>
      </c>
      <c r="V296" s="100" t="s">
        <v>75</v>
      </c>
      <c r="W296" s="225" t="s">
        <v>104</v>
      </c>
      <c r="X296" s="78" t="s">
        <v>78</v>
      </c>
      <c r="Y296" s="106" t="s">
        <v>516</v>
      </c>
      <c r="Z296" s="93" t="s">
        <v>106</v>
      </c>
      <c r="AA296" s="53" t="s">
        <v>76</v>
      </c>
      <c r="AB296" s="26"/>
      <c r="AC296" s="44"/>
    </row>
    <row r="297" spans="1:29" ht="296.25" hidden="1">
      <c r="A297" s="88">
        <v>287</v>
      </c>
      <c r="B297" s="79" t="s">
        <v>1718</v>
      </c>
      <c r="C297" s="148" t="s">
        <v>8</v>
      </c>
      <c r="D297" s="80" t="s">
        <v>83</v>
      </c>
      <c r="E297" s="27" t="s">
        <v>1265</v>
      </c>
      <c r="F297" s="80" t="s">
        <v>338</v>
      </c>
      <c r="G297" s="81" t="s">
        <v>910</v>
      </c>
      <c r="H297" s="80" t="s">
        <v>1266</v>
      </c>
      <c r="I297" s="83">
        <v>45482</v>
      </c>
      <c r="J297" s="80" t="s">
        <v>111</v>
      </c>
      <c r="K297" s="80" t="s">
        <v>112</v>
      </c>
      <c r="L297" s="84" t="s">
        <v>122</v>
      </c>
      <c r="M297" s="84" t="s">
        <v>114</v>
      </c>
      <c r="N297" s="84" t="s">
        <v>72</v>
      </c>
      <c r="O297" s="33" t="s">
        <v>1719</v>
      </c>
      <c r="P297" s="28" t="s">
        <v>1720</v>
      </c>
      <c r="Q297" s="49" t="s">
        <v>75</v>
      </c>
      <c r="R297" s="196" t="s">
        <v>91</v>
      </c>
      <c r="S297" s="26">
        <v>25</v>
      </c>
      <c r="T297" s="26">
        <v>79</v>
      </c>
      <c r="U297" s="228" t="s">
        <v>1721</v>
      </c>
      <c r="V297" s="66"/>
      <c r="W297" s="225"/>
      <c r="X297" s="78" t="s">
        <v>78</v>
      </c>
      <c r="Y297" s="26" t="s">
        <v>76</v>
      </c>
      <c r="Z297" s="75" t="s">
        <v>106</v>
      </c>
      <c r="AA297" s="53" t="s">
        <v>76</v>
      </c>
      <c r="AB297" s="26"/>
      <c r="AC297" s="44"/>
    </row>
    <row r="298" spans="1:29" ht="115.5" hidden="1">
      <c r="A298" s="88">
        <v>288</v>
      </c>
      <c r="B298" s="79" t="s">
        <v>1722</v>
      </c>
      <c r="C298" s="148" t="s">
        <v>399</v>
      </c>
      <c r="D298" s="80" t="s">
        <v>83</v>
      </c>
      <c r="E298" s="27" t="s">
        <v>1374</v>
      </c>
      <c r="F298" s="80" t="s">
        <v>120</v>
      </c>
      <c r="G298" s="81" t="s">
        <v>1375</v>
      </c>
      <c r="H298" s="80" t="s">
        <v>1376</v>
      </c>
      <c r="I298" s="83">
        <v>45482</v>
      </c>
      <c r="J298" s="80" t="s">
        <v>145</v>
      </c>
      <c r="K298" s="80" t="s">
        <v>146</v>
      </c>
      <c r="L298" s="84" t="s">
        <v>147</v>
      </c>
      <c r="M298" s="84" t="s">
        <v>148</v>
      </c>
      <c r="N298" s="84" t="s">
        <v>72</v>
      </c>
      <c r="O298" s="33" t="s">
        <v>1723</v>
      </c>
      <c r="P298" s="28" t="s">
        <v>1724</v>
      </c>
      <c r="Q298" s="49" t="s">
        <v>75</v>
      </c>
      <c r="R298" s="25" t="s">
        <v>91</v>
      </c>
      <c r="S298" s="26">
        <v>25</v>
      </c>
      <c r="T298" s="26">
        <v>85</v>
      </c>
      <c r="U298" s="228" t="s">
        <v>1725</v>
      </c>
      <c r="V298" s="100"/>
      <c r="W298" s="225"/>
      <c r="X298" s="78" t="s">
        <v>78</v>
      </c>
      <c r="Y298" s="26" t="s">
        <v>76</v>
      </c>
      <c r="Z298" s="75" t="s">
        <v>106</v>
      </c>
      <c r="AA298" s="53" t="s">
        <v>76</v>
      </c>
      <c r="AB298" s="26"/>
      <c r="AC298" s="44"/>
    </row>
    <row r="299" spans="1:29" ht="66" hidden="1">
      <c r="A299" s="88">
        <v>289</v>
      </c>
      <c r="B299" s="79" t="s">
        <v>1726</v>
      </c>
      <c r="C299" s="148" t="s">
        <v>8</v>
      </c>
      <c r="D299" s="80" t="s">
        <v>63</v>
      </c>
      <c r="E299" s="27" t="s">
        <v>1727</v>
      </c>
      <c r="F299" s="80" t="s">
        <v>120</v>
      </c>
      <c r="G299" s="81" t="s">
        <v>1728</v>
      </c>
      <c r="H299" s="80" t="s">
        <v>1729</v>
      </c>
      <c r="I299" s="83">
        <v>45482</v>
      </c>
      <c r="J299" s="80" t="s">
        <v>187</v>
      </c>
      <c r="K299" s="80" t="s">
        <v>188</v>
      </c>
      <c r="L299" s="84" t="s">
        <v>189</v>
      </c>
      <c r="M299" s="84" t="s">
        <v>114</v>
      </c>
      <c r="N299" s="84" t="s">
        <v>72</v>
      </c>
      <c r="O299" s="33" t="s">
        <v>1730</v>
      </c>
      <c r="P299" s="28" t="s">
        <v>1731</v>
      </c>
      <c r="Q299" s="49" t="s">
        <v>91</v>
      </c>
      <c r="R299" s="25"/>
      <c r="S299" s="26">
        <v>13</v>
      </c>
      <c r="T299" s="26" t="s">
        <v>76</v>
      </c>
      <c r="U299" s="228" t="s">
        <v>1732</v>
      </c>
      <c r="V299" s="100"/>
      <c r="W299" s="225" t="s">
        <v>76</v>
      </c>
      <c r="X299" s="106" t="s">
        <v>76</v>
      </c>
      <c r="Y299" s="26" t="s">
        <v>76</v>
      </c>
      <c r="Z299" s="75" t="s">
        <v>193</v>
      </c>
      <c r="AA299" s="53" t="s">
        <v>76</v>
      </c>
      <c r="AB299" s="26"/>
      <c r="AC299" s="44"/>
    </row>
    <row r="300" spans="1:29" ht="132" hidden="1">
      <c r="A300" s="88">
        <v>290</v>
      </c>
      <c r="B300" s="79" t="s">
        <v>1733</v>
      </c>
      <c r="C300" s="148" t="s">
        <v>237</v>
      </c>
      <c r="D300" s="80" t="s">
        <v>83</v>
      </c>
      <c r="E300" s="27" t="s">
        <v>877</v>
      </c>
      <c r="F300" s="80" t="s">
        <v>65</v>
      </c>
      <c r="G300" s="81" t="s">
        <v>290</v>
      </c>
      <c r="H300" s="80" t="s">
        <v>878</v>
      </c>
      <c r="I300" s="83">
        <v>45488</v>
      </c>
      <c r="J300" s="80" t="s">
        <v>1734</v>
      </c>
      <c r="K300" s="80" t="s">
        <v>299</v>
      </c>
      <c r="L300" s="84" t="s">
        <v>300</v>
      </c>
      <c r="M300" s="84" t="s">
        <v>784</v>
      </c>
      <c r="N300" s="84" t="s">
        <v>72</v>
      </c>
      <c r="O300" s="33" t="s">
        <v>1735</v>
      </c>
      <c r="P300" s="28" t="s">
        <v>1736</v>
      </c>
      <c r="Q300" s="49" t="s">
        <v>75</v>
      </c>
      <c r="R300" s="25" t="s">
        <v>91</v>
      </c>
      <c r="S300" s="26">
        <v>77</v>
      </c>
      <c r="T300" s="26" t="s">
        <v>1737</v>
      </c>
      <c r="U300" s="228" t="s">
        <v>1738</v>
      </c>
      <c r="V300" s="66"/>
      <c r="W300" s="225" t="s">
        <v>76</v>
      </c>
      <c r="X300" s="78" t="s">
        <v>78</v>
      </c>
      <c r="Y300" s="26" t="s">
        <v>76</v>
      </c>
      <c r="Z300" s="93" t="s">
        <v>93</v>
      </c>
      <c r="AA300" s="53" t="s">
        <v>76</v>
      </c>
      <c r="AB300" s="26"/>
      <c r="AC300" s="44"/>
    </row>
    <row r="301" spans="1:29" ht="82.5" hidden="1">
      <c r="A301" s="88">
        <v>291</v>
      </c>
      <c r="B301" s="79" t="s">
        <v>1739</v>
      </c>
      <c r="C301" s="148" t="s">
        <v>237</v>
      </c>
      <c r="D301" s="80" t="s">
        <v>83</v>
      </c>
      <c r="E301" s="27" t="s">
        <v>877</v>
      </c>
      <c r="F301" s="80" t="s">
        <v>65</v>
      </c>
      <c r="G301" s="81" t="s">
        <v>290</v>
      </c>
      <c r="H301" s="80" t="s">
        <v>878</v>
      </c>
      <c r="I301" s="83">
        <v>45488</v>
      </c>
      <c r="J301" s="80" t="s">
        <v>298</v>
      </c>
      <c r="K301" s="80" t="s">
        <v>299</v>
      </c>
      <c r="L301" s="84" t="s">
        <v>300</v>
      </c>
      <c r="M301" s="84" t="s">
        <v>252</v>
      </c>
      <c r="N301" s="84" t="s">
        <v>72</v>
      </c>
      <c r="O301" s="33" t="s">
        <v>1740</v>
      </c>
      <c r="P301" s="28" t="s">
        <v>1741</v>
      </c>
      <c r="Q301" s="49" t="s">
        <v>75</v>
      </c>
      <c r="R301" s="25" t="s">
        <v>91</v>
      </c>
      <c r="S301" s="26">
        <v>81</v>
      </c>
      <c r="T301" s="26" t="s">
        <v>1742</v>
      </c>
      <c r="U301" s="228" t="s">
        <v>1743</v>
      </c>
      <c r="V301" s="66"/>
      <c r="W301" s="225"/>
      <c r="X301" s="78" t="s">
        <v>78</v>
      </c>
      <c r="Y301" s="26" t="s">
        <v>76</v>
      </c>
      <c r="Z301" s="93" t="s">
        <v>106</v>
      </c>
      <c r="AA301" s="53" t="s">
        <v>76</v>
      </c>
      <c r="AB301" s="26"/>
      <c r="AC301" s="44"/>
    </row>
    <row r="302" spans="1:29" ht="165" hidden="1">
      <c r="A302" s="88">
        <v>292</v>
      </c>
      <c r="B302" s="79" t="s">
        <v>1744</v>
      </c>
      <c r="C302" s="148" t="s">
        <v>8</v>
      </c>
      <c r="D302" s="80" t="s">
        <v>63</v>
      </c>
      <c r="E302" s="27" t="s">
        <v>1745</v>
      </c>
      <c r="F302" s="80" t="s">
        <v>109</v>
      </c>
      <c r="G302" s="81" t="s">
        <v>1368</v>
      </c>
      <c r="H302" s="80" t="s">
        <v>1689</v>
      </c>
      <c r="I302" s="83">
        <v>45483</v>
      </c>
      <c r="J302" s="80" t="s">
        <v>111</v>
      </c>
      <c r="K302" s="80" t="s">
        <v>112</v>
      </c>
      <c r="L302" s="84" t="s">
        <v>122</v>
      </c>
      <c r="M302" s="84" t="s">
        <v>114</v>
      </c>
      <c r="N302" s="84" t="s">
        <v>72</v>
      </c>
      <c r="O302" s="33" t="s">
        <v>1746</v>
      </c>
      <c r="P302" s="28" t="s">
        <v>1747</v>
      </c>
      <c r="Q302" s="49" t="s">
        <v>75</v>
      </c>
      <c r="R302" s="25" t="s">
        <v>91</v>
      </c>
      <c r="S302" s="26">
        <v>20</v>
      </c>
      <c r="T302" s="26">
        <v>58</v>
      </c>
      <c r="U302" s="228" t="s">
        <v>1748</v>
      </c>
      <c r="V302" s="66"/>
      <c r="W302" s="225" t="s">
        <v>76</v>
      </c>
      <c r="X302" s="78" t="s">
        <v>78</v>
      </c>
      <c r="Y302" s="26" t="s">
        <v>76</v>
      </c>
      <c r="Z302" s="75" t="s">
        <v>93</v>
      </c>
      <c r="AA302" s="53" t="s">
        <v>76</v>
      </c>
      <c r="AB302" s="26"/>
      <c r="AC302" s="44"/>
    </row>
    <row r="303" spans="1:29" ht="33" hidden="1">
      <c r="A303" s="88">
        <v>293</v>
      </c>
      <c r="B303" s="79" t="s">
        <v>1749</v>
      </c>
      <c r="C303" s="148" t="s">
        <v>8</v>
      </c>
      <c r="D303" s="80" t="s">
        <v>63</v>
      </c>
      <c r="E303" s="27" t="s">
        <v>1750</v>
      </c>
      <c r="F303" s="80" t="s">
        <v>109</v>
      </c>
      <c r="G303" s="81" t="s">
        <v>1047</v>
      </c>
      <c r="H303" s="80" t="s">
        <v>1431</v>
      </c>
      <c r="I303" s="83">
        <v>45483</v>
      </c>
      <c r="J303" s="80" t="s">
        <v>657</v>
      </c>
      <c r="K303" s="80" t="s">
        <v>188</v>
      </c>
      <c r="L303" s="84" t="s">
        <v>189</v>
      </c>
      <c r="M303" s="84" t="s">
        <v>221</v>
      </c>
      <c r="N303" s="84" t="s">
        <v>72</v>
      </c>
      <c r="O303" s="33" t="s">
        <v>1751</v>
      </c>
      <c r="P303" s="28"/>
      <c r="Q303" s="49" t="s">
        <v>75</v>
      </c>
      <c r="R303" s="25" t="s">
        <v>504</v>
      </c>
      <c r="S303" s="26">
        <v>22</v>
      </c>
      <c r="T303" s="26" t="s">
        <v>76</v>
      </c>
      <c r="U303" s="228" t="s">
        <v>76</v>
      </c>
      <c r="V303" s="66"/>
      <c r="W303" s="225" t="s">
        <v>305</v>
      </c>
      <c r="X303" s="78" t="s">
        <v>78</v>
      </c>
      <c r="Y303" s="26" t="s">
        <v>76</v>
      </c>
      <c r="Z303" s="93" t="s">
        <v>106</v>
      </c>
      <c r="AA303" s="53" t="s">
        <v>76</v>
      </c>
      <c r="AB303" s="26"/>
      <c r="AC303" s="44"/>
    </row>
    <row r="304" spans="1:29" ht="33" hidden="1">
      <c r="A304" s="88">
        <v>294</v>
      </c>
      <c r="B304" s="79" t="s">
        <v>1752</v>
      </c>
      <c r="C304" s="148" t="s">
        <v>8</v>
      </c>
      <c r="D304" s="80" t="s">
        <v>63</v>
      </c>
      <c r="E304" s="27" t="s">
        <v>1750</v>
      </c>
      <c r="F304" s="80" t="s">
        <v>109</v>
      </c>
      <c r="G304" s="81" t="s">
        <v>1047</v>
      </c>
      <c r="H304" s="80" t="s">
        <v>1431</v>
      </c>
      <c r="I304" s="83">
        <v>45483</v>
      </c>
      <c r="J304" s="80" t="s">
        <v>657</v>
      </c>
      <c r="K304" s="80" t="s">
        <v>188</v>
      </c>
      <c r="L304" s="84" t="s">
        <v>189</v>
      </c>
      <c r="M304" s="84" t="s">
        <v>221</v>
      </c>
      <c r="N304" s="84" t="s">
        <v>72</v>
      </c>
      <c r="O304" s="33" t="s">
        <v>1753</v>
      </c>
      <c r="P304" s="28"/>
      <c r="Q304" s="49" t="s">
        <v>75</v>
      </c>
      <c r="R304" s="25" t="s">
        <v>504</v>
      </c>
      <c r="S304" s="26">
        <v>24</v>
      </c>
      <c r="T304" s="26" t="s">
        <v>76</v>
      </c>
      <c r="U304" s="228" t="s">
        <v>1754</v>
      </c>
      <c r="V304" s="66"/>
      <c r="W304" s="225" t="s">
        <v>305</v>
      </c>
      <c r="X304" s="78" t="s">
        <v>78</v>
      </c>
      <c r="Y304" s="26" t="s">
        <v>76</v>
      </c>
      <c r="Z304" s="93" t="s">
        <v>106</v>
      </c>
      <c r="AA304" s="53" t="s">
        <v>76</v>
      </c>
      <c r="AB304" s="26"/>
      <c r="AC304" s="44"/>
    </row>
    <row r="305" spans="1:39" ht="42" hidden="1" customHeight="1">
      <c r="A305" s="88">
        <v>295</v>
      </c>
      <c r="B305" s="79" t="s">
        <v>1755</v>
      </c>
      <c r="C305" s="148" t="s">
        <v>8</v>
      </c>
      <c r="D305" s="80" t="s">
        <v>63</v>
      </c>
      <c r="E305" s="27" t="s">
        <v>1750</v>
      </c>
      <c r="F305" s="80" t="s">
        <v>109</v>
      </c>
      <c r="G305" s="81" t="s">
        <v>1047</v>
      </c>
      <c r="H305" s="80" t="s">
        <v>1431</v>
      </c>
      <c r="I305" s="83">
        <v>45483</v>
      </c>
      <c r="J305" s="80" t="s">
        <v>657</v>
      </c>
      <c r="K305" s="80" t="s">
        <v>188</v>
      </c>
      <c r="L305" s="84" t="s">
        <v>189</v>
      </c>
      <c r="M305" s="84" t="s">
        <v>221</v>
      </c>
      <c r="N305" s="84" t="s">
        <v>72</v>
      </c>
      <c r="O305" s="33" t="s">
        <v>1756</v>
      </c>
      <c r="P305" s="28"/>
      <c r="Q305" s="49" t="s">
        <v>91</v>
      </c>
      <c r="R305" s="25"/>
      <c r="S305" s="26">
        <v>9</v>
      </c>
      <c r="T305" s="26"/>
      <c r="U305" s="228" t="s">
        <v>1757</v>
      </c>
      <c r="V305" s="66"/>
      <c r="W305" s="225" t="s">
        <v>76</v>
      </c>
      <c r="X305" s="106" t="s">
        <v>76</v>
      </c>
      <c r="Y305" s="26" t="s">
        <v>76</v>
      </c>
      <c r="Z305" s="75" t="s">
        <v>193</v>
      </c>
      <c r="AA305" s="53" t="s">
        <v>76</v>
      </c>
      <c r="AB305" s="26"/>
      <c r="AC305" s="44"/>
    </row>
    <row r="306" spans="1:39" ht="49.5" hidden="1">
      <c r="A306" s="88">
        <v>296</v>
      </c>
      <c r="B306" s="79" t="s">
        <v>1758</v>
      </c>
      <c r="C306" s="148" t="s">
        <v>8</v>
      </c>
      <c r="D306" s="80" t="s">
        <v>63</v>
      </c>
      <c r="E306" s="27" t="s">
        <v>1750</v>
      </c>
      <c r="F306" s="80" t="s">
        <v>109</v>
      </c>
      <c r="G306" s="81" t="s">
        <v>1047</v>
      </c>
      <c r="H306" s="80" t="s">
        <v>1431</v>
      </c>
      <c r="I306" s="83">
        <v>45483</v>
      </c>
      <c r="J306" s="80" t="s">
        <v>657</v>
      </c>
      <c r="K306" s="80" t="s">
        <v>188</v>
      </c>
      <c r="L306" s="84" t="s">
        <v>189</v>
      </c>
      <c r="M306" s="84" t="s">
        <v>221</v>
      </c>
      <c r="N306" s="84" t="s">
        <v>72</v>
      </c>
      <c r="O306" s="33" t="s">
        <v>1759</v>
      </c>
      <c r="P306" s="28"/>
      <c r="Q306" s="49" t="s">
        <v>75</v>
      </c>
      <c r="R306" s="25" t="s">
        <v>91</v>
      </c>
      <c r="S306" s="26">
        <v>20</v>
      </c>
      <c r="T306" s="55" t="s">
        <v>1760</v>
      </c>
      <c r="U306" s="228" t="s">
        <v>1761</v>
      </c>
      <c r="V306" s="66"/>
      <c r="W306" s="225" t="s">
        <v>76</v>
      </c>
      <c r="X306" s="78" t="s">
        <v>78</v>
      </c>
      <c r="Y306" s="26" t="s">
        <v>76</v>
      </c>
      <c r="Z306" s="93" t="s">
        <v>93</v>
      </c>
      <c r="AA306" s="53" t="s">
        <v>76</v>
      </c>
      <c r="AB306" s="26"/>
      <c r="AC306" s="44"/>
    </row>
    <row r="307" spans="1:39" ht="49.5" hidden="1">
      <c r="A307" s="88">
        <v>297</v>
      </c>
      <c r="B307" s="79" t="s">
        <v>1762</v>
      </c>
      <c r="C307" s="148" t="s">
        <v>8</v>
      </c>
      <c r="D307" s="80" t="s">
        <v>63</v>
      </c>
      <c r="E307" s="27" t="s">
        <v>1750</v>
      </c>
      <c r="F307" s="80" t="s">
        <v>109</v>
      </c>
      <c r="G307" s="81" t="s">
        <v>1047</v>
      </c>
      <c r="H307" s="80" t="s">
        <v>1431</v>
      </c>
      <c r="I307" s="83">
        <v>45483</v>
      </c>
      <c r="J307" s="80" t="s">
        <v>657</v>
      </c>
      <c r="K307" s="80" t="s">
        <v>188</v>
      </c>
      <c r="L307" s="84" t="s">
        <v>189</v>
      </c>
      <c r="M307" s="84" t="s">
        <v>221</v>
      </c>
      <c r="N307" s="84" t="s">
        <v>72</v>
      </c>
      <c r="O307" s="33" t="s">
        <v>1763</v>
      </c>
      <c r="P307" s="28"/>
      <c r="Q307" s="49" t="s">
        <v>75</v>
      </c>
      <c r="R307" s="25" t="s">
        <v>504</v>
      </c>
      <c r="S307" s="26">
        <v>22</v>
      </c>
      <c r="T307" s="55" t="s">
        <v>361</v>
      </c>
      <c r="U307" s="228" t="s">
        <v>76</v>
      </c>
      <c r="V307" s="66"/>
      <c r="W307" s="225" t="s">
        <v>305</v>
      </c>
      <c r="X307" s="78" t="s">
        <v>78</v>
      </c>
      <c r="Y307" s="26" t="s">
        <v>76</v>
      </c>
      <c r="Z307" s="93" t="s">
        <v>106</v>
      </c>
      <c r="AA307" s="53" t="s">
        <v>76</v>
      </c>
      <c r="AB307" s="26"/>
      <c r="AC307" s="44"/>
    </row>
    <row r="308" spans="1:39" ht="33" hidden="1">
      <c r="A308" s="88">
        <v>298</v>
      </c>
      <c r="B308" s="79" t="s">
        <v>1764</v>
      </c>
      <c r="C308" s="148" t="s">
        <v>8</v>
      </c>
      <c r="D308" s="80" t="s">
        <v>63</v>
      </c>
      <c r="E308" s="27" t="s">
        <v>1750</v>
      </c>
      <c r="F308" s="80" t="s">
        <v>109</v>
      </c>
      <c r="G308" s="81" t="s">
        <v>1047</v>
      </c>
      <c r="H308" s="80" t="s">
        <v>1431</v>
      </c>
      <c r="I308" s="83">
        <v>45483</v>
      </c>
      <c r="J308" s="80" t="s">
        <v>1765</v>
      </c>
      <c r="K308" s="80" t="s">
        <v>69</v>
      </c>
      <c r="L308" s="84" t="s">
        <v>70</v>
      </c>
      <c r="M308" s="84" t="s">
        <v>221</v>
      </c>
      <c r="N308" s="84" t="s">
        <v>72</v>
      </c>
      <c r="O308" s="33" t="s">
        <v>1766</v>
      </c>
      <c r="P308" s="28"/>
      <c r="Q308" s="49" t="s">
        <v>75</v>
      </c>
      <c r="R308" s="25" t="s">
        <v>91</v>
      </c>
      <c r="S308" s="26">
        <v>22</v>
      </c>
      <c r="T308" s="26" t="s">
        <v>1276</v>
      </c>
      <c r="U308" s="228" t="s">
        <v>1767</v>
      </c>
      <c r="V308" s="66"/>
      <c r="W308" s="225" t="s">
        <v>76</v>
      </c>
      <c r="X308" s="78" t="s">
        <v>78</v>
      </c>
      <c r="Y308" s="26" t="s">
        <v>76</v>
      </c>
      <c r="Z308" s="75" t="s">
        <v>93</v>
      </c>
      <c r="AA308" s="53" t="s">
        <v>76</v>
      </c>
      <c r="AB308" s="26"/>
      <c r="AC308" s="44"/>
    </row>
    <row r="309" spans="1:39" ht="148.5" hidden="1">
      <c r="A309" s="88">
        <v>299</v>
      </c>
      <c r="B309" s="79" t="s">
        <v>1768</v>
      </c>
      <c r="C309" s="148" t="s">
        <v>8</v>
      </c>
      <c r="D309" s="80" t="s">
        <v>83</v>
      </c>
      <c r="E309" s="27" t="s">
        <v>1769</v>
      </c>
      <c r="F309" s="80" t="s">
        <v>109</v>
      </c>
      <c r="G309" s="81" t="s">
        <v>589</v>
      </c>
      <c r="H309" s="80" t="s">
        <v>902</v>
      </c>
      <c r="I309" s="83">
        <v>45489</v>
      </c>
      <c r="J309" s="80" t="s">
        <v>1288</v>
      </c>
      <c r="K309" s="80" t="s">
        <v>112</v>
      </c>
      <c r="L309" s="84" t="s">
        <v>113</v>
      </c>
      <c r="M309" s="84" t="s">
        <v>148</v>
      </c>
      <c r="N309" s="84" t="s">
        <v>72</v>
      </c>
      <c r="O309" s="33" t="s">
        <v>1770</v>
      </c>
      <c r="P309" s="28" t="s">
        <v>1771</v>
      </c>
      <c r="Q309" s="49" t="s">
        <v>75</v>
      </c>
      <c r="R309" s="25" t="s">
        <v>91</v>
      </c>
      <c r="S309" s="26">
        <v>20</v>
      </c>
      <c r="T309" s="26">
        <v>51</v>
      </c>
      <c r="U309" s="228" t="s">
        <v>1772</v>
      </c>
      <c r="V309" s="66"/>
      <c r="W309" s="225" t="s">
        <v>76</v>
      </c>
      <c r="X309" s="78" t="s">
        <v>78</v>
      </c>
      <c r="Y309" s="26" t="s">
        <v>76</v>
      </c>
      <c r="Z309" s="75" t="s">
        <v>106</v>
      </c>
      <c r="AA309" s="53" t="s">
        <v>76</v>
      </c>
      <c r="AB309" s="26"/>
      <c r="AC309" s="44"/>
    </row>
    <row r="310" spans="1:39" ht="33" hidden="1">
      <c r="A310" s="88">
        <v>300</v>
      </c>
      <c r="B310" s="79" t="s">
        <v>1773</v>
      </c>
      <c r="C310" s="148" t="s">
        <v>8</v>
      </c>
      <c r="D310" s="80" t="s">
        <v>83</v>
      </c>
      <c r="E310" s="27" t="s">
        <v>1774</v>
      </c>
      <c r="F310" s="80" t="s">
        <v>120</v>
      </c>
      <c r="G310" s="81" t="s">
        <v>248</v>
      </c>
      <c r="H310" s="80" t="s">
        <v>270</v>
      </c>
      <c r="I310" s="83">
        <v>45483</v>
      </c>
      <c r="J310" s="80" t="s">
        <v>594</v>
      </c>
      <c r="K310" s="80" t="s">
        <v>491</v>
      </c>
      <c r="L310" s="84" t="s">
        <v>251</v>
      </c>
      <c r="M310" s="84" t="s">
        <v>595</v>
      </c>
      <c r="N310" s="84" t="s">
        <v>72</v>
      </c>
      <c r="O310" s="33" t="s">
        <v>1775</v>
      </c>
      <c r="P310" s="28"/>
      <c r="Q310" s="49" t="s">
        <v>75</v>
      </c>
      <c r="R310" s="25" t="s">
        <v>75</v>
      </c>
      <c r="S310" s="26">
        <v>22</v>
      </c>
      <c r="T310" s="26" t="s">
        <v>76</v>
      </c>
      <c r="U310" s="228" t="s">
        <v>1776</v>
      </c>
      <c r="V310" s="66" t="s">
        <v>75</v>
      </c>
      <c r="W310" s="225" t="s">
        <v>305</v>
      </c>
      <c r="X310" s="78" t="s">
        <v>78</v>
      </c>
      <c r="Y310" s="26" t="s">
        <v>76</v>
      </c>
      <c r="Z310" s="75" t="s">
        <v>79</v>
      </c>
      <c r="AA310" s="30" t="s">
        <v>76</v>
      </c>
      <c r="AB310" s="26"/>
      <c r="AC310" s="44"/>
    </row>
    <row r="311" spans="1:39" ht="148.5" hidden="1">
      <c r="A311" s="88">
        <v>301</v>
      </c>
      <c r="B311" s="79" t="s">
        <v>1777</v>
      </c>
      <c r="C311" s="148" t="s">
        <v>8</v>
      </c>
      <c r="D311" s="80" t="s">
        <v>63</v>
      </c>
      <c r="E311" s="27" t="s">
        <v>1778</v>
      </c>
      <c r="F311" s="80" t="s">
        <v>109</v>
      </c>
      <c r="G311" s="81" t="s">
        <v>1406</v>
      </c>
      <c r="H311" s="80" t="s">
        <v>1779</v>
      </c>
      <c r="I311" s="83">
        <v>45489</v>
      </c>
      <c r="J311" s="80" t="s">
        <v>112</v>
      </c>
      <c r="K311" s="80" t="s">
        <v>112</v>
      </c>
      <c r="L311" s="84" t="s">
        <v>122</v>
      </c>
      <c r="M311" s="84" t="s">
        <v>114</v>
      </c>
      <c r="N311" s="84" t="s">
        <v>72</v>
      </c>
      <c r="O311" s="33" t="s">
        <v>1780</v>
      </c>
      <c r="P311" s="28" t="s">
        <v>1781</v>
      </c>
      <c r="Q311" s="49" t="s">
        <v>91</v>
      </c>
      <c r="R311" s="25"/>
      <c r="S311" s="26">
        <v>16</v>
      </c>
      <c r="T311" s="26"/>
      <c r="U311" s="228" t="s">
        <v>1782</v>
      </c>
      <c r="V311" s="66"/>
      <c r="W311" s="225" t="s">
        <v>76</v>
      </c>
      <c r="X311" s="106" t="s">
        <v>76</v>
      </c>
      <c r="Y311" s="26" t="s">
        <v>76</v>
      </c>
      <c r="Z311" s="75" t="s">
        <v>193</v>
      </c>
      <c r="AA311" s="53" t="s">
        <v>76</v>
      </c>
      <c r="AB311" s="26"/>
      <c r="AC311" s="44"/>
    </row>
    <row r="312" spans="1:39" ht="49.5" hidden="1">
      <c r="A312" s="88">
        <v>302</v>
      </c>
      <c r="B312" s="79" t="s">
        <v>1783</v>
      </c>
      <c r="C312" s="148" t="s">
        <v>8</v>
      </c>
      <c r="D312" s="80" t="s">
        <v>63</v>
      </c>
      <c r="E312" s="27" t="s">
        <v>1784</v>
      </c>
      <c r="F312" s="80" t="s">
        <v>109</v>
      </c>
      <c r="G312" s="81" t="s">
        <v>1041</v>
      </c>
      <c r="H312" s="80" t="s">
        <v>1785</v>
      </c>
      <c r="I312" s="83">
        <v>45483</v>
      </c>
      <c r="J312" s="80" t="s">
        <v>1786</v>
      </c>
      <c r="K312" s="80" t="s">
        <v>198</v>
      </c>
      <c r="L312" s="84" t="s">
        <v>199</v>
      </c>
      <c r="M312" s="84" t="s">
        <v>221</v>
      </c>
      <c r="N312" s="84" t="s">
        <v>72</v>
      </c>
      <c r="O312" s="33" t="s">
        <v>1787</v>
      </c>
      <c r="P312" s="28" t="s">
        <v>1788</v>
      </c>
      <c r="Q312" s="49" t="s">
        <v>75</v>
      </c>
      <c r="R312" s="25" t="s">
        <v>91</v>
      </c>
      <c r="S312" s="26">
        <v>18</v>
      </c>
      <c r="T312" s="26">
        <v>47</v>
      </c>
      <c r="U312" s="265" t="s">
        <v>1789</v>
      </c>
      <c r="V312" s="66"/>
      <c r="W312" s="225" t="s">
        <v>76</v>
      </c>
      <c r="X312" s="78" t="s">
        <v>78</v>
      </c>
      <c r="Y312" s="106" t="s">
        <v>76</v>
      </c>
      <c r="Z312" s="75" t="s">
        <v>93</v>
      </c>
      <c r="AA312" s="30" t="s">
        <v>76</v>
      </c>
      <c r="AC312" s="40"/>
    </row>
    <row r="313" spans="1:39" ht="145.5" hidden="1" customHeight="1">
      <c r="A313" s="88">
        <v>303</v>
      </c>
      <c r="B313" s="79" t="s">
        <v>1790</v>
      </c>
      <c r="C313" s="148" t="s">
        <v>8</v>
      </c>
      <c r="D313" s="80" t="s">
        <v>63</v>
      </c>
      <c r="E313" s="27" t="s">
        <v>1791</v>
      </c>
      <c r="F313" s="80" t="s">
        <v>109</v>
      </c>
      <c r="G313" s="81" t="s">
        <v>1413</v>
      </c>
      <c r="H313" s="80" t="s">
        <v>1499</v>
      </c>
      <c r="I313" s="83">
        <v>45483</v>
      </c>
      <c r="J313" s="80" t="s">
        <v>112</v>
      </c>
      <c r="K313" s="80" t="s">
        <v>112</v>
      </c>
      <c r="L313" s="84" t="s">
        <v>113</v>
      </c>
      <c r="M313" s="84" t="s">
        <v>114</v>
      </c>
      <c r="N313" s="84" t="s">
        <v>72</v>
      </c>
      <c r="O313" s="33" t="s">
        <v>1792</v>
      </c>
      <c r="P313" s="28" t="s">
        <v>1793</v>
      </c>
      <c r="Q313" s="49" t="s">
        <v>91</v>
      </c>
      <c r="R313" s="25"/>
      <c r="S313" s="26">
        <v>15</v>
      </c>
      <c r="T313" s="26"/>
      <c r="U313" s="228" t="s">
        <v>1794</v>
      </c>
      <c r="V313" s="66"/>
      <c r="W313" s="225" t="s">
        <v>76</v>
      </c>
      <c r="X313" s="106" t="s">
        <v>76</v>
      </c>
      <c r="Y313" s="26" t="s">
        <v>76</v>
      </c>
      <c r="Z313" s="75" t="s">
        <v>193</v>
      </c>
      <c r="AA313" s="53" t="s">
        <v>76</v>
      </c>
      <c r="AB313" s="26"/>
      <c r="AC313" s="44"/>
    </row>
    <row r="314" spans="1:39" ht="132" hidden="1">
      <c r="A314" s="88">
        <v>304</v>
      </c>
      <c r="B314" s="79" t="s">
        <v>1795</v>
      </c>
      <c r="C314" s="148" t="s">
        <v>8</v>
      </c>
      <c r="D314" s="80" t="s">
        <v>63</v>
      </c>
      <c r="E314" s="27" t="s">
        <v>1796</v>
      </c>
      <c r="F314" s="80" t="s">
        <v>120</v>
      </c>
      <c r="G314" s="81" t="s">
        <v>1728</v>
      </c>
      <c r="H314" s="80" t="s">
        <v>1729</v>
      </c>
      <c r="I314" s="83">
        <v>45488</v>
      </c>
      <c r="J314" s="80" t="s">
        <v>111</v>
      </c>
      <c r="K314" s="80" t="s">
        <v>112</v>
      </c>
      <c r="L314" s="84" t="s">
        <v>122</v>
      </c>
      <c r="M314" s="84" t="s">
        <v>114</v>
      </c>
      <c r="N314" s="84" t="s">
        <v>72</v>
      </c>
      <c r="O314" s="33" t="s">
        <v>1797</v>
      </c>
      <c r="P314" s="28" t="s">
        <v>1798</v>
      </c>
      <c r="Q314" s="49" t="s">
        <v>75</v>
      </c>
      <c r="R314" s="25" t="s">
        <v>91</v>
      </c>
      <c r="S314" s="26">
        <v>16</v>
      </c>
      <c r="T314" s="26">
        <v>50</v>
      </c>
      <c r="U314" s="228" t="s">
        <v>1799</v>
      </c>
      <c r="V314" s="66"/>
      <c r="W314" s="225" t="s">
        <v>76</v>
      </c>
      <c r="X314" s="78" t="s">
        <v>78</v>
      </c>
      <c r="Y314" s="26" t="s">
        <v>76</v>
      </c>
      <c r="Z314" s="75" t="s">
        <v>93</v>
      </c>
      <c r="AA314" s="53" t="s">
        <v>76</v>
      </c>
      <c r="AB314" s="26"/>
      <c r="AC314" s="44"/>
    </row>
    <row r="315" spans="1:39" ht="57" hidden="1" customHeight="1">
      <c r="A315" s="88">
        <v>305</v>
      </c>
      <c r="B315" s="79" t="s">
        <v>1800</v>
      </c>
      <c r="C315" s="148" t="s">
        <v>237</v>
      </c>
      <c r="D315" s="80" t="s">
        <v>83</v>
      </c>
      <c r="E315" s="27" t="s">
        <v>1801</v>
      </c>
      <c r="F315" s="80" t="s">
        <v>109</v>
      </c>
      <c r="G315" s="81" t="s">
        <v>290</v>
      </c>
      <c r="H315" s="80" t="s">
        <v>1802</v>
      </c>
      <c r="I315" s="83">
        <v>45484</v>
      </c>
      <c r="J315" s="80" t="s">
        <v>1803</v>
      </c>
      <c r="K315" s="80" t="s">
        <v>188</v>
      </c>
      <c r="L315" s="84" t="s">
        <v>189</v>
      </c>
      <c r="M315" s="84" t="s">
        <v>601</v>
      </c>
      <c r="N315" s="84" t="s">
        <v>72</v>
      </c>
      <c r="O315" s="33" t="s">
        <v>1804</v>
      </c>
      <c r="P315" s="28"/>
      <c r="Q315" s="49" t="s">
        <v>75</v>
      </c>
      <c r="R315" s="25" t="s">
        <v>504</v>
      </c>
      <c r="S315" s="26">
        <v>22</v>
      </c>
      <c r="T315" s="26" t="s">
        <v>76</v>
      </c>
      <c r="U315" s="228" t="s">
        <v>76</v>
      </c>
      <c r="V315" s="66"/>
      <c r="W315" s="225" t="s">
        <v>305</v>
      </c>
      <c r="X315" s="78" t="s">
        <v>78</v>
      </c>
      <c r="Y315" s="26" t="s">
        <v>76</v>
      </c>
      <c r="Z315" s="93" t="s">
        <v>106</v>
      </c>
      <c r="AA315" s="53" t="s">
        <v>76</v>
      </c>
      <c r="AB315" s="26"/>
      <c r="AC315" s="44"/>
    </row>
    <row r="316" spans="1:39" ht="148.5" hidden="1">
      <c r="A316" s="88">
        <v>306</v>
      </c>
      <c r="B316" s="79" t="s">
        <v>1805</v>
      </c>
      <c r="C316" s="148" t="s">
        <v>8</v>
      </c>
      <c r="D316" s="80" t="s">
        <v>63</v>
      </c>
      <c r="E316" s="27" t="s">
        <v>1806</v>
      </c>
      <c r="F316" s="80" t="s">
        <v>120</v>
      </c>
      <c r="G316" s="81" t="s">
        <v>154</v>
      </c>
      <c r="H316" s="80" t="s">
        <v>959</v>
      </c>
      <c r="I316" s="83">
        <v>45485</v>
      </c>
      <c r="J316" s="80" t="s">
        <v>220</v>
      </c>
      <c r="K316" s="80" t="s">
        <v>112</v>
      </c>
      <c r="L316" s="84" t="s">
        <v>113</v>
      </c>
      <c r="M316" s="84" t="s">
        <v>221</v>
      </c>
      <c r="N316" s="84" t="s">
        <v>72</v>
      </c>
      <c r="O316" s="33" t="s">
        <v>1807</v>
      </c>
      <c r="P316" s="28" t="s">
        <v>1808</v>
      </c>
      <c r="Q316" s="49" t="s">
        <v>75</v>
      </c>
      <c r="R316" s="25" t="s">
        <v>91</v>
      </c>
      <c r="S316" s="26">
        <v>25</v>
      </c>
      <c r="T316" s="55" t="s">
        <v>228</v>
      </c>
      <c r="U316" s="228" t="s">
        <v>1809</v>
      </c>
      <c r="V316" s="66"/>
      <c r="W316" s="225" t="s">
        <v>76</v>
      </c>
      <c r="X316" s="78" t="s">
        <v>78</v>
      </c>
      <c r="Y316" s="26" t="s">
        <v>76</v>
      </c>
      <c r="Z316" s="75" t="s">
        <v>93</v>
      </c>
      <c r="AA316" s="53" t="s">
        <v>76</v>
      </c>
      <c r="AB316" s="26"/>
      <c r="AC316" s="44"/>
    </row>
    <row r="317" spans="1:39" ht="66" hidden="1">
      <c r="A317" s="88">
        <v>307</v>
      </c>
      <c r="B317" s="79" t="s">
        <v>1810</v>
      </c>
      <c r="C317" s="148" t="s">
        <v>8</v>
      </c>
      <c r="D317" s="80" t="s">
        <v>63</v>
      </c>
      <c r="E317" s="27" t="s">
        <v>1811</v>
      </c>
      <c r="F317" s="80" t="s">
        <v>65</v>
      </c>
      <c r="G317" s="81" t="s">
        <v>66</v>
      </c>
      <c r="H317" s="80" t="s">
        <v>1812</v>
      </c>
      <c r="I317" s="83">
        <v>45486</v>
      </c>
      <c r="J317" s="80" t="s">
        <v>1813</v>
      </c>
      <c r="K317" s="80" t="s">
        <v>491</v>
      </c>
      <c r="L317" s="84" t="s">
        <v>251</v>
      </c>
      <c r="M317" s="84" t="s">
        <v>221</v>
      </c>
      <c r="N317" s="84" t="s">
        <v>72</v>
      </c>
      <c r="O317" s="33" t="s">
        <v>1814</v>
      </c>
      <c r="P317" s="28"/>
      <c r="Q317" s="49" t="s">
        <v>91</v>
      </c>
      <c r="R317" s="25"/>
      <c r="S317" s="26">
        <v>12</v>
      </c>
      <c r="T317" s="26" t="s">
        <v>76</v>
      </c>
      <c r="U317" s="228" t="s">
        <v>1815</v>
      </c>
      <c r="V317" s="66"/>
      <c r="W317" s="225" t="s">
        <v>76</v>
      </c>
      <c r="X317" s="106" t="s">
        <v>76</v>
      </c>
      <c r="Y317" s="26" t="s">
        <v>76</v>
      </c>
      <c r="Z317" s="75" t="s">
        <v>193</v>
      </c>
      <c r="AA317" s="30" t="s">
        <v>76</v>
      </c>
      <c r="AB317" s="26"/>
      <c r="AC317" s="44"/>
    </row>
    <row r="318" spans="1:39" ht="213.75" hidden="1">
      <c r="A318" s="88">
        <v>308</v>
      </c>
      <c r="B318" s="79" t="s">
        <v>1816</v>
      </c>
      <c r="C318" s="148" t="s">
        <v>399</v>
      </c>
      <c r="D318" s="80" t="s">
        <v>83</v>
      </c>
      <c r="E318" s="27" t="s">
        <v>1817</v>
      </c>
      <c r="F318" s="80" t="s">
        <v>120</v>
      </c>
      <c r="G318" s="81" t="s">
        <v>1375</v>
      </c>
      <c r="H318" s="80" t="s">
        <v>1818</v>
      </c>
      <c r="I318" s="83">
        <v>45489</v>
      </c>
      <c r="J318" s="80" t="s">
        <v>1819</v>
      </c>
      <c r="K318" s="80" t="s">
        <v>112</v>
      </c>
      <c r="L318" s="84" t="s">
        <v>122</v>
      </c>
      <c r="M318" s="84" t="s">
        <v>114</v>
      </c>
      <c r="N318" s="84" t="s">
        <v>72</v>
      </c>
      <c r="O318" s="33" t="s">
        <v>1820</v>
      </c>
      <c r="P318" s="28" t="s">
        <v>1821</v>
      </c>
      <c r="Q318" s="49" t="s">
        <v>91</v>
      </c>
      <c r="R318" s="25"/>
      <c r="S318" s="26">
        <v>12</v>
      </c>
      <c r="T318" s="26"/>
      <c r="U318" s="228" t="s">
        <v>1822</v>
      </c>
      <c r="V318" s="66"/>
      <c r="W318" s="225" t="s">
        <v>76</v>
      </c>
      <c r="X318" s="106" t="s">
        <v>76</v>
      </c>
      <c r="Y318" s="26" t="s">
        <v>76</v>
      </c>
      <c r="Z318" s="75" t="s">
        <v>193</v>
      </c>
      <c r="AA318" s="53" t="s">
        <v>76</v>
      </c>
      <c r="AB318" s="26"/>
      <c r="AC318" s="44"/>
      <c r="AM318" t="s">
        <v>1823</v>
      </c>
    </row>
    <row r="319" spans="1:39" ht="49.5" hidden="1">
      <c r="A319" s="88">
        <v>309</v>
      </c>
      <c r="B319" s="79" t="s">
        <v>1824</v>
      </c>
      <c r="C319" s="148" t="s">
        <v>10</v>
      </c>
      <c r="D319" s="80" t="s">
        <v>63</v>
      </c>
      <c r="E319" s="27" t="s">
        <v>1825</v>
      </c>
      <c r="F319" s="80" t="s">
        <v>109</v>
      </c>
      <c r="G319" s="81" t="s">
        <v>1826</v>
      </c>
      <c r="H319" s="80" t="s">
        <v>1827</v>
      </c>
      <c r="I319" s="83">
        <v>45489</v>
      </c>
      <c r="J319" s="80" t="s">
        <v>594</v>
      </c>
      <c r="K319" s="80" t="s">
        <v>1655</v>
      </c>
      <c r="L319" s="84" t="s">
        <v>251</v>
      </c>
      <c r="M319" s="84" t="s">
        <v>595</v>
      </c>
      <c r="N319" s="84" t="s">
        <v>72</v>
      </c>
      <c r="O319" s="306" t="s">
        <v>1828</v>
      </c>
      <c r="P319" s="28"/>
      <c r="Q319" s="49" t="s">
        <v>75</v>
      </c>
      <c r="R319" s="25" t="s">
        <v>91</v>
      </c>
      <c r="S319" s="26">
        <v>24</v>
      </c>
      <c r="T319" s="55" t="s">
        <v>383</v>
      </c>
      <c r="U319" s="228" t="s">
        <v>1658</v>
      </c>
      <c r="V319" s="66"/>
      <c r="W319" s="225" t="s">
        <v>76</v>
      </c>
      <c r="X319" s="78" t="s">
        <v>78</v>
      </c>
      <c r="Y319" s="26" t="s">
        <v>76</v>
      </c>
      <c r="Z319" s="75" t="s">
        <v>93</v>
      </c>
      <c r="AA319" s="53" t="s">
        <v>76</v>
      </c>
      <c r="AB319" s="26"/>
      <c r="AC319" s="44"/>
    </row>
    <row r="320" spans="1:39" ht="33" hidden="1">
      <c r="A320" s="88">
        <v>310</v>
      </c>
      <c r="B320" s="79" t="s">
        <v>1829</v>
      </c>
      <c r="C320" s="148" t="s">
        <v>8</v>
      </c>
      <c r="D320" s="80" t="s">
        <v>63</v>
      </c>
      <c r="E320" s="27" t="s">
        <v>1830</v>
      </c>
      <c r="F320" s="80" t="s">
        <v>120</v>
      </c>
      <c r="G320" s="81" t="s">
        <v>1047</v>
      </c>
      <c r="H320" s="80" t="s">
        <v>1831</v>
      </c>
      <c r="I320" s="83">
        <v>45489</v>
      </c>
      <c r="J320" s="80" t="s">
        <v>1803</v>
      </c>
      <c r="K320" s="80" t="s">
        <v>188</v>
      </c>
      <c r="L320" s="84" t="s">
        <v>189</v>
      </c>
      <c r="M320" s="84" t="s">
        <v>601</v>
      </c>
      <c r="N320" s="84" t="s">
        <v>72</v>
      </c>
      <c r="O320" s="33" t="s">
        <v>1832</v>
      </c>
      <c r="P320" s="28"/>
      <c r="Q320" s="49" t="s">
        <v>75</v>
      </c>
      <c r="R320" s="25" t="s">
        <v>91</v>
      </c>
      <c r="S320" s="26">
        <v>21</v>
      </c>
      <c r="T320" s="55" t="s">
        <v>1833</v>
      </c>
      <c r="U320" s="228" t="s">
        <v>1834</v>
      </c>
      <c r="V320" s="66"/>
      <c r="W320" s="225" t="s">
        <v>76</v>
      </c>
      <c r="X320" s="78" t="s">
        <v>78</v>
      </c>
      <c r="Y320" s="26" t="s">
        <v>76</v>
      </c>
      <c r="Z320" s="93" t="s">
        <v>93</v>
      </c>
      <c r="AA320" s="53" t="s">
        <v>76</v>
      </c>
      <c r="AB320" s="26"/>
      <c r="AC320" s="44"/>
    </row>
    <row r="321" spans="1:29" ht="33" hidden="1">
      <c r="A321" s="88">
        <v>311</v>
      </c>
      <c r="B321" s="79" t="s">
        <v>1835</v>
      </c>
      <c r="C321" s="148" t="s">
        <v>8</v>
      </c>
      <c r="D321" s="80" t="s">
        <v>63</v>
      </c>
      <c r="E321" s="27" t="s">
        <v>1836</v>
      </c>
      <c r="F321" s="80" t="s">
        <v>109</v>
      </c>
      <c r="G321" s="81" t="s">
        <v>1562</v>
      </c>
      <c r="H321" s="80" t="s">
        <v>1583</v>
      </c>
      <c r="I321" s="83">
        <v>45484</v>
      </c>
      <c r="J321" s="80" t="s">
        <v>156</v>
      </c>
      <c r="K321" s="80" t="s">
        <v>156</v>
      </c>
      <c r="L321" s="84" t="s">
        <v>171</v>
      </c>
      <c r="M321" s="84" t="s">
        <v>71</v>
      </c>
      <c r="N321" s="84" t="s">
        <v>72</v>
      </c>
      <c r="O321" s="33" t="s">
        <v>1837</v>
      </c>
      <c r="P321" s="28"/>
      <c r="Q321" s="49" t="s">
        <v>91</v>
      </c>
      <c r="R321" s="25"/>
      <c r="S321" s="26">
        <v>17</v>
      </c>
      <c r="T321" s="26" t="s">
        <v>76</v>
      </c>
      <c r="U321" s="228" t="s">
        <v>1838</v>
      </c>
      <c r="V321" s="100"/>
      <c r="W321" s="225" t="s">
        <v>76</v>
      </c>
      <c r="X321" s="106" t="s">
        <v>76</v>
      </c>
      <c r="Y321" s="26" t="s">
        <v>76</v>
      </c>
      <c r="Z321" s="75" t="s">
        <v>193</v>
      </c>
      <c r="AA321" s="53" t="s">
        <v>76</v>
      </c>
      <c r="AB321" s="26"/>
      <c r="AC321" s="44"/>
    </row>
    <row r="322" spans="1:29" ht="33" hidden="1">
      <c r="A322" s="88">
        <v>312</v>
      </c>
      <c r="B322" s="79" t="s">
        <v>1839</v>
      </c>
      <c r="C322" s="148" t="s">
        <v>8</v>
      </c>
      <c r="D322" s="80" t="s">
        <v>63</v>
      </c>
      <c r="E322" s="27" t="s">
        <v>1836</v>
      </c>
      <c r="F322" s="80" t="s">
        <v>109</v>
      </c>
      <c r="G322" s="81" t="s">
        <v>1562</v>
      </c>
      <c r="H322" s="80" t="s">
        <v>1583</v>
      </c>
      <c r="I322" s="83">
        <v>45484</v>
      </c>
      <c r="J322" s="80" t="s">
        <v>156</v>
      </c>
      <c r="K322" s="80" t="s">
        <v>156</v>
      </c>
      <c r="L322" s="84" t="s">
        <v>171</v>
      </c>
      <c r="M322" s="84" t="s">
        <v>71</v>
      </c>
      <c r="N322" s="84" t="s">
        <v>72</v>
      </c>
      <c r="O322" s="33" t="s">
        <v>1840</v>
      </c>
      <c r="P322" s="28"/>
      <c r="Q322" s="49" t="s">
        <v>75</v>
      </c>
      <c r="R322" s="25" t="s">
        <v>91</v>
      </c>
      <c r="S322" s="26">
        <v>19</v>
      </c>
      <c r="T322" s="26">
        <v>65</v>
      </c>
      <c r="U322" s="228" t="s">
        <v>1841</v>
      </c>
      <c r="V322" s="66"/>
      <c r="W322" s="225" t="s">
        <v>76</v>
      </c>
      <c r="X322" s="78" t="s">
        <v>78</v>
      </c>
      <c r="Y322" s="26" t="s">
        <v>76</v>
      </c>
      <c r="Z322" s="75" t="s">
        <v>93</v>
      </c>
      <c r="AA322" s="53" t="s">
        <v>76</v>
      </c>
      <c r="AB322" s="26"/>
      <c r="AC322" s="44"/>
    </row>
    <row r="323" spans="1:29" ht="33" hidden="1">
      <c r="A323" s="88">
        <v>313</v>
      </c>
      <c r="B323" s="79" t="s">
        <v>1842</v>
      </c>
      <c r="C323" s="148" t="s">
        <v>8</v>
      </c>
      <c r="D323" s="80" t="s">
        <v>63</v>
      </c>
      <c r="E323" s="27" t="s">
        <v>1836</v>
      </c>
      <c r="F323" s="80" t="s">
        <v>109</v>
      </c>
      <c r="G323" s="81" t="s">
        <v>1562</v>
      </c>
      <c r="H323" s="80" t="s">
        <v>1583</v>
      </c>
      <c r="I323" s="83">
        <v>45484</v>
      </c>
      <c r="J323" s="80" t="s">
        <v>156</v>
      </c>
      <c r="K323" s="80" t="s">
        <v>156</v>
      </c>
      <c r="L323" s="84" t="s">
        <v>171</v>
      </c>
      <c r="M323" s="84" t="s">
        <v>71</v>
      </c>
      <c r="N323" s="84" t="s">
        <v>72</v>
      </c>
      <c r="O323" s="33" t="s">
        <v>1843</v>
      </c>
      <c r="P323" s="28"/>
      <c r="Q323" s="49" t="s">
        <v>91</v>
      </c>
      <c r="R323" s="25"/>
      <c r="S323" s="26">
        <v>16</v>
      </c>
      <c r="T323" s="26" t="s">
        <v>76</v>
      </c>
      <c r="U323" s="228" t="s">
        <v>1844</v>
      </c>
      <c r="V323" s="66"/>
      <c r="W323" s="225" t="s">
        <v>76</v>
      </c>
      <c r="X323" s="106" t="s">
        <v>76</v>
      </c>
      <c r="Y323" s="26" t="s">
        <v>76</v>
      </c>
      <c r="Z323" s="75" t="s">
        <v>193</v>
      </c>
      <c r="AA323" s="53" t="s">
        <v>76</v>
      </c>
      <c r="AB323" s="26"/>
      <c r="AC323" s="44"/>
    </row>
    <row r="324" spans="1:29" ht="115.5" hidden="1">
      <c r="A324" s="88">
        <v>314</v>
      </c>
      <c r="B324" s="79" t="s">
        <v>1845</v>
      </c>
      <c r="C324" s="148" t="s">
        <v>8</v>
      </c>
      <c r="D324" s="80" t="s">
        <v>63</v>
      </c>
      <c r="E324" s="27" t="s">
        <v>1784</v>
      </c>
      <c r="F324" s="80" t="s">
        <v>109</v>
      </c>
      <c r="G324" s="81" t="s">
        <v>1041</v>
      </c>
      <c r="H324" s="80" t="s">
        <v>1785</v>
      </c>
      <c r="I324" s="83">
        <v>45489</v>
      </c>
      <c r="J324" s="80" t="s">
        <v>1819</v>
      </c>
      <c r="K324" s="80" t="s">
        <v>112</v>
      </c>
      <c r="L324" s="84" t="s">
        <v>122</v>
      </c>
      <c r="M324" s="84" t="s">
        <v>114</v>
      </c>
      <c r="N324" s="84" t="s">
        <v>72</v>
      </c>
      <c r="O324" s="33" t="s">
        <v>1846</v>
      </c>
      <c r="P324" s="28" t="s">
        <v>1847</v>
      </c>
      <c r="Q324" s="49" t="s">
        <v>91</v>
      </c>
      <c r="R324" s="25"/>
      <c r="S324" s="26">
        <v>12</v>
      </c>
      <c r="T324" s="26"/>
      <c r="U324" s="228" t="s">
        <v>1848</v>
      </c>
      <c r="V324" s="66"/>
      <c r="W324" s="225" t="s">
        <v>76</v>
      </c>
      <c r="X324" s="106" t="s">
        <v>76</v>
      </c>
      <c r="Y324" s="26" t="s">
        <v>76</v>
      </c>
      <c r="Z324" s="75" t="s">
        <v>193</v>
      </c>
      <c r="AA324" s="53" t="s">
        <v>76</v>
      </c>
      <c r="AB324" s="26"/>
      <c r="AC324" s="44"/>
    </row>
    <row r="325" spans="1:29" ht="112.5" hidden="1" customHeight="1">
      <c r="A325" s="88">
        <v>315</v>
      </c>
      <c r="B325" s="79" t="s">
        <v>1849</v>
      </c>
      <c r="C325" s="148" t="s">
        <v>8</v>
      </c>
      <c r="D325" s="80" t="s">
        <v>63</v>
      </c>
      <c r="E325" s="27" t="s">
        <v>1784</v>
      </c>
      <c r="F325" s="80" t="s">
        <v>109</v>
      </c>
      <c r="G325" s="81" t="s">
        <v>1041</v>
      </c>
      <c r="H325" s="80" t="s">
        <v>1785</v>
      </c>
      <c r="I325" s="83">
        <v>45489</v>
      </c>
      <c r="J325" s="80" t="s">
        <v>1819</v>
      </c>
      <c r="K325" s="80" t="s">
        <v>112</v>
      </c>
      <c r="L325" s="84" t="s">
        <v>113</v>
      </c>
      <c r="M325" s="84" t="s">
        <v>114</v>
      </c>
      <c r="N325" s="84" t="s">
        <v>72</v>
      </c>
      <c r="O325" s="33" t="s">
        <v>1850</v>
      </c>
      <c r="P325" s="28" t="s">
        <v>1851</v>
      </c>
      <c r="Q325" s="49" t="s">
        <v>75</v>
      </c>
      <c r="R325" s="25" t="s">
        <v>91</v>
      </c>
      <c r="S325" s="26">
        <v>22</v>
      </c>
      <c r="T325" s="26">
        <v>68</v>
      </c>
      <c r="U325" s="228" t="s">
        <v>1852</v>
      </c>
      <c r="V325" s="66"/>
      <c r="W325" s="225"/>
      <c r="X325" s="78" t="s">
        <v>78</v>
      </c>
      <c r="Y325" s="26" t="s">
        <v>76</v>
      </c>
      <c r="Z325" s="75" t="s">
        <v>93</v>
      </c>
      <c r="AA325" s="30" t="s">
        <v>1853</v>
      </c>
      <c r="AB325" s="26"/>
      <c r="AC325" s="44"/>
    </row>
    <row r="326" spans="1:29" ht="115.5" hidden="1">
      <c r="A326" s="88">
        <v>316</v>
      </c>
      <c r="B326" s="79" t="s">
        <v>1854</v>
      </c>
      <c r="C326" s="148" t="s">
        <v>8</v>
      </c>
      <c r="D326" s="80" t="s">
        <v>63</v>
      </c>
      <c r="E326" s="27" t="s">
        <v>1855</v>
      </c>
      <c r="F326" s="80" t="s">
        <v>120</v>
      </c>
      <c r="G326" s="81" t="s">
        <v>1368</v>
      </c>
      <c r="H326" s="80" t="s">
        <v>1856</v>
      </c>
      <c r="I326" s="83">
        <v>45489</v>
      </c>
      <c r="J326" s="80" t="s">
        <v>1819</v>
      </c>
      <c r="K326" s="80" t="s">
        <v>112</v>
      </c>
      <c r="L326" s="84" t="s">
        <v>122</v>
      </c>
      <c r="M326" s="84" t="s">
        <v>114</v>
      </c>
      <c r="N326" s="84" t="s">
        <v>72</v>
      </c>
      <c r="O326" s="33" t="s">
        <v>1857</v>
      </c>
      <c r="P326" s="28" t="s">
        <v>1858</v>
      </c>
      <c r="Q326" s="49" t="s">
        <v>75</v>
      </c>
      <c r="R326" s="25" t="s">
        <v>91</v>
      </c>
      <c r="S326" s="26">
        <v>21</v>
      </c>
      <c r="T326" s="26">
        <v>60</v>
      </c>
      <c r="U326" s="228" t="s">
        <v>1859</v>
      </c>
      <c r="V326" s="66"/>
      <c r="W326" s="225" t="s">
        <v>76</v>
      </c>
      <c r="X326" s="78" t="s">
        <v>78</v>
      </c>
      <c r="Y326" s="26" t="s">
        <v>76</v>
      </c>
      <c r="Z326" s="75" t="s">
        <v>93</v>
      </c>
      <c r="AA326" s="53" t="s">
        <v>76</v>
      </c>
      <c r="AB326" s="26"/>
      <c r="AC326" s="44"/>
    </row>
    <row r="327" spans="1:29" ht="35.25" hidden="1" customHeight="1">
      <c r="A327" s="88">
        <v>317</v>
      </c>
      <c r="B327" s="79" t="s">
        <v>1860</v>
      </c>
      <c r="C327" s="148" t="s">
        <v>8</v>
      </c>
      <c r="D327" s="80" t="s">
        <v>83</v>
      </c>
      <c r="E327" s="27" t="s">
        <v>1861</v>
      </c>
      <c r="F327" s="80" t="s">
        <v>109</v>
      </c>
      <c r="G327" s="81" t="s">
        <v>910</v>
      </c>
      <c r="H327" s="80" t="s">
        <v>1280</v>
      </c>
      <c r="I327" s="83">
        <v>45489</v>
      </c>
      <c r="J327" s="80" t="s">
        <v>145</v>
      </c>
      <c r="K327" s="80" t="s">
        <v>146</v>
      </c>
      <c r="L327" s="84" t="s">
        <v>147</v>
      </c>
      <c r="M327" s="84" t="s">
        <v>148</v>
      </c>
      <c r="N327" s="84" t="s">
        <v>72</v>
      </c>
      <c r="O327" s="33" t="s">
        <v>1862</v>
      </c>
      <c r="P327" s="28" t="s">
        <v>1863</v>
      </c>
      <c r="Q327" s="49" t="s">
        <v>75</v>
      </c>
      <c r="R327" s="25" t="s">
        <v>91</v>
      </c>
      <c r="S327" s="26">
        <v>23</v>
      </c>
      <c r="T327" s="26">
        <v>81</v>
      </c>
      <c r="U327" s="228" t="s">
        <v>1864</v>
      </c>
      <c r="V327" s="62"/>
      <c r="W327" s="225"/>
      <c r="X327" s="78" t="s">
        <v>78</v>
      </c>
      <c r="Y327" s="26" t="s">
        <v>76</v>
      </c>
      <c r="Z327" s="75" t="s">
        <v>93</v>
      </c>
      <c r="AA327" s="53" t="s">
        <v>76</v>
      </c>
      <c r="AB327" s="26"/>
      <c r="AC327" s="44"/>
    </row>
    <row r="328" spans="1:29" ht="115.5" hidden="1">
      <c r="A328" s="88">
        <v>318</v>
      </c>
      <c r="B328" s="79" t="s">
        <v>1865</v>
      </c>
      <c r="C328" s="148" t="s">
        <v>8</v>
      </c>
      <c r="D328" s="80" t="s">
        <v>83</v>
      </c>
      <c r="E328" s="27" t="s">
        <v>1861</v>
      </c>
      <c r="F328" s="80" t="s">
        <v>109</v>
      </c>
      <c r="G328" s="81" t="s">
        <v>910</v>
      </c>
      <c r="H328" s="80" t="s">
        <v>1280</v>
      </c>
      <c r="I328" s="83">
        <v>45489</v>
      </c>
      <c r="J328" s="80" t="s">
        <v>220</v>
      </c>
      <c r="K328" s="80" t="s">
        <v>112</v>
      </c>
      <c r="L328" s="84" t="s">
        <v>113</v>
      </c>
      <c r="M328" s="84" t="s">
        <v>221</v>
      </c>
      <c r="N328" s="84" t="s">
        <v>72</v>
      </c>
      <c r="O328" s="33" t="s">
        <v>1866</v>
      </c>
      <c r="P328" s="28" t="s">
        <v>1867</v>
      </c>
      <c r="Q328" s="49" t="s">
        <v>75</v>
      </c>
      <c r="R328" s="25" t="s">
        <v>75</v>
      </c>
      <c r="S328" s="26">
        <v>23</v>
      </c>
      <c r="T328" s="26">
        <v>71</v>
      </c>
      <c r="U328" s="228" t="s">
        <v>1868</v>
      </c>
      <c r="V328" s="66" t="s">
        <v>75</v>
      </c>
      <c r="W328" s="225" t="s">
        <v>721</v>
      </c>
      <c r="X328" s="78" t="s">
        <v>78</v>
      </c>
      <c r="Y328" s="106" t="s">
        <v>516</v>
      </c>
      <c r="Z328" s="75" t="s">
        <v>79</v>
      </c>
      <c r="AA328" s="53" t="s">
        <v>76</v>
      </c>
      <c r="AB328" s="26"/>
      <c r="AC328" s="44"/>
    </row>
    <row r="329" spans="1:29" ht="49.5" hidden="1">
      <c r="A329" s="88">
        <v>319</v>
      </c>
      <c r="B329" s="79" t="s">
        <v>1869</v>
      </c>
      <c r="C329" s="148" t="s">
        <v>8</v>
      </c>
      <c r="D329" s="80" t="s">
        <v>63</v>
      </c>
      <c r="E329" s="27" t="s">
        <v>1870</v>
      </c>
      <c r="F329" s="80" t="s">
        <v>65</v>
      </c>
      <c r="G329" s="81" t="s">
        <v>818</v>
      </c>
      <c r="H329" s="80" t="s">
        <v>1871</v>
      </c>
      <c r="I329" s="83">
        <v>45485</v>
      </c>
      <c r="J329" s="80" t="s">
        <v>833</v>
      </c>
      <c r="K329" s="80" t="s">
        <v>188</v>
      </c>
      <c r="L329" s="84" t="s">
        <v>189</v>
      </c>
      <c r="M329" s="84" t="s">
        <v>252</v>
      </c>
      <c r="N329" s="84" t="s">
        <v>72</v>
      </c>
      <c r="O329" s="33" t="s">
        <v>1872</v>
      </c>
      <c r="P329" s="28"/>
      <c r="Q329" s="49" t="s">
        <v>91</v>
      </c>
      <c r="R329" s="25"/>
      <c r="S329" s="26">
        <v>13</v>
      </c>
      <c r="T329" s="26" t="s">
        <v>76</v>
      </c>
      <c r="U329" s="228" t="s">
        <v>76</v>
      </c>
      <c r="V329" s="66"/>
      <c r="W329" s="225" t="s">
        <v>76</v>
      </c>
      <c r="X329" s="106" t="s">
        <v>76</v>
      </c>
      <c r="Y329" s="26" t="s">
        <v>76</v>
      </c>
      <c r="Z329" s="75" t="s">
        <v>76</v>
      </c>
      <c r="AA329" s="53" t="s">
        <v>76</v>
      </c>
      <c r="AB329" s="26"/>
      <c r="AC329" s="44"/>
    </row>
    <row r="330" spans="1:29" ht="66" hidden="1">
      <c r="A330" s="88">
        <v>320</v>
      </c>
      <c r="B330" s="79" t="s">
        <v>1873</v>
      </c>
      <c r="C330" s="148" t="s">
        <v>8</v>
      </c>
      <c r="D330" s="80" t="s">
        <v>83</v>
      </c>
      <c r="E330" s="27" t="s">
        <v>1874</v>
      </c>
      <c r="F330" s="80" t="s">
        <v>120</v>
      </c>
      <c r="G330" s="81" t="s">
        <v>339</v>
      </c>
      <c r="H330" s="80" t="s">
        <v>408</v>
      </c>
      <c r="I330" s="83">
        <v>45488</v>
      </c>
      <c r="J330" s="80" t="s">
        <v>1079</v>
      </c>
      <c r="K330" s="80" t="s">
        <v>112</v>
      </c>
      <c r="L330" s="84" t="s">
        <v>122</v>
      </c>
      <c r="M330" s="84" t="s">
        <v>71</v>
      </c>
      <c r="N330" s="84" t="s">
        <v>72</v>
      </c>
      <c r="O330" s="33" t="s">
        <v>1875</v>
      </c>
      <c r="P330" s="28" t="s">
        <v>1876</v>
      </c>
      <c r="Q330" s="49" t="s">
        <v>75</v>
      </c>
      <c r="R330" s="25" t="s">
        <v>91</v>
      </c>
      <c r="S330" s="26">
        <v>20</v>
      </c>
      <c r="T330" s="26">
        <v>71</v>
      </c>
      <c r="U330" s="228" t="s">
        <v>1877</v>
      </c>
      <c r="V330" s="66"/>
      <c r="W330" s="225"/>
      <c r="X330" s="78" t="s">
        <v>78</v>
      </c>
      <c r="Y330" s="26" t="s">
        <v>76</v>
      </c>
      <c r="Z330" s="75" t="s">
        <v>93</v>
      </c>
      <c r="AA330" s="53" t="s">
        <v>76</v>
      </c>
      <c r="AB330" s="26"/>
      <c r="AC330" s="44"/>
    </row>
    <row r="331" spans="1:29" ht="33" hidden="1">
      <c r="A331" s="88">
        <v>321</v>
      </c>
      <c r="B331" s="79" t="s">
        <v>1878</v>
      </c>
      <c r="C331" s="148" t="s">
        <v>8</v>
      </c>
      <c r="D331" s="80" t="s">
        <v>83</v>
      </c>
      <c r="E331" s="27" t="s">
        <v>1879</v>
      </c>
      <c r="F331" s="80" t="s">
        <v>120</v>
      </c>
      <c r="G331" s="81" t="s">
        <v>248</v>
      </c>
      <c r="H331" s="80" t="s">
        <v>1880</v>
      </c>
      <c r="I331" s="83">
        <v>45488</v>
      </c>
      <c r="J331" s="80" t="s">
        <v>1003</v>
      </c>
      <c r="K331" s="80" t="s">
        <v>99</v>
      </c>
      <c r="L331" s="84" t="s">
        <v>100</v>
      </c>
      <c r="M331" s="84" t="s">
        <v>252</v>
      </c>
      <c r="N331" s="84" t="s">
        <v>72</v>
      </c>
      <c r="O331" s="33" t="s">
        <v>1881</v>
      </c>
      <c r="P331" s="28"/>
      <c r="Q331" s="49" t="s">
        <v>75</v>
      </c>
      <c r="R331" s="25" t="s">
        <v>91</v>
      </c>
      <c r="S331" s="26">
        <v>18</v>
      </c>
      <c r="T331" s="26">
        <v>58</v>
      </c>
      <c r="U331" s="228" t="s">
        <v>1882</v>
      </c>
      <c r="V331" s="66"/>
      <c r="W331" s="225" t="s">
        <v>76</v>
      </c>
      <c r="X331" s="78" t="s">
        <v>78</v>
      </c>
      <c r="Y331" s="26" t="s">
        <v>76</v>
      </c>
      <c r="Z331" s="93" t="s">
        <v>93</v>
      </c>
      <c r="AA331" s="53" t="s">
        <v>76</v>
      </c>
      <c r="AB331" s="26"/>
      <c r="AC331" s="44"/>
    </row>
    <row r="332" spans="1:29" ht="66" hidden="1">
      <c r="A332" s="88">
        <v>322</v>
      </c>
      <c r="B332" s="79" t="s">
        <v>1883</v>
      </c>
      <c r="C332" s="148" t="s">
        <v>8</v>
      </c>
      <c r="D332" s="80" t="s">
        <v>83</v>
      </c>
      <c r="E332" s="27" t="s">
        <v>1884</v>
      </c>
      <c r="F332" s="80" t="s">
        <v>120</v>
      </c>
      <c r="G332" s="81" t="s">
        <v>248</v>
      </c>
      <c r="H332" s="80" t="s">
        <v>1681</v>
      </c>
      <c r="I332" s="83">
        <v>45485</v>
      </c>
      <c r="J332" s="80" t="s">
        <v>811</v>
      </c>
      <c r="K332" s="80" t="s">
        <v>299</v>
      </c>
      <c r="L332" s="84" t="s">
        <v>300</v>
      </c>
      <c r="M332" s="84" t="s">
        <v>114</v>
      </c>
      <c r="N332" s="84" t="s">
        <v>72</v>
      </c>
      <c r="O332" s="33" t="s">
        <v>1885</v>
      </c>
      <c r="P332" s="28"/>
      <c r="Q332" s="49" t="s">
        <v>75</v>
      </c>
      <c r="R332" s="196" t="s">
        <v>91</v>
      </c>
      <c r="S332" s="26">
        <v>21</v>
      </c>
      <c r="T332" s="26">
        <v>70</v>
      </c>
      <c r="U332" s="228" t="s">
        <v>1886</v>
      </c>
      <c r="V332" s="66"/>
      <c r="W332" s="225"/>
      <c r="X332" s="78" t="s">
        <v>78</v>
      </c>
      <c r="Y332" s="26" t="s">
        <v>76</v>
      </c>
      <c r="Z332" s="75" t="s">
        <v>106</v>
      </c>
      <c r="AA332" s="53" t="s">
        <v>76</v>
      </c>
      <c r="AB332" s="26"/>
      <c r="AC332" s="44"/>
    </row>
    <row r="333" spans="1:29" ht="82.5" hidden="1">
      <c r="A333" s="88">
        <v>323</v>
      </c>
      <c r="B333" s="79" t="s">
        <v>1887</v>
      </c>
      <c r="C333" s="148" t="s">
        <v>8</v>
      </c>
      <c r="D333" s="80" t="s">
        <v>63</v>
      </c>
      <c r="E333" s="27" t="s">
        <v>1888</v>
      </c>
      <c r="F333" s="80" t="s">
        <v>120</v>
      </c>
      <c r="G333" s="81" t="s">
        <v>1889</v>
      </c>
      <c r="H333" s="80" t="s">
        <v>1890</v>
      </c>
      <c r="I333" s="83">
        <v>45488</v>
      </c>
      <c r="J333" s="80" t="s">
        <v>241</v>
      </c>
      <c r="K333" s="80" t="s">
        <v>198</v>
      </c>
      <c r="L333" s="84" t="s">
        <v>199</v>
      </c>
      <c r="M333" s="84" t="s">
        <v>221</v>
      </c>
      <c r="N333" s="84" t="s">
        <v>72</v>
      </c>
      <c r="O333" s="33" t="s">
        <v>1891</v>
      </c>
      <c r="P333" s="28" t="s">
        <v>1892</v>
      </c>
      <c r="Q333" s="49" t="s">
        <v>91</v>
      </c>
      <c r="R333" s="25"/>
      <c r="S333" s="26">
        <v>16</v>
      </c>
      <c r="T333" s="26" t="s">
        <v>76</v>
      </c>
      <c r="U333" s="61" t="s">
        <v>1893</v>
      </c>
      <c r="V333" s="66"/>
      <c r="W333" s="225" t="s">
        <v>76</v>
      </c>
      <c r="X333" s="106" t="s">
        <v>76</v>
      </c>
      <c r="Y333" s="26" t="s">
        <v>76</v>
      </c>
      <c r="Z333" s="75" t="s">
        <v>193</v>
      </c>
      <c r="AA333" s="30" t="s">
        <v>1894</v>
      </c>
      <c r="AB333" s="26"/>
      <c r="AC333" s="44"/>
    </row>
    <row r="334" spans="1:29" ht="33" hidden="1">
      <c r="A334" s="88">
        <v>324</v>
      </c>
      <c r="B334" s="79" t="s">
        <v>1895</v>
      </c>
      <c r="C334" s="148" t="s">
        <v>8</v>
      </c>
      <c r="D334" s="80" t="s">
        <v>63</v>
      </c>
      <c r="E334" s="27" t="s">
        <v>1888</v>
      </c>
      <c r="F334" s="80" t="s">
        <v>120</v>
      </c>
      <c r="G334" s="81" t="s">
        <v>1889</v>
      </c>
      <c r="H334" s="80" t="s">
        <v>1890</v>
      </c>
      <c r="I334" s="83">
        <v>45488</v>
      </c>
      <c r="J334" s="80" t="s">
        <v>145</v>
      </c>
      <c r="K334" s="80" t="s">
        <v>146</v>
      </c>
      <c r="L334" s="84" t="s">
        <v>147</v>
      </c>
      <c r="M334" s="84" t="s">
        <v>148</v>
      </c>
      <c r="N334" s="84" t="s">
        <v>72</v>
      </c>
      <c r="O334" s="33" t="s">
        <v>1896</v>
      </c>
      <c r="P334" s="28" t="s">
        <v>1897</v>
      </c>
      <c r="Q334" s="49" t="s">
        <v>75</v>
      </c>
      <c r="R334" s="25" t="s">
        <v>91</v>
      </c>
      <c r="S334" s="26">
        <v>19</v>
      </c>
      <c r="T334" s="26">
        <v>67</v>
      </c>
      <c r="U334" s="228" t="s">
        <v>1898</v>
      </c>
      <c r="V334" s="66"/>
      <c r="W334" s="225" t="s">
        <v>76</v>
      </c>
      <c r="X334" s="78" t="s">
        <v>78</v>
      </c>
      <c r="Y334" s="26" t="s">
        <v>76</v>
      </c>
      <c r="Z334" s="75" t="s">
        <v>93</v>
      </c>
      <c r="AA334" s="53" t="s">
        <v>76</v>
      </c>
      <c r="AB334" s="26"/>
      <c r="AC334" s="44"/>
    </row>
    <row r="335" spans="1:29" ht="70.5" hidden="1" customHeight="1">
      <c r="A335" s="88">
        <v>325</v>
      </c>
      <c r="B335" s="79" t="s">
        <v>1899</v>
      </c>
      <c r="C335" s="148" t="s">
        <v>8</v>
      </c>
      <c r="D335" s="80" t="s">
        <v>63</v>
      </c>
      <c r="E335" s="27" t="s">
        <v>1855</v>
      </c>
      <c r="F335" s="80" t="s">
        <v>120</v>
      </c>
      <c r="G335" s="81" t="s">
        <v>1368</v>
      </c>
      <c r="H335" s="80" t="s">
        <v>1856</v>
      </c>
      <c r="I335" s="83">
        <v>45488</v>
      </c>
      <c r="J335" s="80" t="s">
        <v>241</v>
      </c>
      <c r="K335" s="80" t="s">
        <v>198</v>
      </c>
      <c r="L335" s="84" t="s">
        <v>199</v>
      </c>
      <c r="M335" s="84" t="s">
        <v>221</v>
      </c>
      <c r="N335" s="84" t="s">
        <v>72</v>
      </c>
      <c r="O335" s="33" t="s">
        <v>1900</v>
      </c>
      <c r="P335" s="28" t="s">
        <v>1901</v>
      </c>
      <c r="Q335" s="49" t="s">
        <v>75</v>
      </c>
      <c r="R335" s="25" t="s">
        <v>91</v>
      </c>
      <c r="S335" s="26">
        <v>21</v>
      </c>
      <c r="T335" s="26">
        <v>62</v>
      </c>
      <c r="U335" s="228" t="s">
        <v>1902</v>
      </c>
      <c r="V335" s="66"/>
      <c r="W335" s="225"/>
      <c r="X335" s="78" t="s">
        <v>78</v>
      </c>
      <c r="Y335" s="106" t="s">
        <v>76</v>
      </c>
      <c r="Z335" s="75" t="s">
        <v>93</v>
      </c>
      <c r="AA335" s="30" t="s">
        <v>76</v>
      </c>
      <c r="AB335" s="26"/>
      <c r="AC335" s="44"/>
    </row>
    <row r="336" spans="1:29" ht="82.5" hidden="1">
      <c r="A336" s="88">
        <v>326</v>
      </c>
      <c r="B336" s="79" t="s">
        <v>1903</v>
      </c>
      <c r="C336" s="148" t="s">
        <v>8</v>
      </c>
      <c r="D336" s="80" t="s">
        <v>63</v>
      </c>
      <c r="E336" s="27" t="s">
        <v>1855</v>
      </c>
      <c r="F336" s="80" t="s">
        <v>120</v>
      </c>
      <c r="G336" s="81" t="s">
        <v>1368</v>
      </c>
      <c r="H336" s="80" t="s">
        <v>1856</v>
      </c>
      <c r="I336" s="83">
        <v>45488</v>
      </c>
      <c r="J336" s="80" t="s">
        <v>111</v>
      </c>
      <c r="K336" s="80" t="s">
        <v>112</v>
      </c>
      <c r="L336" s="84" t="s">
        <v>122</v>
      </c>
      <c r="M336" s="84" t="s">
        <v>114</v>
      </c>
      <c r="N336" s="84" t="s">
        <v>72</v>
      </c>
      <c r="O336" s="33" t="s">
        <v>1904</v>
      </c>
      <c r="P336" s="28" t="s">
        <v>1905</v>
      </c>
      <c r="Q336" s="49" t="s">
        <v>91</v>
      </c>
      <c r="R336" s="25"/>
      <c r="S336" s="26">
        <v>16</v>
      </c>
      <c r="T336" s="26" t="s">
        <v>76</v>
      </c>
      <c r="U336" s="228" t="s">
        <v>1906</v>
      </c>
      <c r="V336" s="66"/>
      <c r="W336" s="225" t="s">
        <v>76</v>
      </c>
      <c r="X336" s="106" t="s">
        <v>76</v>
      </c>
      <c r="Y336" s="26" t="s">
        <v>76</v>
      </c>
      <c r="Z336" s="75" t="s">
        <v>193</v>
      </c>
      <c r="AA336" s="53" t="s">
        <v>76</v>
      </c>
      <c r="AB336" s="26"/>
      <c r="AC336" s="44"/>
    </row>
    <row r="337" spans="1:29" ht="33" hidden="1">
      <c r="A337" s="88">
        <v>327</v>
      </c>
      <c r="B337" s="79" t="s">
        <v>1907</v>
      </c>
      <c r="C337" s="148" t="s">
        <v>8</v>
      </c>
      <c r="D337" s="80" t="s">
        <v>63</v>
      </c>
      <c r="E337" s="27" t="s">
        <v>1855</v>
      </c>
      <c r="F337" s="80" t="s">
        <v>120</v>
      </c>
      <c r="G337" s="81" t="s">
        <v>1368</v>
      </c>
      <c r="H337" s="80" t="s">
        <v>1856</v>
      </c>
      <c r="I337" s="83">
        <v>45488</v>
      </c>
      <c r="J337" s="80" t="s">
        <v>657</v>
      </c>
      <c r="K337" s="80" t="s">
        <v>188</v>
      </c>
      <c r="L337" s="84" t="s">
        <v>189</v>
      </c>
      <c r="M337" s="84" t="s">
        <v>221</v>
      </c>
      <c r="N337" s="84" t="s">
        <v>72</v>
      </c>
      <c r="O337" s="33" t="s">
        <v>1908</v>
      </c>
      <c r="P337" s="28"/>
      <c r="Q337" s="49" t="s">
        <v>75</v>
      </c>
      <c r="R337" s="25" t="s">
        <v>91</v>
      </c>
      <c r="S337" s="26">
        <v>21</v>
      </c>
      <c r="T337" s="26">
        <v>53</v>
      </c>
      <c r="U337" s="228" t="s">
        <v>1909</v>
      </c>
      <c r="V337" s="66"/>
      <c r="W337" s="225" t="s">
        <v>76</v>
      </c>
      <c r="X337" s="78" t="s">
        <v>78</v>
      </c>
      <c r="Y337" s="26" t="s">
        <v>76</v>
      </c>
      <c r="Z337" s="75" t="s">
        <v>106</v>
      </c>
      <c r="AA337" s="53" t="s">
        <v>76</v>
      </c>
      <c r="AB337" s="26"/>
      <c r="AC337" s="44"/>
    </row>
    <row r="338" spans="1:29" ht="33" hidden="1">
      <c r="A338" s="88">
        <v>328</v>
      </c>
      <c r="B338" s="79" t="s">
        <v>1910</v>
      </c>
      <c r="C338" s="258" t="s">
        <v>237</v>
      </c>
      <c r="D338" s="80" t="s">
        <v>83</v>
      </c>
      <c r="E338" s="27">
        <v>600087</v>
      </c>
      <c r="F338" s="80" t="s">
        <v>1344</v>
      </c>
      <c r="G338" s="81" t="s">
        <v>239</v>
      </c>
      <c r="H338" s="80" t="s">
        <v>1345</v>
      </c>
      <c r="I338" s="83">
        <v>45484</v>
      </c>
      <c r="J338" s="80" t="s">
        <v>187</v>
      </c>
      <c r="K338" s="80" t="s">
        <v>188</v>
      </c>
      <c r="L338" s="84" t="s">
        <v>189</v>
      </c>
      <c r="M338" s="84" t="s">
        <v>114</v>
      </c>
      <c r="N338" s="84" t="s">
        <v>72</v>
      </c>
      <c r="O338" s="33" t="s">
        <v>1911</v>
      </c>
      <c r="P338" s="28"/>
      <c r="Q338" s="49" t="s">
        <v>75</v>
      </c>
      <c r="R338" s="25" t="s">
        <v>91</v>
      </c>
      <c r="S338" s="26">
        <v>18</v>
      </c>
      <c r="T338" s="26">
        <v>54</v>
      </c>
      <c r="U338" s="228" t="s">
        <v>76</v>
      </c>
      <c r="V338" s="66"/>
      <c r="W338" s="225" t="s">
        <v>76</v>
      </c>
      <c r="X338" s="78" t="s">
        <v>78</v>
      </c>
      <c r="Y338" s="26" t="s">
        <v>76</v>
      </c>
      <c r="Z338" s="75" t="s">
        <v>106</v>
      </c>
      <c r="AA338" s="53" t="s">
        <v>76</v>
      </c>
      <c r="AB338" s="26"/>
      <c r="AC338" s="44"/>
    </row>
    <row r="339" spans="1:29" ht="82.5" hidden="1">
      <c r="A339" s="88">
        <v>329</v>
      </c>
      <c r="B339" s="79" t="s">
        <v>1912</v>
      </c>
      <c r="C339" s="258" t="s">
        <v>237</v>
      </c>
      <c r="D339" s="80" t="s">
        <v>83</v>
      </c>
      <c r="E339" s="27">
        <v>600087</v>
      </c>
      <c r="F339" s="80" t="s">
        <v>1344</v>
      </c>
      <c r="G339" s="81" t="s">
        <v>239</v>
      </c>
      <c r="H339" s="80" t="s">
        <v>1345</v>
      </c>
      <c r="I339" s="83">
        <v>45484</v>
      </c>
      <c r="J339" s="80" t="s">
        <v>197</v>
      </c>
      <c r="K339" s="80" t="s">
        <v>198</v>
      </c>
      <c r="L339" s="84" t="s">
        <v>199</v>
      </c>
      <c r="M339" s="84" t="s">
        <v>200</v>
      </c>
      <c r="N339" s="84" t="s">
        <v>72</v>
      </c>
      <c r="O339" s="33" t="s">
        <v>1913</v>
      </c>
      <c r="P339" s="28" t="s">
        <v>1914</v>
      </c>
      <c r="Q339" s="49" t="s">
        <v>75</v>
      </c>
      <c r="R339" s="25" t="s">
        <v>91</v>
      </c>
      <c r="S339" s="26">
        <v>24</v>
      </c>
      <c r="T339" s="55" t="s">
        <v>1915</v>
      </c>
      <c r="U339" s="228" t="s">
        <v>1916</v>
      </c>
      <c r="V339" s="66"/>
      <c r="W339" s="225" t="s">
        <v>76</v>
      </c>
      <c r="X339" s="78" t="s">
        <v>78</v>
      </c>
      <c r="Y339" s="106" t="s">
        <v>76</v>
      </c>
      <c r="Z339" s="75" t="s">
        <v>93</v>
      </c>
      <c r="AA339" s="30" t="s">
        <v>76</v>
      </c>
      <c r="AB339" s="26"/>
      <c r="AC339" s="44"/>
    </row>
    <row r="340" spans="1:29" ht="49.5" hidden="1">
      <c r="A340" s="88">
        <v>330</v>
      </c>
      <c r="B340" s="79" t="s">
        <v>1917</v>
      </c>
      <c r="C340" s="148" t="s">
        <v>8</v>
      </c>
      <c r="D340" s="80" t="s">
        <v>63</v>
      </c>
      <c r="E340" s="27" t="s">
        <v>1918</v>
      </c>
      <c r="F340" s="80" t="s">
        <v>109</v>
      </c>
      <c r="G340" s="81" t="s">
        <v>440</v>
      </c>
      <c r="H340" s="80" t="s">
        <v>441</v>
      </c>
      <c r="I340" s="83">
        <v>45488</v>
      </c>
      <c r="J340" s="80" t="s">
        <v>145</v>
      </c>
      <c r="K340" s="80" t="s">
        <v>146</v>
      </c>
      <c r="L340" s="84" t="s">
        <v>147</v>
      </c>
      <c r="M340" s="84" t="s">
        <v>148</v>
      </c>
      <c r="N340" s="84" t="s">
        <v>72</v>
      </c>
      <c r="O340" s="33" t="s">
        <v>1919</v>
      </c>
      <c r="P340" s="28" t="s">
        <v>1920</v>
      </c>
      <c r="Q340" s="49" t="s">
        <v>75</v>
      </c>
      <c r="R340" s="25" t="s">
        <v>91</v>
      </c>
      <c r="S340" s="26">
        <v>23</v>
      </c>
      <c r="T340" s="26">
        <v>73</v>
      </c>
      <c r="U340" s="228" t="s">
        <v>76</v>
      </c>
      <c r="V340" s="66"/>
      <c r="W340" s="225"/>
      <c r="X340" s="78" t="s">
        <v>78</v>
      </c>
      <c r="Y340" s="26" t="s">
        <v>76</v>
      </c>
      <c r="Z340" s="75" t="s">
        <v>93</v>
      </c>
      <c r="AA340" s="53" t="s">
        <v>76</v>
      </c>
      <c r="AB340" s="26"/>
      <c r="AC340" s="44"/>
    </row>
    <row r="341" spans="1:29" ht="49.5" hidden="1">
      <c r="A341" s="88">
        <v>331</v>
      </c>
      <c r="B341" s="79" t="s">
        <v>1921</v>
      </c>
      <c r="C341" s="148" t="s">
        <v>8</v>
      </c>
      <c r="D341" s="80" t="s">
        <v>63</v>
      </c>
      <c r="E341" s="27" t="s">
        <v>1922</v>
      </c>
      <c r="F341" s="80" t="s">
        <v>65</v>
      </c>
      <c r="G341" s="81" t="s">
        <v>651</v>
      </c>
      <c r="H341" s="80" t="s">
        <v>1923</v>
      </c>
      <c r="I341" s="83">
        <v>45484</v>
      </c>
      <c r="J341" s="80" t="s">
        <v>145</v>
      </c>
      <c r="K341" s="80" t="s">
        <v>146</v>
      </c>
      <c r="L341" s="84" t="s">
        <v>147</v>
      </c>
      <c r="M341" s="84" t="s">
        <v>148</v>
      </c>
      <c r="N341" s="84" t="s">
        <v>72</v>
      </c>
      <c r="O341" s="33" t="s">
        <v>1924</v>
      </c>
      <c r="P341" s="28" t="s">
        <v>1925</v>
      </c>
      <c r="Q341" s="49" t="s">
        <v>75</v>
      </c>
      <c r="R341" s="25" t="s">
        <v>91</v>
      </c>
      <c r="S341" s="26">
        <v>20</v>
      </c>
      <c r="T341" s="26">
        <v>62</v>
      </c>
      <c r="U341" s="228" t="s">
        <v>1926</v>
      </c>
      <c r="V341" s="66"/>
      <c r="W341" s="225" t="s">
        <v>76</v>
      </c>
      <c r="X341" s="78" t="s">
        <v>78</v>
      </c>
      <c r="Y341" s="26" t="s">
        <v>76</v>
      </c>
      <c r="Z341" s="75" t="s">
        <v>93</v>
      </c>
      <c r="AA341" s="53" t="s">
        <v>76</v>
      </c>
      <c r="AB341" s="26"/>
      <c r="AC341" s="44"/>
    </row>
    <row r="342" spans="1:29" ht="165" hidden="1">
      <c r="A342" s="88">
        <v>332</v>
      </c>
      <c r="B342" s="79" t="s">
        <v>1927</v>
      </c>
      <c r="C342" s="148" t="s">
        <v>8</v>
      </c>
      <c r="D342" s="80" t="s">
        <v>83</v>
      </c>
      <c r="E342" s="27" t="s">
        <v>1928</v>
      </c>
      <c r="F342" s="80" t="s">
        <v>109</v>
      </c>
      <c r="G342" s="81" t="s">
        <v>96</v>
      </c>
      <c r="H342" s="80" t="s">
        <v>216</v>
      </c>
      <c r="I342" s="83">
        <v>45485</v>
      </c>
      <c r="J342" s="80" t="s">
        <v>241</v>
      </c>
      <c r="K342" s="80" t="s">
        <v>198</v>
      </c>
      <c r="L342" s="84" t="s">
        <v>199</v>
      </c>
      <c r="M342" s="84" t="s">
        <v>221</v>
      </c>
      <c r="N342" s="84" t="s">
        <v>72</v>
      </c>
      <c r="O342" s="33" t="s">
        <v>1929</v>
      </c>
      <c r="P342" s="28" t="s">
        <v>1930</v>
      </c>
      <c r="Q342" s="49" t="s">
        <v>91</v>
      </c>
      <c r="R342" s="25"/>
      <c r="S342" s="26">
        <v>12</v>
      </c>
      <c r="T342" s="26" t="s">
        <v>76</v>
      </c>
      <c r="U342" s="228" t="s">
        <v>1931</v>
      </c>
      <c r="V342" s="66"/>
      <c r="W342" s="225" t="s">
        <v>76</v>
      </c>
      <c r="X342" s="106" t="s">
        <v>76</v>
      </c>
      <c r="Y342" s="26" t="s">
        <v>76</v>
      </c>
      <c r="Z342" s="75" t="s">
        <v>193</v>
      </c>
      <c r="AA342" s="30" t="s">
        <v>76</v>
      </c>
      <c r="AB342" s="26"/>
      <c r="AC342" s="44"/>
    </row>
    <row r="343" spans="1:29" ht="180.75" hidden="1">
      <c r="A343" s="88">
        <v>333</v>
      </c>
      <c r="B343" s="79" t="s">
        <v>1932</v>
      </c>
      <c r="C343" s="148" t="s">
        <v>8</v>
      </c>
      <c r="D343" s="80" t="s">
        <v>83</v>
      </c>
      <c r="E343" s="27" t="s">
        <v>1933</v>
      </c>
      <c r="F343" s="80" t="s">
        <v>109</v>
      </c>
      <c r="G343" s="81" t="s">
        <v>96</v>
      </c>
      <c r="H343" s="80" t="s">
        <v>1934</v>
      </c>
      <c r="I343" s="83">
        <v>45489</v>
      </c>
      <c r="J343" s="80" t="s">
        <v>241</v>
      </c>
      <c r="K343" s="80" t="s">
        <v>198</v>
      </c>
      <c r="L343" s="84" t="s">
        <v>199</v>
      </c>
      <c r="M343" s="84" t="s">
        <v>221</v>
      </c>
      <c r="N343" s="84" t="s">
        <v>72</v>
      </c>
      <c r="O343" s="33" t="s">
        <v>1935</v>
      </c>
      <c r="P343" s="54" t="s">
        <v>1936</v>
      </c>
      <c r="Q343" s="49" t="s">
        <v>75</v>
      </c>
      <c r="R343" s="25" t="s">
        <v>91</v>
      </c>
      <c r="S343" s="26">
        <v>18</v>
      </c>
      <c r="T343" s="26">
        <v>57</v>
      </c>
      <c r="U343" s="228" t="s">
        <v>1937</v>
      </c>
      <c r="V343" s="66"/>
      <c r="W343" s="225"/>
      <c r="X343" s="78" t="s">
        <v>78</v>
      </c>
      <c r="Y343" s="106" t="s">
        <v>76</v>
      </c>
      <c r="Z343" s="136" t="s">
        <v>93</v>
      </c>
      <c r="AA343" s="30" t="s">
        <v>1536</v>
      </c>
      <c r="AC343" s="40"/>
    </row>
    <row r="344" spans="1:29" ht="165" hidden="1">
      <c r="A344" s="88">
        <v>334</v>
      </c>
      <c r="B344" s="79" t="s">
        <v>1938</v>
      </c>
      <c r="C344" s="148" t="s">
        <v>8</v>
      </c>
      <c r="D344" s="80" t="s">
        <v>83</v>
      </c>
      <c r="E344" s="27" t="s">
        <v>1939</v>
      </c>
      <c r="F344" s="80" t="s">
        <v>120</v>
      </c>
      <c r="G344" s="81" t="s">
        <v>96</v>
      </c>
      <c r="H344" s="80" t="s">
        <v>196</v>
      </c>
      <c r="I344" s="83">
        <v>45484</v>
      </c>
      <c r="J344" s="80" t="s">
        <v>241</v>
      </c>
      <c r="K344" s="80" t="s">
        <v>198</v>
      </c>
      <c r="L344" s="84" t="s">
        <v>199</v>
      </c>
      <c r="M344" s="84" t="s">
        <v>221</v>
      </c>
      <c r="N344" s="84" t="s">
        <v>72</v>
      </c>
      <c r="O344" s="53" t="s">
        <v>1940</v>
      </c>
      <c r="P344" s="266" t="s">
        <v>1941</v>
      </c>
      <c r="Q344" s="49" t="s">
        <v>75</v>
      </c>
      <c r="R344" s="25" t="s">
        <v>91</v>
      </c>
      <c r="S344" s="26">
        <v>18</v>
      </c>
      <c r="T344" s="26">
        <v>68</v>
      </c>
      <c r="U344" s="228" t="s">
        <v>1942</v>
      </c>
      <c r="V344" s="66"/>
      <c r="W344" s="225" t="s">
        <v>76</v>
      </c>
      <c r="X344" s="78" t="s">
        <v>78</v>
      </c>
      <c r="Y344" s="106" t="s">
        <v>76</v>
      </c>
      <c r="Z344" s="93" t="s">
        <v>93</v>
      </c>
      <c r="AA344" s="30" t="s">
        <v>76</v>
      </c>
      <c r="AB344" s="26"/>
      <c r="AC344" s="44"/>
    </row>
    <row r="345" spans="1:29" ht="148.5" hidden="1">
      <c r="A345" s="88">
        <v>335</v>
      </c>
      <c r="B345" s="79" t="s">
        <v>1943</v>
      </c>
      <c r="C345" s="148" t="s">
        <v>8</v>
      </c>
      <c r="D345" s="80" t="s">
        <v>83</v>
      </c>
      <c r="E345" s="27" t="s">
        <v>1874</v>
      </c>
      <c r="F345" s="80" t="s">
        <v>120</v>
      </c>
      <c r="G345" s="81" t="s">
        <v>339</v>
      </c>
      <c r="H345" s="80" t="s">
        <v>408</v>
      </c>
      <c r="I345" s="83">
        <v>45488</v>
      </c>
      <c r="J345" s="80" t="s">
        <v>111</v>
      </c>
      <c r="K345" s="80" t="s">
        <v>112</v>
      </c>
      <c r="L345" s="84" t="s">
        <v>122</v>
      </c>
      <c r="M345" s="84" t="s">
        <v>114</v>
      </c>
      <c r="N345" s="84" t="s">
        <v>72</v>
      </c>
      <c r="O345" s="33" t="s">
        <v>1944</v>
      </c>
      <c r="P345" s="28" t="s">
        <v>1945</v>
      </c>
      <c r="Q345" s="49" t="s">
        <v>75</v>
      </c>
      <c r="R345" s="25" t="s">
        <v>91</v>
      </c>
      <c r="S345" s="26">
        <v>22</v>
      </c>
      <c r="T345" s="55" t="s">
        <v>228</v>
      </c>
      <c r="U345" s="228" t="s">
        <v>1946</v>
      </c>
      <c r="V345" s="66"/>
      <c r="W345" s="225" t="s">
        <v>76</v>
      </c>
      <c r="X345" s="78" t="s">
        <v>78</v>
      </c>
      <c r="Y345" s="26" t="s">
        <v>76</v>
      </c>
      <c r="Z345" s="75" t="s">
        <v>93</v>
      </c>
      <c r="AA345" s="53" t="s">
        <v>76</v>
      </c>
      <c r="AB345" s="26"/>
      <c r="AC345" s="44"/>
    </row>
    <row r="346" spans="1:29" ht="33" hidden="1">
      <c r="A346" s="88">
        <v>336</v>
      </c>
      <c r="B346" s="79" t="s">
        <v>1947</v>
      </c>
      <c r="C346" s="148" t="s">
        <v>8</v>
      </c>
      <c r="D346" s="80" t="s">
        <v>63</v>
      </c>
      <c r="E346" s="27" t="s">
        <v>1948</v>
      </c>
      <c r="F346" s="80" t="s">
        <v>120</v>
      </c>
      <c r="G346" s="81" t="s">
        <v>1413</v>
      </c>
      <c r="H346" s="80" t="s">
        <v>1949</v>
      </c>
      <c r="I346" s="83">
        <v>45483</v>
      </c>
      <c r="J346" s="80" t="s">
        <v>745</v>
      </c>
      <c r="K346" s="80" t="s">
        <v>99</v>
      </c>
      <c r="L346" s="84" t="s">
        <v>100</v>
      </c>
      <c r="M346" s="84" t="s">
        <v>601</v>
      </c>
      <c r="N346" s="84" t="s">
        <v>72</v>
      </c>
      <c r="O346" s="33" t="s">
        <v>1950</v>
      </c>
      <c r="P346" s="28"/>
      <c r="Q346" s="49" t="s">
        <v>75</v>
      </c>
      <c r="R346" s="25" t="s">
        <v>91</v>
      </c>
      <c r="S346" s="26">
        <v>20</v>
      </c>
      <c r="T346" s="26">
        <v>54</v>
      </c>
      <c r="U346" s="228" t="s">
        <v>1951</v>
      </c>
      <c r="V346" s="66"/>
      <c r="W346" s="225" t="s">
        <v>76</v>
      </c>
      <c r="X346" s="78" t="s">
        <v>78</v>
      </c>
      <c r="Y346" s="26" t="s">
        <v>76</v>
      </c>
      <c r="Z346" s="93" t="s">
        <v>93</v>
      </c>
      <c r="AA346" s="53" t="s">
        <v>76</v>
      </c>
      <c r="AB346" s="26"/>
      <c r="AC346" s="44"/>
    </row>
    <row r="347" spans="1:29" ht="33" hidden="1">
      <c r="A347" s="88">
        <v>337</v>
      </c>
      <c r="B347" s="79" t="s">
        <v>1952</v>
      </c>
      <c r="C347" s="148" t="s">
        <v>8</v>
      </c>
      <c r="D347" s="80" t="s">
        <v>63</v>
      </c>
      <c r="E347" s="27" t="s">
        <v>1953</v>
      </c>
      <c r="F347" s="80" t="s">
        <v>109</v>
      </c>
      <c r="G347" s="81" t="s">
        <v>1413</v>
      </c>
      <c r="H347" s="80" t="s">
        <v>1414</v>
      </c>
      <c r="I347" s="83">
        <v>45483</v>
      </c>
      <c r="J347" s="80" t="s">
        <v>1954</v>
      </c>
      <c r="K347" s="80" t="s">
        <v>156</v>
      </c>
      <c r="L347" s="84" t="s">
        <v>171</v>
      </c>
      <c r="M347" s="84" t="s">
        <v>114</v>
      </c>
      <c r="N347" s="84" t="s">
        <v>72</v>
      </c>
      <c r="O347" s="33" t="s">
        <v>1955</v>
      </c>
      <c r="P347" s="28"/>
      <c r="Q347" s="49" t="s">
        <v>75</v>
      </c>
      <c r="R347" s="25" t="s">
        <v>91</v>
      </c>
      <c r="S347" s="26">
        <v>25</v>
      </c>
      <c r="T347" s="26"/>
      <c r="U347" s="228" t="s">
        <v>643</v>
      </c>
      <c r="V347" s="66"/>
      <c r="W347" s="225"/>
      <c r="X347" s="78" t="s">
        <v>78</v>
      </c>
      <c r="Y347" s="26" t="s">
        <v>76</v>
      </c>
      <c r="Z347" s="75" t="s">
        <v>106</v>
      </c>
      <c r="AA347" s="53" t="s">
        <v>76</v>
      </c>
      <c r="AB347" s="26"/>
      <c r="AC347" s="44"/>
    </row>
    <row r="348" spans="1:29" ht="180.75" hidden="1">
      <c r="A348" s="98">
        <v>338</v>
      </c>
      <c r="B348" s="79" t="s">
        <v>1956</v>
      </c>
      <c r="C348" s="148" t="s">
        <v>8</v>
      </c>
      <c r="D348" s="80" t="s">
        <v>63</v>
      </c>
      <c r="E348" s="27" t="s">
        <v>1953</v>
      </c>
      <c r="F348" s="80" t="s">
        <v>109</v>
      </c>
      <c r="G348" s="81" t="s">
        <v>1413</v>
      </c>
      <c r="H348" s="80" t="s">
        <v>1414</v>
      </c>
      <c r="I348" s="83">
        <v>45483</v>
      </c>
      <c r="J348" s="80" t="s">
        <v>111</v>
      </c>
      <c r="K348" s="80" t="s">
        <v>112</v>
      </c>
      <c r="L348" s="84" t="s">
        <v>113</v>
      </c>
      <c r="M348" s="84" t="s">
        <v>114</v>
      </c>
      <c r="N348" s="84" t="s">
        <v>72</v>
      </c>
      <c r="O348" s="33" t="s">
        <v>1957</v>
      </c>
      <c r="P348" s="28" t="s">
        <v>1958</v>
      </c>
      <c r="Q348" s="49" t="s">
        <v>91</v>
      </c>
      <c r="R348" s="25"/>
      <c r="S348" s="26">
        <v>16</v>
      </c>
      <c r="T348" s="26" t="s">
        <v>76</v>
      </c>
      <c r="U348" s="228" t="s">
        <v>1959</v>
      </c>
      <c r="V348" s="66"/>
      <c r="W348" s="225" t="s">
        <v>76</v>
      </c>
      <c r="X348" s="106" t="s">
        <v>76</v>
      </c>
      <c r="Y348" s="26" t="s">
        <v>76</v>
      </c>
      <c r="Z348" s="75" t="s">
        <v>193</v>
      </c>
      <c r="AA348" s="53" t="s">
        <v>76</v>
      </c>
      <c r="AB348" s="26"/>
      <c r="AC348" s="44"/>
    </row>
    <row r="349" spans="1:29" ht="49.5" hidden="1">
      <c r="A349" s="98">
        <v>339</v>
      </c>
      <c r="B349" s="79" t="s">
        <v>1960</v>
      </c>
      <c r="C349" s="148" t="s">
        <v>8</v>
      </c>
      <c r="D349" s="80" t="s">
        <v>63</v>
      </c>
      <c r="E349" s="27" t="s">
        <v>1961</v>
      </c>
      <c r="F349" s="80" t="s">
        <v>109</v>
      </c>
      <c r="G349" s="81" t="s">
        <v>1413</v>
      </c>
      <c r="H349" s="80" t="s">
        <v>1962</v>
      </c>
      <c r="I349" s="83">
        <v>45484</v>
      </c>
      <c r="J349" s="80" t="s">
        <v>903</v>
      </c>
      <c r="K349" s="80" t="s">
        <v>491</v>
      </c>
      <c r="L349" s="84" t="s">
        <v>251</v>
      </c>
      <c r="M349" s="84" t="s">
        <v>904</v>
      </c>
      <c r="N349" s="84" t="s">
        <v>253</v>
      </c>
      <c r="O349" s="33" t="s">
        <v>1963</v>
      </c>
      <c r="P349" s="28" t="s">
        <v>1964</v>
      </c>
      <c r="Q349" s="49" t="s">
        <v>75</v>
      </c>
      <c r="R349" s="25" t="s">
        <v>75</v>
      </c>
      <c r="S349" s="26">
        <v>22</v>
      </c>
      <c r="T349" s="26" t="s">
        <v>76</v>
      </c>
      <c r="U349" s="228" t="s">
        <v>1965</v>
      </c>
      <c r="V349" s="66" t="s">
        <v>75</v>
      </c>
      <c r="W349" s="225" t="s">
        <v>792</v>
      </c>
      <c r="X349" s="78" t="s">
        <v>78</v>
      </c>
      <c r="Y349" s="26" t="s">
        <v>76</v>
      </c>
      <c r="Z349" s="75" t="s">
        <v>79</v>
      </c>
      <c r="AA349" s="30" t="s">
        <v>76</v>
      </c>
      <c r="AB349" s="26"/>
      <c r="AC349" s="44"/>
    </row>
    <row r="350" spans="1:29" ht="66" hidden="1">
      <c r="A350" s="98">
        <v>340</v>
      </c>
      <c r="B350" s="79" t="s">
        <v>1966</v>
      </c>
      <c r="C350" s="148" t="s">
        <v>8</v>
      </c>
      <c r="D350" s="80" t="s">
        <v>83</v>
      </c>
      <c r="E350" s="27" t="s">
        <v>162</v>
      </c>
      <c r="F350" s="80" t="s">
        <v>109</v>
      </c>
      <c r="G350" s="81" t="s">
        <v>96</v>
      </c>
      <c r="H350" s="80" t="s">
        <v>163</v>
      </c>
      <c r="I350" s="83">
        <v>45490</v>
      </c>
      <c r="J350" s="80" t="s">
        <v>145</v>
      </c>
      <c r="K350" s="80" t="s">
        <v>146</v>
      </c>
      <c r="L350" s="84" t="s">
        <v>147</v>
      </c>
      <c r="M350" s="84" t="s">
        <v>148</v>
      </c>
      <c r="N350" s="84" t="s">
        <v>72</v>
      </c>
      <c r="O350" s="33" t="s">
        <v>1967</v>
      </c>
      <c r="P350" s="28" t="s">
        <v>1968</v>
      </c>
      <c r="Q350" s="49" t="s">
        <v>75</v>
      </c>
      <c r="R350" s="25" t="s">
        <v>91</v>
      </c>
      <c r="S350" s="26">
        <v>21</v>
      </c>
      <c r="T350" s="26">
        <v>63</v>
      </c>
      <c r="U350" s="228" t="s">
        <v>1969</v>
      </c>
      <c r="V350" s="66"/>
      <c r="W350" s="225"/>
      <c r="X350" s="78" t="s">
        <v>78</v>
      </c>
      <c r="Y350" s="26" t="s">
        <v>76</v>
      </c>
      <c r="Z350" s="75" t="s">
        <v>93</v>
      </c>
      <c r="AA350" s="53" t="s">
        <v>76</v>
      </c>
      <c r="AB350" s="26"/>
      <c r="AC350" s="44"/>
    </row>
    <row r="351" spans="1:29" ht="33" hidden="1">
      <c r="A351" s="98">
        <v>341</v>
      </c>
      <c r="B351" s="79" t="s">
        <v>1970</v>
      </c>
      <c r="C351" s="148" t="s">
        <v>8</v>
      </c>
      <c r="D351" s="80" t="s">
        <v>63</v>
      </c>
      <c r="E351" s="27">
        <v>700231</v>
      </c>
      <c r="F351" s="80" t="s">
        <v>831</v>
      </c>
      <c r="G351" s="81" t="s">
        <v>1413</v>
      </c>
      <c r="H351" s="80" t="s">
        <v>1971</v>
      </c>
      <c r="I351" s="83">
        <v>45490</v>
      </c>
      <c r="J351" s="80" t="s">
        <v>783</v>
      </c>
      <c r="K351" s="80" t="s">
        <v>188</v>
      </c>
      <c r="L351" s="84" t="s">
        <v>189</v>
      </c>
      <c r="M351" s="84" t="s">
        <v>784</v>
      </c>
      <c r="N351" s="84" t="s">
        <v>72</v>
      </c>
      <c r="O351" s="33" t="s">
        <v>1972</v>
      </c>
      <c r="P351" s="28"/>
      <c r="Q351" s="49" t="s">
        <v>75</v>
      </c>
      <c r="R351" s="25" t="s">
        <v>91</v>
      </c>
      <c r="S351" s="26">
        <v>19</v>
      </c>
      <c r="T351" s="26">
        <v>53</v>
      </c>
      <c r="U351" s="228" t="s">
        <v>1973</v>
      </c>
      <c r="V351" s="66"/>
      <c r="W351" s="225" t="s">
        <v>76</v>
      </c>
      <c r="X351" s="78" t="s">
        <v>78</v>
      </c>
      <c r="Y351" s="26" t="s">
        <v>76</v>
      </c>
      <c r="Z351" s="75" t="s">
        <v>93</v>
      </c>
      <c r="AA351" s="53" t="s">
        <v>76</v>
      </c>
      <c r="AB351" s="26"/>
      <c r="AC351" s="44"/>
    </row>
    <row r="352" spans="1:29" ht="33" hidden="1">
      <c r="A352" s="98">
        <v>342</v>
      </c>
      <c r="B352" s="79" t="s">
        <v>1974</v>
      </c>
      <c r="C352" s="148" t="s">
        <v>8</v>
      </c>
      <c r="D352" s="80" t="s">
        <v>83</v>
      </c>
      <c r="E352" s="27" t="s">
        <v>296</v>
      </c>
      <c r="F352" s="80" t="s">
        <v>109</v>
      </c>
      <c r="G352" s="81" t="s">
        <v>248</v>
      </c>
      <c r="H352" s="80" t="s">
        <v>297</v>
      </c>
      <c r="I352" s="83">
        <v>45490</v>
      </c>
      <c r="J352" s="80" t="s">
        <v>1734</v>
      </c>
      <c r="K352" s="80" t="s">
        <v>146</v>
      </c>
      <c r="L352" s="84" t="s">
        <v>300</v>
      </c>
      <c r="M352" s="84" t="s">
        <v>784</v>
      </c>
      <c r="N352" s="84" t="s">
        <v>72</v>
      </c>
      <c r="O352" s="33" t="s">
        <v>1975</v>
      </c>
      <c r="P352" s="28"/>
      <c r="Q352" s="49" t="s">
        <v>75</v>
      </c>
      <c r="R352" s="25" t="s">
        <v>91</v>
      </c>
      <c r="S352" s="26">
        <v>20</v>
      </c>
      <c r="T352" s="26">
        <v>70</v>
      </c>
      <c r="U352" s="228" t="s">
        <v>1976</v>
      </c>
      <c r="V352" s="66"/>
      <c r="W352" s="225" t="s">
        <v>76</v>
      </c>
      <c r="X352" s="78" t="s">
        <v>78</v>
      </c>
      <c r="Y352" s="26" t="s">
        <v>76</v>
      </c>
      <c r="Z352" s="75" t="s">
        <v>106</v>
      </c>
      <c r="AA352" s="53" t="s">
        <v>76</v>
      </c>
      <c r="AB352" s="26"/>
      <c r="AC352" s="44"/>
    </row>
    <row r="353" spans="1:29" ht="115.5" hidden="1">
      <c r="A353" s="98">
        <v>343</v>
      </c>
      <c r="B353" s="79" t="s">
        <v>1977</v>
      </c>
      <c r="C353" s="148" t="s">
        <v>8</v>
      </c>
      <c r="D353" s="80" t="s">
        <v>63</v>
      </c>
      <c r="E353" s="27" t="s">
        <v>1412</v>
      </c>
      <c r="F353" s="80" t="s">
        <v>109</v>
      </c>
      <c r="G353" s="81" t="s">
        <v>1413</v>
      </c>
      <c r="H353" s="80" t="s">
        <v>1414</v>
      </c>
      <c r="I353" s="83">
        <v>45490</v>
      </c>
      <c r="J353" s="80" t="s">
        <v>1978</v>
      </c>
      <c r="K353" s="80" t="s">
        <v>112</v>
      </c>
      <c r="L353" s="84" t="s">
        <v>122</v>
      </c>
      <c r="M353" s="84" t="s">
        <v>784</v>
      </c>
      <c r="N353" s="84" t="s">
        <v>72</v>
      </c>
      <c r="O353" s="33" t="s">
        <v>1979</v>
      </c>
      <c r="P353" s="28" t="s">
        <v>1980</v>
      </c>
      <c r="Q353" s="49" t="s">
        <v>75</v>
      </c>
      <c r="R353" s="25" t="s">
        <v>91</v>
      </c>
      <c r="S353" s="26">
        <v>19</v>
      </c>
      <c r="T353" s="26">
        <v>52</v>
      </c>
      <c r="U353" s="228" t="s">
        <v>1981</v>
      </c>
      <c r="V353" s="66"/>
      <c r="W353" s="225" t="s">
        <v>76</v>
      </c>
      <c r="X353" s="78" t="s">
        <v>78</v>
      </c>
      <c r="Y353" s="26" t="s">
        <v>76</v>
      </c>
      <c r="Z353" s="75" t="s">
        <v>93</v>
      </c>
      <c r="AA353" s="53" t="s">
        <v>76</v>
      </c>
      <c r="AB353" s="26"/>
      <c r="AC353" s="44"/>
    </row>
    <row r="354" spans="1:29" ht="33" hidden="1">
      <c r="A354" s="98">
        <v>344</v>
      </c>
      <c r="B354" s="79" t="s">
        <v>1982</v>
      </c>
      <c r="C354" s="148" t="s">
        <v>8</v>
      </c>
      <c r="D354" s="80" t="s">
        <v>63</v>
      </c>
      <c r="E354" s="27" t="s">
        <v>1983</v>
      </c>
      <c r="F354" s="80" t="s">
        <v>109</v>
      </c>
      <c r="G354" s="81" t="s">
        <v>1041</v>
      </c>
      <c r="H354" s="80" t="s">
        <v>1984</v>
      </c>
      <c r="I354" s="83">
        <v>45490</v>
      </c>
      <c r="J354" s="80" t="s">
        <v>783</v>
      </c>
      <c r="K354" s="80" t="s">
        <v>1655</v>
      </c>
      <c r="L354" s="84" t="s">
        <v>189</v>
      </c>
      <c r="M354" s="84" t="s">
        <v>784</v>
      </c>
      <c r="N354" s="84" t="s">
        <v>72</v>
      </c>
      <c r="O354" s="33" t="s">
        <v>1985</v>
      </c>
      <c r="P354" s="28"/>
      <c r="Q354" s="49" t="s">
        <v>75</v>
      </c>
      <c r="R354" s="25" t="s">
        <v>91</v>
      </c>
      <c r="S354" s="26">
        <v>21</v>
      </c>
      <c r="T354" s="26" t="s">
        <v>313</v>
      </c>
      <c r="U354" s="228" t="s">
        <v>1986</v>
      </c>
      <c r="V354" s="66"/>
      <c r="W354" s="225" t="s">
        <v>76</v>
      </c>
      <c r="X354" s="78" t="s">
        <v>78</v>
      </c>
      <c r="Y354" s="26" t="s">
        <v>76</v>
      </c>
      <c r="Z354" s="75" t="s">
        <v>93</v>
      </c>
      <c r="AA354" s="53" t="s">
        <v>76</v>
      </c>
      <c r="AB354" s="26"/>
      <c r="AC354" s="44"/>
    </row>
    <row r="355" spans="1:29" ht="66" hidden="1">
      <c r="A355" s="98">
        <v>345</v>
      </c>
      <c r="B355" s="79" t="s">
        <v>1987</v>
      </c>
      <c r="C355" s="148" t="s">
        <v>8</v>
      </c>
      <c r="D355" s="80" t="s">
        <v>63</v>
      </c>
      <c r="E355" s="27" t="s">
        <v>1988</v>
      </c>
      <c r="F355" s="80" t="s">
        <v>109</v>
      </c>
      <c r="G355" s="81" t="s">
        <v>1047</v>
      </c>
      <c r="H355" s="80" t="s">
        <v>1048</v>
      </c>
      <c r="I355" s="83">
        <v>45490</v>
      </c>
      <c r="J355" s="80" t="s">
        <v>783</v>
      </c>
      <c r="K355" s="80" t="s">
        <v>146</v>
      </c>
      <c r="L355" s="84" t="s">
        <v>189</v>
      </c>
      <c r="M355" s="84" t="s">
        <v>784</v>
      </c>
      <c r="N355" s="84" t="s">
        <v>72</v>
      </c>
      <c r="O355" s="33" t="s">
        <v>1989</v>
      </c>
      <c r="P355" s="28"/>
      <c r="Q355" s="49" t="s">
        <v>75</v>
      </c>
      <c r="R355" s="25" t="s">
        <v>91</v>
      </c>
      <c r="S355" s="26">
        <v>20</v>
      </c>
      <c r="T355" s="26">
        <v>70</v>
      </c>
      <c r="U355" s="228" t="s">
        <v>1990</v>
      </c>
      <c r="V355" s="66"/>
      <c r="W355" s="225"/>
      <c r="X355" s="78" t="s">
        <v>78</v>
      </c>
      <c r="Y355" s="26" t="s">
        <v>76</v>
      </c>
      <c r="Z355" s="75" t="s">
        <v>93</v>
      </c>
      <c r="AA355" s="53" t="s">
        <v>76</v>
      </c>
      <c r="AB355" s="26"/>
      <c r="AC355" s="44"/>
    </row>
    <row r="356" spans="1:29" ht="49.5" hidden="1">
      <c r="A356" s="98">
        <v>346</v>
      </c>
      <c r="B356" s="79" t="s">
        <v>1991</v>
      </c>
      <c r="C356" s="148" t="s">
        <v>8</v>
      </c>
      <c r="D356" s="80" t="s">
        <v>63</v>
      </c>
      <c r="E356" s="27" t="s">
        <v>1992</v>
      </c>
      <c r="F356" s="80" t="s">
        <v>338</v>
      </c>
      <c r="G356" s="81" t="s">
        <v>995</v>
      </c>
      <c r="H356" s="80" t="s">
        <v>1993</v>
      </c>
      <c r="I356" s="83">
        <v>45491</v>
      </c>
      <c r="J356" s="80" t="s">
        <v>783</v>
      </c>
      <c r="K356" s="80" t="s">
        <v>188</v>
      </c>
      <c r="L356" s="84" t="s">
        <v>189</v>
      </c>
      <c r="M356" s="84" t="s">
        <v>784</v>
      </c>
      <c r="N356" s="84" t="s">
        <v>72</v>
      </c>
      <c r="O356" s="33" t="s">
        <v>1994</v>
      </c>
      <c r="P356" s="28"/>
      <c r="Q356" s="49" t="s">
        <v>75</v>
      </c>
      <c r="R356" s="25" t="s">
        <v>91</v>
      </c>
      <c r="S356" s="26">
        <v>22</v>
      </c>
      <c r="T356" s="26">
        <v>66</v>
      </c>
      <c r="U356" s="228" t="s">
        <v>1995</v>
      </c>
      <c r="V356" s="66"/>
      <c r="W356" s="225" t="s">
        <v>76</v>
      </c>
      <c r="X356" s="78" t="s">
        <v>78</v>
      </c>
      <c r="Y356" s="26" t="s">
        <v>76</v>
      </c>
      <c r="Z356" s="75" t="s">
        <v>106</v>
      </c>
      <c r="AA356" s="53" t="s">
        <v>76</v>
      </c>
      <c r="AB356" s="26"/>
      <c r="AC356" s="44"/>
    </row>
    <row r="357" spans="1:29" ht="33" hidden="1">
      <c r="A357" s="98">
        <v>347</v>
      </c>
      <c r="B357" s="79" t="s">
        <v>1996</v>
      </c>
      <c r="C357" s="148" t="s">
        <v>8</v>
      </c>
      <c r="D357" s="80" t="s">
        <v>83</v>
      </c>
      <c r="E357" s="27" t="s">
        <v>1997</v>
      </c>
      <c r="F357" s="80" t="s">
        <v>284</v>
      </c>
      <c r="G357" s="81" t="s">
        <v>248</v>
      </c>
      <c r="H357" s="80" t="s">
        <v>1998</v>
      </c>
      <c r="I357" s="83">
        <v>45491</v>
      </c>
      <c r="J357" s="80" t="s">
        <v>783</v>
      </c>
      <c r="K357" s="80" t="s">
        <v>69</v>
      </c>
      <c r="L357" s="84" t="s">
        <v>189</v>
      </c>
      <c r="M357" s="84" t="s">
        <v>784</v>
      </c>
      <c r="N357" s="84" t="s">
        <v>72</v>
      </c>
      <c r="O357" s="33" t="s">
        <v>1999</v>
      </c>
      <c r="P357" s="28"/>
      <c r="Q357" s="49" t="s">
        <v>75</v>
      </c>
      <c r="R357" s="25" t="s">
        <v>75</v>
      </c>
      <c r="S357" s="26">
        <v>26</v>
      </c>
      <c r="T357" s="26">
        <v>88</v>
      </c>
      <c r="U357" s="228"/>
      <c r="V357" s="66" t="s">
        <v>75</v>
      </c>
      <c r="W357" s="225" t="s">
        <v>418</v>
      </c>
      <c r="X357" s="78" t="s">
        <v>78</v>
      </c>
      <c r="Y357" s="157" t="s">
        <v>369</v>
      </c>
      <c r="Z357" s="75" t="s">
        <v>79</v>
      </c>
      <c r="AA357" s="53" t="s">
        <v>76</v>
      </c>
      <c r="AB357" s="26"/>
      <c r="AC357" s="44"/>
    </row>
    <row r="358" spans="1:29" ht="33" hidden="1">
      <c r="A358" s="98">
        <v>348</v>
      </c>
      <c r="B358" s="79" t="s">
        <v>2000</v>
      </c>
      <c r="C358" s="148" t="s">
        <v>8</v>
      </c>
      <c r="D358" s="80" t="s">
        <v>83</v>
      </c>
      <c r="E358" s="27" t="s">
        <v>470</v>
      </c>
      <c r="F358" s="80" t="s">
        <v>120</v>
      </c>
      <c r="G358" s="81" t="s">
        <v>456</v>
      </c>
      <c r="H358" s="80" t="s">
        <v>471</v>
      </c>
      <c r="I358" s="83">
        <v>45491</v>
      </c>
      <c r="J358" s="80" t="s">
        <v>1144</v>
      </c>
      <c r="K358" s="80" t="s">
        <v>146</v>
      </c>
      <c r="L358" s="84" t="s">
        <v>189</v>
      </c>
      <c r="M358" s="84" t="s">
        <v>148</v>
      </c>
      <c r="N358" s="84" t="s">
        <v>72</v>
      </c>
      <c r="O358" s="33" t="s">
        <v>2001</v>
      </c>
      <c r="P358" s="28"/>
      <c r="Q358" s="49" t="s">
        <v>75</v>
      </c>
      <c r="R358" s="25" t="s">
        <v>75</v>
      </c>
      <c r="S358" s="26">
        <v>24</v>
      </c>
      <c r="T358" s="26">
        <v>84</v>
      </c>
      <c r="U358" s="228" t="s">
        <v>76</v>
      </c>
      <c r="V358" s="62" t="s">
        <v>75</v>
      </c>
      <c r="W358" s="225" t="s">
        <v>792</v>
      </c>
      <c r="X358" s="78" t="s">
        <v>78</v>
      </c>
      <c r="Y358" s="26" t="s">
        <v>369</v>
      </c>
      <c r="Z358" s="75" t="s">
        <v>106</v>
      </c>
      <c r="AA358" s="53" t="s">
        <v>76</v>
      </c>
      <c r="AB358" s="26"/>
      <c r="AC358" s="44"/>
    </row>
    <row r="359" spans="1:29" ht="33" hidden="1">
      <c r="A359" s="98">
        <v>349</v>
      </c>
      <c r="B359" s="79" t="s">
        <v>2002</v>
      </c>
      <c r="C359" s="148" t="s">
        <v>8</v>
      </c>
      <c r="D359" s="80" t="s">
        <v>63</v>
      </c>
      <c r="E359" s="27">
        <v>702643</v>
      </c>
      <c r="F359" s="80" t="s">
        <v>831</v>
      </c>
      <c r="G359" s="81" t="s">
        <v>1041</v>
      </c>
      <c r="H359" s="80" t="s">
        <v>428</v>
      </c>
      <c r="I359" s="83">
        <v>45492</v>
      </c>
      <c r="J359" s="80" t="s">
        <v>1400</v>
      </c>
      <c r="K359" s="80" t="s">
        <v>188</v>
      </c>
      <c r="L359" s="84" t="s">
        <v>189</v>
      </c>
      <c r="M359" s="84" t="s">
        <v>601</v>
      </c>
      <c r="N359" s="84" t="s">
        <v>72</v>
      </c>
      <c r="O359" s="33" t="s">
        <v>2003</v>
      </c>
      <c r="P359" s="28"/>
      <c r="Q359" s="49" t="s">
        <v>75</v>
      </c>
      <c r="R359" s="25" t="s">
        <v>91</v>
      </c>
      <c r="S359" s="26">
        <v>20</v>
      </c>
      <c r="T359" s="26" t="s">
        <v>313</v>
      </c>
      <c r="U359" s="228" t="s">
        <v>2004</v>
      </c>
      <c r="V359" s="66"/>
      <c r="W359" s="225" t="s">
        <v>76</v>
      </c>
      <c r="X359" s="78" t="s">
        <v>78</v>
      </c>
      <c r="Y359" s="26" t="s">
        <v>76</v>
      </c>
      <c r="Z359" s="93" t="s">
        <v>93</v>
      </c>
      <c r="AA359" s="53" t="s">
        <v>76</v>
      </c>
      <c r="AB359" s="26"/>
      <c r="AC359" s="44"/>
    </row>
    <row r="360" spans="1:29" ht="33" hidden="1">
      <c r="A360" s="98">
        <v>350</v>
      </c>
      <c r="B360" s="79" t="s">
        <v>2005</v>
      </c>
      <c r="C360" s="148" t="s">
        <v>8</v>
      </c>
      <c r="D360" s="80" t="s">
        <v>63</v>
      </c>
      <c r="E360" s="27" t="s">
        <v>2006</v>
      </c>
      <c r="F360" s="80" t="s">
        <v>109</v>
      </c>
      <c r="G360" s="81" t="s">
        <v>277</v>
      </c>
      <c r="H360" s="80" t="s">
        <v>2007</v>
      </c>
      <c r="I360" s="83">
        <v>45492</v>
      </c>
      <c r="J360" s="80" t="s">
        <v>783</v>
      </c>
      <c r="K360" s="80" t="s">
        <v>188</v>
      </c>
      <c r="L360" s="84" t="s">
        <v>189</v>
      </c>
      <c r="M360" s="84" t="s">
        <v>784</v>
      </c>
      <c r="N360" s="84" t="s">
        <v>72</v>
      </c>
      <c r="O360" s="33" t="s">
        <v>2008</v>
      </c>
      <c r="P360" s="28"/>
      <c r="Q360" s="49" t="s">
        <v>91</v>
      </c>
      <c r="R360" s="25"/>
      <c r="S360" s="26">
        <v>12</v>
      </c>
      <c r="T360" s="26" t="s">
        <v>76</v>
      </c>
      <c r="U360" s="228" t="s">
        <v>2009</v>
      </c>
      <c r="V360" s="66"/>
      <c r="W360" s="225" t="s">
        <v>76</v>
      </c>
      <c r="X360" s="106" t="s">
        <v>76</v>
      </c>
      <c r="Y360" s="26" t="s">
        <v>76</v>
      </c>
      <c r="Z360" s="75" t="s">
        <v>193</v>
      </c>
      <c r="AA360" s="53" t="s">
        <v>76</v>
      </c>
      <c r="AB360" s="26"/>
      <c r="AC360" s="44"/>
    </row>
    <row r="361" spans="1:29" ht="132" hidden="1">
      <c r="A361" s="98">
        <v>351</v>
      </c>
      <c r="B361" s="79" t="s">
        <v>2010</v>
      </c>
      <c r="C361" s="148" t="s">
        <v>8</v>
      </c>
      <c r="D361" s="80" t="s">
        <v>63</v>
      </c>
      <c r="E361" s="27" t="s">
        <v>2011</v>
      </c>
      <c r="F361" s="80" t="s">
        <v>120</v>
      </c>
      <c r="G361" s="81" t="s">
        <v>1368</v>
      </c>
      <c r="H361" s="80" t="s">
        <v>1856</v>
      </c>
      <c r="I361" s="83">
        <v>45492</v>
      </c>
      <c r="J361" s="80" t="s">
        <v>783</v>
      </c>
      <c r="K361" s="80" t="s">
        <v>1267</v>
      </c>
      <c r="L361" s="84" t="s">
        <v>189</v>
      </c>
      <c r="M361" s="84" t="s">
        <v>784</v>
      </c>
      <c r="N361" s="84" t="s">
        <v>72</v>
      </c>
      <c r="O361" s="33" t="s">
        <v>2012</v>
      </c>
      <c r="P361" s="28" t="s">
        <v>2013</v>
      </c>
      <c r="Q361" s="49" t="s">
        <v>75</v>
      </c>
      <c r="R361" s="25" t="s">
        <v>91</v>
      </c>
      <c r="S361" s="26">
        <v>20</v>
      </c>
      <c r="T361" s="26">
        <v>56</v>
      </c>
      <c r="U361" s="228" t="s">
        <v>2014</v>
      </c>
      <c r="V361" s="66"/>
      <c r="W361" s="225" t="s">
        <v>76</v>
      </c>
      <c r="X361" s="78" t="s">
        <v>78</v>
      </c>
      <c r="Y361" s="26" t="s">
        <v>76</v>
      </c>
      <c r="Z361" s="75" t="s">
        <v>93</v>
      </c>
      <c r="AA361" s="53" t="s">
        <v>76</v>
      </c>
      <c r="AB361" s="26"/>
      <c r="AC361" s="44"/>
    </row>
    <row r="362" spans="1:29" ht="49.5" hidden="1">
      <c r="A362" s="98">
        <v>352</v>
      </c>
      <c r="B362" s="79" t="s">
        <v>2015</v>
      </c>
      <c r="C362" s="148" t="s">
        <v>8</v>
      </c>
      <c r="D362" s="80" t="s">
        <v>63</v>
      </c>
      <c r="E362" s="27" t="s">
        <v>2016</v>
      </c>
      <c r="F362" s="80" t="s">
        <v>65</v>
      </c>
      <c r="G362" s="81" t="s">
        <v>651</v>
      </c>
      <c r="H362" s="80" t="s">
        <v>1923</v>
      </c>
      <c r="I362" s="83">
        <v>45492</v>
      </c>
      <c r="J362" s="80" t="s">
        <v>783</v>
      </c>
      <c r="K362" s="80" t="s">
        <v>558</v>
      </c>
      <c r="L362" s="84" t="s">
        <v>189</v>
      </c>
      <c r="M362" s="84" t="s">
        <v>784</v>
      </c>
      <c r="N362" s="84" t="s">
        <v>72</v>
      </c>
      <c r="O362" s="33" t="s">
        <v>2017</v>
      </c>
      <c r="P362" s="28"/>
      <c r="Q362" s="49" t="s">
        <v>75</v>
      </c>
      <c r="R362" s="25" t="s">
        <v>91</v>
      </c>
      <c r="S362" s="26">
        <v>18</v>
      </c>
      <c r="T362" s="26">
        <v>60</v>
      </c>
      <c r="U362" s="228" t="s">
        <v>2018</v>
      </c>
      <c r="V362" s="66"/>
      <c r="W362" s="225" t="s">
        <v>76</v>
      </c>
      <c r="X362" s="78" t="s">
        <v>78</v>
      </c>
      <c r="Y362" s="26" t="s">
        <v>76</v>
      </c>
      <c r="Z362" s="75" t="s">
        <v>93</v>
      </c>
      <c r="AA362" s="53" t="s">
        <v>76</v>
      </c>
      <c r="AB362" s="26"/>
      <c r="AC362" s="44"/>
    </row>
    <row r="363" spans="1:29" ht="78.75" hidden="1" customHeight="1">
      <c r="A363" s="98">
        <v>353</v>
      </c>
      <c r="B363" s="79" t="s">
        <v>2019</v>
      </c>
      <c r="C363" s="148" t="s">
        <v>8</v>
      </c>
      <c r="D363" s="80" t="s">
        <v>63</v>
      </c>
      <c r="E363" s="27" t="s">
        <v>2016</v>
      </c>
      <c r="F363" s="80" t="s">
        <v>65</v>
      </c>
      <c r="G363" s="81" t="s">
        <v>651</v>
      </c>
      <c r="H363" s="80" t="s">
        <v>1923</v>
      </c>
      <c r="I363" s="83">
        <v>45492</v>
      </c>
      <c r="J363" s="80" t="s">
        <v>2020</v>
      </c>
      <c r="K363" s="80" t="s">
        <v>146</v>
      </c>
      <c r="L363" s="84" t="s">
        <v>147</v>
      </c>
      <c r="M363" s="84" t="s">
        <v>784</v>
      </c>
      <c r="N363" s="84" t="s">
        <v>72</v>
      </c>
      <c r="O363" s="33" t="s">
        <v>2021</v>
      </c>
      <c r="P363" s="28"/>
      <c r="Q363" s="49" t="s">
        <v>75</v>
      </c>
      <c r="R363" s="25" t="s">
        <v>91</v>
      </c>
      <c r="S363" s="26">
        <v>20</v>
      </c>
      <c r="T363" s="26">
        <v>62</v>
      </c>
      <c r="U363" s="228" t="s">
        <v>2022</v>
      </c>
      <c r="V363" s="66"/>
      <c r="W363" s="225" t="s">
        <v>76</v>
      </c>
      <c r="X363" s="78" t="s">
        <v>78</v>
      </c>
      <c r="Y363" s="26" t="s">
        <v>76</v>
      </c>
      <c r="Z363" s="75" t="s">
        <v>93</v>
      </c>
      <c r="AA363" s="53" t="s">
        <v>76</v>
      </c>
      <c r="AB363" s="26"/>
      <c r="AC363" s="44"/>
    </row>
    <row r="364" spans="1:29" ht="49.5" hidden="1">
      <c r="A364" s="98">
        <v>354</v>
      </c>
      <c r="B364" s="79" t="s">
        <v>2023</v>
      </c>
      <c r="C364" s="148" t="s">
        <v>8</v>
      </c>
      <c r="D364" s="80" t="s">
        <v>63</v>
      </c>
      <c r="E364" s="27" t="s">
        <v>2016</v>
      </c>
      <c r="F364" s="80" t="s">
        <v>65</v>
      </c>
      <c r="G364" s="81" t="s">
        <v>651</v>
      </c>
      <c r="H364" s="80" t="s">
        <v>1923</v>
      </c>
      <c r="I364" s="83">
        <v>45492</v>
      </c>
      <c r="J364" s="80" t="s">
        <v>783</v>
      </c>
      <c r="K364" s="80" t="s">
        <v>558</v>
      </c>
      <c r="L364" s="84" t="s">
        <v>189</v>
      </c>
      <c r="M364" s="84" t="s">
        <v>784</v>
      </c>
      <c r="N364" s="84" t="s">
        <v>72</v>
      </c>
      <c r="O364" s="167" t="s">
        <v>2024</v>
      </c>
      <c r="P364" s="28"/>
      <c r="Q364" s="49" t="s">
        <v>75</v>
      </c>
      <c r="R364" s="25" t="s">
        <v>75</v>
      </c>
      <c r="S364" s="26">
        <v>24</v>
      </c>
      <c r="T364" s="55">
        <v>78</v>
      </c>
      <c r="U364" s="228"/>
      <c r="V364" s="221" t="s">
        <v>75</v>
      </c>
      <c r="W364" s="225" t="s">
        <v>77</v>
      </c>
      <c r="X364" s="78" t="s">
        <v>78</v>
      </c>
      <c r="Y364" s="78" t="s">
        <v>78</v>
      </c>
      <c r="Z364" s="75" t="s">
        <v>79</v>
      </c>
      <c r="AA364" s="53" t="s">
        <v>76</v>
      </c>
      <c r="AB364" s="26"/>
      <c r="AC364" s="44"/>
    </row>
    <row r="365" spans="1:29" ht="33" hidden="1">
      <c r="A365" s="98">
        <v>355</v>
      </c>
      <c r="B365" s="79" t="s">
        <v>2025</v>
      </c>
      <c r="C365" s="148" t="s">
        <v>8</v>
      </c>
      <c r="D365" s="80" t="s">
        <v>63</v>
      </c>
      <c r="E365" s="27" t="s">
        <v>2011</v>
      </c>
      <c r="F365" s="80" t="s">
        <v>120</v>
      </c>
      <c r="G365" s="81" t="s">
        <v>1368</v>
      </c>
      <c r="H365" s="80" t="s">
        <v>1856</v>
      </c>
      <c r="I365" s="83">
        <v>45493</v>
      </c>
      <c r="J365" s="80" t="s">
        <v>783</v>
      </c>
      <c r="K365" s="80" t="s">
        <v>188</v>
      </c>
      <c r="L365" s="84" t="s">
        <v>189</v>
      </c>
      <c r="M365" s="84" t="s">
        <v>784</v>
      </c>
      <c r="N365" s="84" t="s">
        <v>72</v>
      </c>
      <c r="O365" s="33" t="s">
        <v>2026</v>
      </c>
      <c r="P365" s="28"/>
      <c r="Q365" s="49" t="s">
        <v>91</v>
      </c>
      <c r="R365" s="25"/>
      <c r="S365" s="26">
        <v>13</v>
      </c>
      <c r="T365" s="26" t="s">
        <v>76</v>
      </c>
      <c r="U365" s="228" t="s">
        <v>76</v>
      </c>
      <c r="V365" s="66"/>
      <c r="W365" s="225" t="s">
        <v>76</v>
      </c>
      <c r="X365" s="106" t="s">
        <v>76</v>
      </c>
      <c r="Y365" s="26" t="s">
        <v>76</v>
      </c>
      <c r="Z365" s="75" t="s">
        <v>193</v>
      </c>
      <c r="AA365" s="53" t="s">
        <v>76</v>
      </c>
      <c r="AB365" s="26"/>
      <c r="AC365" s="44"/>
    </row>
    <row r="366" spans="1:29" ht="49.5" hidden="1">
      <c r="A366" s="98">
        <v>356</v>
      </c>
      <c r="B366" s="79" t="s">
        <v>2027</v>
      </c>
      <c r="C366" s="148" t="s">
        <v>8</v>
      </c>
      <c r="D366" s="80" t="s">
        <v>63</v>
      </c>
      <c r="E366" s="27" t="s">
        <v>439</v>
      </c>
      <c r="F366" s="80" t="s">
        <v>109</v>
      </c>
      <c r="G366" s="81" t="s">
        <v>440</v>
      </c>
      <c r="H366" s="80" t="s">
        <v>441</v>
      </c>
      <c r="I366" s="83">
        <v>45493</v>
      </c>
      <c r="J366" s="80" t="s">
        <v>783</v>
      </c>
      <c r="K366" s="80" t="s">
        <v>558</v>
      </c>
      <c r="L366" s="84" t="s">
        <v>189</v>
      </c>
      <c r="M366" s="84" t="s">
        <v>784</v>
      </c>
      <c r="N366" s="84" t="s">
        <v>72</v>
      </c>
      <c r="O366" s="33" t="s">
        <v>2028</v>
      </c>
      <c r="P366" s="28"/>
      <c r="Q366" s="49" t="s">
        <v>75</v>
      </c>
      <c r="R366" s="25" t="s">
        <v>91</v>
      </c>
      <c r="S366" s="26">
        <v>20</v>
      </c>
      <c r="T366" s="26">
        <v>62</v>
      </c>
      <c r="U366" s="228" t="s">
        <v>2029</v>
      </c>
      <c r="V366" s="66"/>
      <c r="W366" s="225" t="s">
        <v>76</v>
      </c>
      <c r="X366" s="78" t="s">
        <v>78</v>
      </c>
      <c r="Y366" s="26" t="s">
        <v>76</v>
      </c>
      <c r="Z366" s="75" t="s">
        <v>93</v>
      </c>
      <c r="AA366" s="53" t="s">
        <v>76</v>
      </c>
      <c r="AB366" s="26"/>
      <c r="AC366" s="44"/>
    </row>
    <row r="367" spans="1:29" ht="33" hidden="1">
      <c r="A367" s="98">
        <v>357</v>
      </c>
      <c r="B367" s="79" t="s">
        <v>2030</v>
      </c>
      <c r="C367" s="148" t="s">
        <v>8</v>
      </c>
      <c r="D367" s="80" t="s">
        <v>63</v>
      </c>
      <c r="E367" s="27" t="s">
        <v>2031</v>
      </c>
      <c r="F367" s="80" t="s">
        <v>120</v>
      </c>
      <c r="G367" s="81" t="s">
        <v>1047</v>
      </c>
      <c r="H367" s="80" t="s">
        <v>1831</v>
      </c>
      <c r="I367" s="83">
        <v>45495</v>
      </c>
      <c r="J367" s="80" t="s">
        <v>2032</v>
      </c>
      <c r="K367" s="80" t="s">
        <v>156</v>
      </c>
      <c r="L367" s="84" t="s">
        <v>171</v>
      </c>
      <c r="M367" s="84" t="s">
        <v>784</v>
      </c>
      <c r="N367" s="84" t="s">
        <v>72</v>
      </c>
      <c r="O367" s="33" t="s">
        <v>2033</v>
      </c>
      <c r="P367" s="28"/>
      <c r="Q367" s="49" t="s">
        <v>91</v>
      </c>
      <c r="R367" s="25"/>
      <c r="S367" s="26">
        <v>17</v>
      </c>
      <c r="T367" s="26" t="s">
        <v>76</v>
      </c>
      <c r="U367" s="228" t="s">
        <v>2034</v>
      </c>
      <c r="V367" s="66"/>
      <c r="W367" s="225" t="s">
        <v>76</v>
      </c>
      <c r="X367" s="106" t="s">
        <v>76</v>
      </c>
      <c r="Y367" s="26" t="s">
        <v>76</v>
      </c>
      <c r="Z367" s="75" t="s">
        <v>193</v>
      </c>
      <c r="AA367" s="53" t="s">
        <v>76</v>
      </c>
      <c r="AB367" s="26" t="s">
        <v>75</v>
      </c>
      <c r="AC367" s="44"/>
    </row>
    <row r="368" spans="1:29" ht="33" hidden="1">
      <c r="A368" s="98">
        <v>358</v>
      </c>
      <c r="B368" s="79" t="s">
        <v>2035</v>
      </c>
      <c r="C368" s="148" t="s">
        <v>8</v>
      </c>
      <c r="D368" s="80" t="s">
        <v>83</v>
      </c>
      <c r="E368" s="27" t="s">
        <v>2036</v>
      </c>
      <c r="F368" s="80" t="s">
        <v>109</v>
      </c>
      <c r="G368" s="81" t="s">
        <v>910</v>
      </c>
      <c r="H368" s="80" t="s">
        <v>2037</v>
      </c>
      <c r="I368" s="83">
        <v>45495</v>
      </c>
      <c r="J368" s="80" t="s">
        <v>783</v>
      </c>
      <c r="K368" s="80" t="s">
        <v>146</v>
      </c>
      <c r="L368" s="84" t="s">
        <v>189</v>
      </c>
      <c r="M368" s="84" t="s">
        <v>784</v>
      </c>
      <c r="N368" s="84" t="s">
        <v>72</v>
      </c>
      <c r="O368" s="33" t="s">
        <v>2038</v>
      </c>
      <c r="P368" s="28"/>
      <c r="Q368" s="49" t="s">
        <v>75</v>
      </c>
      <c r="R368" s="25" t="s">
        <v>91</v>
      </c>
      <c r="S368" s="26">
        <v>20</v>
      </c>
      <c r="T368" s="26">
        <v>62</v>
      </c>
      <c r="U368" s="228" t="s">
        <v>2039</v>
      </c>
      <c r="V368" s="66"/>
      <c r="W368" s="225" t="s">
        <v>76</v>
      </c>
      <c r="X368" s="78" t="s">
        <v>78</v>
      </c>
      <c r="Y368" s="26" t="s">
        <v>76</v>
      </c>
      <c r="Z368" s="75" t="s">
        <v>93</v>
      </c>
      <c r="AA368" s="53" t="s">
        <v>76</v>
      </c>
      <c r="AB368" s="26"/>
      <c r="AC368" s="44"/>
    </row>
    <row r="369" spans="1:29" ht="96.75" hidden="1" customHeight="1">
      <c r="A369" s="98">
        <v>359</v>
      </c>
      <c r="B369" s="79" t="s">
        <v>2040</v>
      </c>
      <c r="C369" s="148" t="s">
        <v>8</v>
      </c>
      <c r="D369" s="80" t="s">
        <v>63</v>
      </c>
      <c r="E369" s="27" t="s">
        <v>1040</v>
      </c>
      <c r="F369" s="80" t="s">
        <v>109</v>
      </c>
      <c r="G369" s="81" t="s">
        <v>1041</v>
      </c>
      <c r="H369" s="80" t="s">
        <v>1042</v>
      </c>
      <c r="I369" s="83">
        <v>45495</v>
      </c>
      <c r="J369" s="80" t="s">
        <v>859</v>
      </c>
      <c r="K369" s="80" t="s">
        <v>299</v>
      </c>
      <c r="L369" s="84" t="s">
        <v>300</v>
      </c>
      <c r="M369" s="84" t="s">
        <v>221</v>
      </c>
      <c r="N369" s="84" t="s">
        <v>72</v>
      </c>
      <c r="O369" s="33" t="s">
        <v>2041</v>
      </c>
      <c r="P369" s="28"/>
      <c r="Q369" s="49" t="s">
        <v>75</v>
      </c>
      <c r="R369" s="25" t="s">
        <v>91</v>
      </c>
      <c r="S369" s="26">
        <v>22</v>
      </c>
      <c r="T369" s="26">
        <v>71</v>
      </c>
      <c r="U369" s="228" t="s">
        <v>2042</v>
      </c>
      <c r="V369" s="66"/>
      <c r="W369" s="225"/>
      <c r="X369" s="78" t="s">
        <v>78</v>
      </c>
      <c r="Y369" s="26" t="s">
        <v>76</v>
      </c>
      <c r="Z369" s="75" t="s">
        <v>106</v>
      </c>
      <c r="AA369" s="53" t="s">
        <v>76</v>
      </c>
      <c r="AB369" s="26"/>
      <c r="AC369" s="44"/>
    </row>
    <row r="370" spans="1:29" ht="263.25" hidden="1">
      <c r="A370" s="98">
        <v>360</v>
      </c>
      <c r="B370" s="79" t="s">
        <v>2043</v>
      </c>
      <c r="C370" s="148" t="s">
        <v>8</v>
      </c>
      <c r="D370" s="80" t="s">
        <v>63</v>
      </c>
      <c r="E370" s="27" t="s">
        <v>2044</v>
      </c>
      <c r="F370" s="80" t="s">
        <v>120</v>
      </c>
      <c r="G370" s="81" t="s">
        <v>818</v>
      </c>
      <c r="H370" s="80" t="s">
        <v>2045</v>
      </c>
      <c r="I370" s="83">
        <v>45495</v>
      </c>
      <c r="J370" s="80" t="s">
        <v>1978</v>
      </c>
      <c r="K370" s="80" t="s">
        <v>112</v>
      </c>
      <c r="L370" s="84" t="s">
        <v>122</v>
      </c>
      <c r="M370" s="84" t="s">
        <v>784</v>
      </c>
      <c r="N370" s="84" t="s">
        <v>72</v>
      </c>
      <c r="O370" s="33" t="s">
        <v>2046</v>
      </c>
      <c r="P370" s="28" t="s">
        <v>2047</v>
      </c>
      <c r="Q370" s="49" t="s">
        <v>75</v>
      </c>
      <c r="R370" s="25" t="s">
        <v>91</v>
      </c>
      <c r="S370" s="26">
        <v>24</v>
      </c>
      <c r="T370" s="26">
        <v>66</v>
      </c>
      <c r="U370" s="228" t="s">
        <v>2048</v>
      </c>
      <c r="V370" s="66"/>
      <c r="W370" s="225" t="s">
        <v>76</v>
      </c>
      <c r="X370" s="78" t="s">
        <v>78</v>
      </c>
      <c r="Y370" s="26" t="s">
        <v>76</v>
      </c>
      <c r="Z370" s="75" t="s">
        <v>93</v>
      </c>
      <c r="AA370" s="53" t="s">
        <v>76</v>
      </c>
      <c r="AB370" s="26"/>
      <c r="AC370" s="44"/>
    </row>
    <row r="371" spans="1:29" ht="33" hidden="1">
      <c r="A371" s="98">
        <v>361</v>
      </c>
      <c r="B371" s="79" t="s">
        <v>2049</v>
      </c>
      <c r="C371" s="148" t="s">
        <v>8</v>
      </c>
      <c r="D371" s="80" t="s">
        <v>63</v>
      </c>
      <c r="E371" s="27" t="s">
        <v>1040</v>
      </c>
      <c r="F371" s="80" t="s">
        <v>109</v>
      </c>
      <c r="G371" s="81" t="s">
        <v>1041</v>
      </c>
      <c r="H371" s="80" t="s">
        <v>1042</v>
      </c>
      <c r="I371" s="83">
        <v>45495</v>
      </c>
      <c r="J371" s="80" t="s">
        <v>2050</v>
      </c>
      <c r="K371" s="80" t="s">
        <v>69</v>
      </c>
      <c r="L371" s="84" t="s">
        <v>70</v>
      </c>
      <c r="M371" s="84" t="s">
        <v>601</v>
      </c>
      <c r="N371" s="84" t="s">
        <v>72</v>
      </c>
      <c r="O371" s="33" t="s">
        <v>2051</v>
      </c>
      <c r="P371" s="28"/>
      <c r="Q371" s="49" t="s">
        <v>75</v>
      </c>
      <c r="R371" s="25" t="s">
        <v>91</v>
      </c>
      <c r="S371" s="26">
        <v>24</v>
      </c>
      <c r="T371" s="55" t="s">
        <v>383</v>
      </c>
      <c r="U371" s="228" t="s">
        <v>1658</v>
      </c>
      <c r="V371" s="66" t="s">
        <v>75</v>
      </c>
      <c r="W371" s="225"/>
      <c r="X371" s="78" t="s">
        <v>78</v>
      </c>
      <c r="Y371" s="26" t="s">
        <v>76</v>
      </c>
      <c r="Z371" s="75" t="s">
        <v>93</v>
      </c>
      <c r="AA371" s="53" t="s">
        <v>76</v>
      </c>
      <c r="AB371" s="26"/>
      <c r="AC371" s="44"/>
    </row>
    <row r="372" spans="1:29" ht="49.5" hidden="1">
      <c r="A372" s="98">
        <v>362</v>
      </c>
      <c r="B372" s="79" t="s">
        <v>2052</v>
      </c>
      <c r="C372" s="148" t="s">
        <v>8</v>
      </c>
      <c r="D372" s="80" t="s">
        <v>63</v>
      </c>
      <c r="E372" s="27">
        <v>2200289</v>
      </c>
      <c r="F372" s="80" t="s">
        <v>2053</v>
      </c>
      <c r="G372" s="81" t="s">
        <v>2054</v>
      </c>
      <c r="H372" s="80" t="s">
        <v>2055</v>
      </c>
      <c r="I372" s="83">
        <v>45496</v>
      </c>
      <c r="J372" s="80" t="s">
        <v>783</v>
      </c>
      <c r="K372" s="80" t="s">
        <v>188</v>
      </c>
      <c r="L372" s="84" t="s">
        <v>189</v>
      </c>
      <c r="M372" s="84" t="s">
        <v>784</v>
      </c>
      <c r="N372" s="84" t="s">
        <v>72</v>
      </c>
      <c r="O372" s="33" t="s">
        <v>2056</v>
      </c>
      <c r="P372" s="28"/>
      <c r="Q372" s="49" t="s">
        <v>91</v>
      </c>
      <c r="R372" s="25"/>
      <c r="S372" s="26">
        <v>15</v>
      </c>
      <c r="T372" s="26" t="s">
        <v>76</v>
      </c>
      <c r="U372" s="228" t="s">
        <v>2057</v>
      </c>
      <c r="V372" s="66"/>
      <c r="W372" s="225" t="s">
        <v>76</v>
      </c>
      <c r="X372" s="106" t="s">
        <v>76</v>
      </c>
      <c r="Y372" s="26" t="s">
        <v>76</v>
      </c>
      <c r="Z372" s="75" t="s">
        <v>193</v>
      </c>
      <c r="AA372" s="53" t="s">
        <v>76</v>
      </c>
      <c r="AB372" s="26"/>
      <c r="AC372" s="44"/>
    </row>
    <row r="373" spans="1:29" ht="33" hidden="1">
      <c r="A373" s="98">
        <v>363</v>
      </c>
      <c r="B373" s="79" t="s">
        <v>2058</v>
      </c>
      <c r="C373" s="148" t="s">
        <v>8</v>
      </c>
      <c r="D373" s="80" t="s">
        <v>63</v>
      </c>
      <c r="E373" s="27" t="s">
        <v>1498</v>
      </c>
      <c r="F373" s="80" t="s">
        <v>109</v>
      </c>
      <c r="G373" s="81" t="s">
        <v>1413</v>
      </c>
      <c r="H373" s="80" t="s">
        <v>1499</v>
      </c>
      <c r="I373" s="83">
        <v>45496</v>
      </c>
      <c r="J373" s="80" t="s">
        <v>783</v>
      </c>
      <c r="K373" s="80" t="s">
        <v>188</v>
      </c>
      <c r="L373" s="84" t="s">
        <v>189</v>
      </c>
      <c r="M373" s="84" t="s">
        <v>784</v>
      </c>
      <c r="N373" s="84" t="s">
        <v>72</v>
      </c>
      <c r="O373" s="33" t="s">
        <v>2059</v>
      </c>
      <c r="P373" s="28"/>
      <c r="Q373" s="49" t="s">
        <v>75</v>
      </c>
      <c r="R373" s="25" t="s">
        <v>91</v>
      </c>
      <c r="S373" s="26">
        <v>21</v>
      </c>
      <c r="T373" s="26">
        <v>67</v>
      </c>
      <c r="U373" s="228" t="s">
        <v>2060</v>
      </c>
      <c r="V373" s="66"/>
      <c r="W373" s="225" t="s">
        <v>76</v>
      </c>
      <c r="X373" s="78" t="s">
        <v>78</v>
      </c>
      <c r="Y373" s="26" t="s">
        <v>76</v>
      </c>
      <c r="Z373" s="75" t="s">
        <v>93</v>
      </c>
      <c r="AA373" s="53" t="s">
        <v>76</v>
      </c>
      <c r="AB373" s="26"/>
      <c r="AC373" s="44"/>
    </row>
    <row r="374" spans="1:29" ht="66" hidden="1">
      <c r="A374" s="98">
        <v>364</v>
      </c>
      <c r="B374" s="79" t="s">
        <v>2061</v>
      </c>
      <c r="C374" s="148" t="s">
        <v>8</v>
      </c>
      <c r="D374" s="80" t="s">
        <v>63</v>
      </c>
      <c r="E374" s="27" t="s">
        <v>2062</v>
      </c>
      <c r="F374" s="80" t="s">
        <v>338</v>
      </c>
      <c r="G374" s="81" t="s">
        <v>1413</v>
      </c>
      <c r="H374" s="80" t="s">
        <v>2063</v>
      </c>
      <c r="I374" s="83">
        <v>45496</v>
      </c>
      <c r="J374" s="80" t="s">
        <v>783</v>
      </c>
      <c r="K374" s="80" t="s">
        <v>558</v>
      </c>
      <c r="L374" s="84" t="s">
        <v>189</v>
      </c>
      <c r="M374" s="84" t="s">
        <v>784</v>
      </c>
      <c r="N374" s="84" t="s">
        <v>72</v>
      </c>
      <c r="O374" s="33" t="s">
        <v>2064</v>
      </c>
      <c r="P374" s="28"/>
      <c r="Q374" s="49" t="s">
        <v>75</v>
      </c>
      <c r="R374" s="25" t="s">
        <v>91</v>
      </c>
      <c r="S374" s="26">
        <v>20</v>
      </c>
      <c r="T374" s="26">
        <v>70</v>
      </c>
      <c r="U374" s="228" t="s">
        <v>2065</v>
      </c>
      <c r="V374" s="66"/>
      <c r="W374" s="225"/>
      <c r="X374" s="78" t="s">
        <v>78</v>
      </c>
      <c r="Y374" s="26" t="s">
        <v>76</v>
      </c>
      <c r="Z374" s="75" t="s">
        <v>93</v>
      </c>
      <c r="AA374" s="53" t="s">
        <v>76</v>
      </c>
      <c r="AB374" s="26"/>
      <c r="AC374" s="44"/>
    </row>
    <row r="375" spans="1:29" ht="33" hidden="1">
      <c r="A375" s="98">
        <v>365</v>
      </c>
      <c r="B375" s="79" t="s">
        <v>2066</v>
      </c>
      <c r="C375" s="148" t="s">
        <v>8</v>
      </c>
      <c r="D375" s="80" t="s">
        <v>178</v>
      </c>
      <c r="E375" s="27" t="s">
        <v>1425</v>
      </c>
      <c r="F375" s="80" t="s">
        <v>120</v>
      </c>
      <c r="G375" s="81" t="s">
        <v>180</v>
      </c>
      <c r="H375" s="80" t="s">
        <v>196</v>
      </c>
      <c r="I375" s="83">
        <v>45496</v>
      </c>
      <c r="J375" s="80" t="s">
        <v>2032</v>
      </c>
      <c r="K375" s="80" t="s">
        <v>156</v>
      </c>
      <c r="L375" s="84" t="s">
        <v>171</v>
      </c>
      <c r="M375" s="84" t="s">
        <v>784</v>
      </c>
      <c r="N375" s="84" t="s">
        <v>72</v>
      </c>
      <c r="O375" s="33" t="s">
        <v>2067</v>
      </c>
      <c r="P375" s="28"/>
      <c r="Q375" s="49" t="s">
        <v>75</v>
      </c>
      <c r="R375" s="25" t="s">
        <v>91</v>
      </c>
      <c r="S375" s="26">
        <v>18</v>
      </c>
      <c r="T375" s="26">
        <v>66</v>
      </c>
      <c r="U375" s="228" t="s">
        <v>2068</v>
      </c>
      <c r="V375" s="66"/>
      <c r="W375" s="225" t="s">
        <v>76</v>
      </c>
      <c r="X375" s="78" t="s">
        <v>78</v>
      </c>
      <c r="Y375" s="26" t="s">
        <v>76</v>
      </c>
      <c r="Z375" s="75" t="s">
        <v>93</v>
      </c>
      <c r="AA375" s="53" t="s">
        <v>76</v>
      </c>
      <c r="AB375" s="26"/>
      <c r="AC375" s="44"/>
    </row>
    <row r="376" spans="1:29" ht="49.5" hidden="1">
      <c r="A376" s="98">
        <v>366</v>
      </c>
      <c r="B376" s="79" t="s">
        <v>2069</v>
      </c>
      <c r="C376" s="148" t="s">
        <v>8</v>
      </c>
      <c r="D376" s="80" t="s">
        <v>63</v>
      </c>
      <c r="E376" s="27" t="s">
        <v>2070</v>
      </c>
      <c r="F376" s="80" t="s">
        <v>109</v>
      </c>
      <c r="G376" s="81" t="s">
        <v>818</v>
      </c>
      <c r="H376" s="80" t="s">
        <v>2071</v>
      </c>
      <c r="I376" s="83">
        <v>45497</v>
      </c>
      <c r="J376" s="80" t="s">
        <v>657</v>
      </c>
      <c r="K376" s="80" t="s">
        <v>146</v>
      </c>
      <c r="L376" s="84" t="s">
        <v>189</v>
      </c>
      <c r="M376" s="84" t="s">
        <v>221</v>
      </c>
      <c r="N376" s="84" t="s">
        <v>72</v>
      </c>
      <c r="O376" s="33" t="s">
        <v>2072</v>
      </c>
      <c r="P376" s="28"/>
      <c r="Q376" s="49" t="s">
        <v>75</v>
      </c>
      <c r="R376" s="25" t="s">
        <v>91</v>
      </c>
      <c r="S376" s="26">
        <v>19</v>
      </c>
      <c r="T376" s="26">
        <v>71</v>
      </c>
      <c r="U376" s="228" t="s">
        <v>2073</v>
      </c>
      <c r="V376" s="66"/>
      <c r="W376" s="225" t="s">
        <v>76</v>
      </c>
      <c r="X376" s="78" t="s">
        <v>78</v>
      </c>
      <c r="Y376" s="26" t="s">
        <v>76</v>
      </c>
      <c r="Z376" s="75" t="s">
        <v>106</v>
      </c>
      <c r="AA376" s="53" t="s">
        <v>76</v>
      </c>
      <c r="AB376" s="26"/>
      <c r="AC376" s="44"/>
    </row>
    <row r="377" spans="1:29" ht="33" hidden="1">
      <c r="A377" s="98">
        <v>367</v>
      </c>
      <c r="B377" s="79" t="s">
        <v>2074</v>
      </c>
      <c r="C377" s="148" t="s">
        <v>8</v>
      </c>
      <c r="D377" s="80" t="s">
        <v>63</v>
      </c>
      <c r="E377" s="27" t="s">
        <v>2075</v>
      </c>
      <c r="F377" s="80" t="s">
        <v>65</v>
      </c>
      <c r="G377" s="81" t="s">
        <v>2076</v>
      </c>
      <c r="H377" s="80" t="s">
        <v>2077</v>
      </c>
      <c r="I377" s="83">
        <v>45497</v>
      </c>
      <c r="J377" s="80" t="s">
        <v>657</v>
      </c>
      <c r="K377" s="80" t="s">
        <v>146</v>
      </c>
      <c r="L377" s="84" t="s">
        <v>189</v>
      </c>
      <c r="M377" s="84" t="s">
        <v>221</v>
      </c>
      <c r="N377" s="84" t="s">
        <v>72</v>
      </c>
      <c r="O377" s="33" t="s">
        <v>2078</v>
      </c>
      <c r="P377" s="28"/>
      <c r="Q377" s="49" t="s">
        <v>75</v>
      </c>
      <c r="R377" s="25" t="s">
        <v>91</v>
      </c>
      <c r="S377" s="26">
        <v>20</v>
      </c>
      <c r="T377" s="26">
        <v>62</v>
      </c>
      <c r="U377" s="228" t="s">
        <v>76</v>
      </c>
      <c r="V377" s="66"/>
      <c r="W377" s="225" t="s">
        <v>76</v>
      </c>
      <c r="X377" s="78" t="s">
        <v>78</v>
      </c>
      <c r="Y377" s="26" t="s">
        <v>76</v>
      </c>
      <c r="Z377" s="75" t="s">
        <v>93</v>
      </c>
      <c r="AA377" s="53" t="s">
        <v>76</v>
      </c>
      <c r="AB377" s="26"/>
      <c r="AC377" s="44"/>
    </row>
    <row r="378" spans="1:29" ht="82.5" hidden="1">
      <c r="A378" s="88">
        <v>368</v>
      </c>
      <c r="B378" s="79" t="s">
        <v>2079</v>
      </c>
      <c r="C378" s="148" t="s">
        <v>8</v>
      </c>
      <c r="D378" s="80" t="s">
        <v>83</v>
      </c>
      <c r="E378" s="27" t="s">
        <v>1279</v>
      </c>
      <c r="F378" s="80" t="s">
        <v>109</v>
      </c>
      <c r="G378" s="81" t="s">
        <v>910</v>
      </c>
      <c r="H378" s="80" t="s">
        <v>1280</v>
      </c>
      <c r="I378" s="83">
        <v>45497</v>
      </c>
      <c r="J378" s="80" t="s">
        <v>220</v>
      </c>
      <c r="K378" s="80" t="s">
        <v>112</v>
      </c>
      <c r="L378" s="84" t="s">
        <v>113</v>
      </c>
      <c r="M378" s="84" t="s">
        <v>221</v>
      </c>
      <c r="N378" s="84" t="s">
        <v>72</v>
      </c>
      <c r="O378" s="33" t="s">
        <v>2080</v>
      </c>
      <c r="P378" s="28" t="s">
        <v>2081</v>
      </c>
      <c r="Q378" s="49" t="s">
        <v>75</v>
      </c>
      <c r="R378" s="25" t="s">
        <v>91</v>
      </c>
      <c r="S378" s="26">
        <v>26</v>
      </c>
      <c r="T378" s="55" t="s">
        <v>2082</v>
      </c>
      <c r="U378" s="228" t="s">
        <v>2083</v>
      </c>
      <c r="V378" s="66"/>
      <c r="W378" s="225"/>
      <c r="X378" s="78" t="s">
        <v>78</v>
      </c>
      <c r="Y378" s="26" t="s">
        <v>76</v>
      </c>
      <c r="Z378" s="75" t="s">
        <v>93</v>
      </c>
      <c r="AA378" s="30" t="s">
        <v>2082</v>
      </c>
      <c r="AB378" s="26"/>
      <c r="AC378" s="44"/>
    </row>
    <row r="379" spans="1:29" ht="33" hidden="1">
      <c r="A379" s="88">
        <v>369</v>
      </c>
      <c r="B379" s="79" t="s">
        <v>2084</v>
      </c>
      <c r="C379" s="148" t="s">
        <v>8</v>
      </c>
      <c r="D379" s="80" t="s">
        <v>63</v>
      </c>
      <c r="E379" s="27" t="s">
        <v>2085</v>
      </c>
      <c r="F379" s="80" t="s">
        <v>109</v>
      </c>
      <c r="G379" s="81" t="s">
        <v>2076</v>
      </c>
      <c r="H379" s="80" t="s">
        <v>2086</v>
      </c>
      <c r="I379" s="83">
        <v>45497</v>
      </c>
      <c r="J379" s="80" t="s">
        <v>657</v>
      </c>
      <c r="K379" s="80" t="s">
        <v>188</v>
      </c>
      <c r="L379" s="84" t="s">
        <v>189</v>
      </c>
      <c r="M379" s="84" t="s">
        <v>221</v>
      </c>
      <c r="N379" s="84" t="s">
        <v>72</v>
      </c>
      <c r="O379" s="33" t="s">
        <v>2087</v>
      </c>
      <c r="P379" s="28"/>
      <c r="Q379" s="49" t="s">
        <v>75</v>
      </c>
      <c r="R379" s="25" t="s">
        <v>91</v>
      </c>
      <c r="S379" s="26">
        <v>24</v>
      </c>
      <c r="T379" s="26">
        <v>62</v>
      </c>
      <c r="U379" s="228" t="s">
        <v>2088</v>
      </c>
      <c r="V379" s="66"/>
      <c r="W379" s="225" t="s">
        <v>76</v>
      </c>
      <c r="X379" s="78" t="s">
        <v>78</v>
      </c>
      <c r="Y379" s="26" t="s">
        <v>76</v>
      </c>
      <c r="Z379" s="75" t="s">
        <v>106</v>
      </c>
      <c r="AA379" s="53" t="s">
        <v>76</v>
      </c>
      <c r="AB379" s="26"/>
      <c r="AC379" s="44"/>
    </row>
    <row r="380" spans="1:29" ht="82.5" hidden="1">
      <c r="A380" s="88">
        <v>370</v>
      </c>
      <c r="B380" s="79" t="s">
        <v>2089</v>
      </c>
      <c r="C380" s="148" t="s">
        <v>8</v>
      </c>
      <c r="D380" s="80" t="s">
        <v>63</v>
      </c>
      <c r="E380" s="27" t="s">
        <v>2085</v>
      </c>
      <c r="F380" s="80" t="s">
        <v>109</v>
      </c>
      <c r="G380" s="81" t="s">
        <v>2076</v>
      </c>
      <c r="H380" s="80" t="s">
        <v>2086</v>
      </c>
      <c r="I380" s="83">
        <v>45497</v>
      </c>
      <c r="J380" s="80" t="s">
        <v>220</v>
      </c>
      <c r="K380" s="80" t="s">
        <v>112</v>
      </c>
      <c r="L380" s="84" t="s">
        <v>122</v>
      </c>
      <c r="M380" s="84" t="s">
        <v>221</v>
      </c>
      <c r="N380" s="84" t="s">
        <v>72</v>
      </c>
      <c r="O380" s="33" t="s">
        <v>2090</v>
      </c>
      <c r="P380" s="28" t="s">
        <v>2091</v>
      </c>
      <c r="Q380" s="49" t="s">
        <v>91</v>
      </c>
      <c r="R380" s="25"/>
      <c r="S380" s="26">
        <v>17</v>
      </c>
      <c r="T380" s="26" t="s">
        <v>76</v>
      </c>
      <c r="U380" s="228" t="s">
        <v>2092</v>
      </c>
      <c r="V380" s="66"/>
      <c r="W380" s="225" t="s">
        <v>76</v>
      </c>
      <c r="X380" s="106" t="s">
        <v>76</v>
      </c>
      <c r="Y380" s="26" t="s">
        <v>76</v>
      </c>
      <c r="Z380" s="75" t="s">
        <v>193</v>
      </c>
      <c r="AA380" s="53" t="s">
        <v>76</v>
      </c>
      <c r="AB380" s="26" t="s">
        <v>75</v>
      </c>
      <c r="AC380" s="44"/>
    </row>
    <row r="381" spans="1:29" ht="82.5" hidden="1">
      <c r="A381" s="88">
        <v>371</v>
      </c>
      <c r="B381" s="79" t="s">
        <v>2093</v>
      </c>
      <c r="C381" s="148" t="s">
        <v>8</v>
      </c>
      <c r="D381" s="80" t="s">
        <v>63</v>
      </c>
      <c r="E381" s="27" t="s">
        <v>2085</v>
      </c>
      <c r="F381" s="80" t="s">
        <v>109</v>
      </c>
      <c r="G381" s="81" t="s">
        <v>2076</v>
      </c>
      <c r="H381" s="80" t="s">
        <v>2086</v>
      </c>
      <c r="I381" s="83">
        <v>45497</v>
      </c>
      <c r="J381" s="80" t="s">
        <v>220</v>
      </c>
      <c r="K381" s="80" t="s">
        <v>112</v>
      </c>
      <c r="L381" s="84" t="s">
        <v>122</v>
      </c>
      <c r="M381" s="84" t="s">
        <v>221</v>
      </c>
      <c r="N381" s="84" t="s">
        <v>72</v>
      </c>
      <c r="O381" s="33" t="s">
        <v>2094</v>
      </c>
      <c r="P381" s="28" t="s">
        <v>2095</v>
      </c>
      <c r="Q381" s="49" t="s">
        <v>75</v>
      </c>
      <c r="R381" s="25" t="s">
        <v>91</v>
      </c>
      <c r="S381" s="26">
        <v>20</v>
      </c>
      <c r="T381" s="55" t="s">
        <v>2096</v>
      </c>
      <c r="U381" s="228" t="s">
        <v>2097</v>
      </c>
      <c r="V381" s="66"/>
      <c r="W381" s="225" t="s">
        <v>76</v>
      </c>
      <c r="X381" s="78" t="s">
        <v>78</v>
      </c>
      <c r="Y381" s="26" t="s">
        <v>76</v>
      </c>
      <c r="Z381" s="75" t="s">
        <v>93</v>
      </c>
      <c r="AA381" s="30" t="s">
        <v>2096</v>
      </c>
      <c r="AB381" s="26"/>
      <c r="AC381" s="44"/>
    </row>
    <row r="382" spans="1:29" ht="66" hidden="1">
      <c r="A382" s="88">
        <v>372</v>
      </c>
      <c r="B382" s="79" t="s">
        <v>2098</v>
      </c>
      <c r="C382" s="148" t="s">
        <v>8</v>
      </c>
      <c r="D382" s="80" t="s">
        <v>63</v>
      </c>
      <c r="E382" s="27" t="s">
        <v>2099</v>
      </c>
      <c r="F382" s="80" t="s">
        <v>65</v>
      </c>
      <c r="G382" s="81" t="s">
        <v>2100</v>
      </c>
      <c r="H382" s="80" t="s">
        <v>2101</v>
      </c>
      <c r="I382" s="83">
        <v>45498</v>
      </c>
      <c r="J382" s="80" t="s">
        <v>241</v>
      </c>
      <c r="K382" s="80" t="s">
        <v>198</v>
      </c>
      <c r="L382" s="84" t="s">
        <v>199</v>
      </c>
      <c r="M382" s="84" t="s">
        <v>221</v>
      </c>
      <c r="N382" s="84" t="s">
        <v>72</v>
      </c>
      <c r="O382" s="33" t="s">
        <v>2102</v>
      </c>
      <c r="P382" s="28" t="s">
        <v>2103</v>
      </c>
      <c r="Q382" s="49" t="s">
        <v>75</v>
      </c>
      <c r="R382" s="25" t="s">
        <v>91</v>
      </c>
      <c r="S382" s="26">
        <v>18</v>
      </c>
      <c r="T382" s="26">
        <v>60</v>
      </c>
      <c r="U382" s="228" t="s">
        <v>2104</v>
      </c>
      <c r="V382" s="66"/>
      <c r="W382" s="225" t="s">
        <v>76</v>
      </c>
      <c r="X382" s="78" t="s">
        <v>78</v>
      </c>
      <c r="Y382" s="106" t="s">
        <v>76</v>
      </c>
      <c r="Z382" s="75" t="s">
        <v>93</v>
      </c>
      <c r="AA382" s="30" t="s">
        <v>76</v>
      </c>
      <c r="AB382" s="26"/>
      <c r="AC382" s="44"/>
    </row>
    <row r="383" spans="1:29" ht="33" hidden="1">
      <c r="A383" s="88">
        <v>373</v>
      </c>
      <c r="B383" s="79" t="s">
        <v>2105</v>
      </c>
      <c r="C383" s="148" t="s">
        <v>8</v>
      </c>
      <c r="D383" s="80" t="s">
        <v>83</v>
      </c>
      <c r="E383" s="27" t="s">
        <v>247</v>
      </c>
      <c r="F383" s="80" t="s">
        <v>109</v>
      </c>
      <c r="G383" s="81" t="s">
        <v>248</v>
      </c>
      <c r="H383" s="80" t="s">
        <v>249</v>
      </c>
      <c r="I383" s="83">
        <v>45498</v>
      </c>
      <c r="J383" s="80" t="s">
        <v>657</v>
      </c>
      <c r="K383" s="80" t="s">
        <v>69</v>
      </c>
      <c r="L383" s="84" t="s">
        <v>189</v>
      </c>
      <c r="M383" s="84" t="s">
        <v>221</v>
      </c>
      <c r="N383" s="84" t="s">
        <v>72</v>
      </c>
      <c r="O383" s="33" t="s">
        <v>2106</v>
      </c>
      <c r="P383" s="28"/>
      <c r="Q383" s="49" t="s">
        <v>75</v>
      </c>
      <c r="R383" s="25" t="s">
        <v>75</v>
      </c>
      <c r="S383" s="26">
        <v>19</v>
      </c>
      <c r="T383" s="26">
        <v>75</v>
      </c>
      <c r="U383" s="228" t="s">
        <v>2107</v>
      </c>
      <c r="V383" s="66" t="s">
        <v>75</v>
      </c>
      <c r="W383" s="225" t="s">
        <v>792</v>
      </c>
      <c r="X383" s="78" t="s">
        <v>78</v>
      </c>
      <c r="Y383" s="26"/>
      <c r="Z383" s="75" t="s">
        <v>93</v>
      </c>
      <c r="AA383" s="53" t="s">
        <v>76</v>
      </c>
      <c r="AB383" s="26"/>
      <c r="AC383" s="44"/>
    </row>
    <row r="384" spans="1:29" ht="49.5" hidden="1">
      <c r="A384" s="88">
        <v>374</v>
      </c>
      <c r="B384" s="79" t="s">
        <v>2108</v>
      </c>
      <c r="C384" s="148" t="s">
        <v>237</v>
      </c>
      <c r="D384" s="80" t="s">
        <v>83</v>
      </c>
      <c r="E384" s="27" t="s">
        <v>2109</v>
      </c>
      <c r="F384" s="80" t="s">
        <v>338</v>
      </c>
      <c r="G384" s="81" t="s">
        <v>2110</v>
      </c>
      <c r="H384" s="80" t="s">
        <v>2111</v>
      </c>
      <c r="I384" s="83">
        <v>45498</v>
      </c>
      <c r="J384" s="80" t="s">
        <v>657</v>
      </c>
      <c r="K384" s="80" t="s">
        <v>188</v>
      </c>
      <c r="L384" s="84" t="s">
        <v>189</v>
      </c>
      <c r="M384" s="84" t="s">
        <v>221</v>
      </c>
      <c r="N384" s="84" t="s">
        <v>72</v>
      </c>
      <c r="O384" s="33" t="s">
        <v>2112</v>
      </c>
      <c r="P384" s="28"/>
      <c r="Q384" s="49" t="s">
        <v>75</v>
      </c>
      <c r="R384" s="25" t="s">
        <v>91</v>
      </c>
      <c r="S384" s="26">
        <v>26</v>
      </c>
      <c r="T384" s="55" t="s">
        <v>2113</v>
      </c>
      <c r="U384" s="228" t="s">
        <v>2114</v>
      </c>
      <c r="V384" s="66"/>
      <c r="W384" s="225" t="s">
        <v>76</v>
      </c>
      <c r="X384" s="78" t="s">
        <v>78</v>
      </c>
      <c r="Y384" s="26" t="s">
        <v>76</v>
      </c>
      <c r="Z384" s="75" t="s">
        <v>106</v>
      </c>
      <c r="AA384" s="53" t="s">
        <v>76</v>
      </c>
      <c r="AB384" s="26"/>
      <c r="AC384" s="44"/>
    </row>
    <row r="385" spans="1:29" ht="66" hidden="1">
      <c r="A385" s="88">
        <v>375</v>
      </c>
      <c r="B385" s="79" t="s">
        <v>2115</v>
      </c>
      <c r="C385" s="148" t="s">
        <v>8</v>
      </c>
      <c r="D385" s="80" t="s">
        <v>63</v>
      </c>
      <c r="E385" s="27" t="s">
        <v>2116</v>
      </c>
      <c r="F385" s="80" t="s">
        <v>120</v>
      </c>
      <c r="G385" s="81" t="s">
        <v>1041</v>
      </c>
      <c r="H385" s="80" t="s">
        <v>2117</v>
      </c>
      <c r="I385" s="83">
        <v>45498</v>
      </c>
      <c r="J385" s="80" t="s">
        <v>241</v>
      </c>
      <c r="K385" s="80" t="s">
        <v>198</v>
      </c>
      <c r="L385" s="84" t="s">
        <v>199</v>
      </c>
      <c r="M385" s="84" t="s">
        <v>221</v>
      </c>
      <c r="N385" s="84" t="s">
        <v>72</v>
      </c>
      <c r="O385" s="33" t="s">
        <v>2118</v>
      </c>
      <c r="P385" s="28" t="s">
        <v>2119</v>
      </c>
      <c r="Q385" s="49" t="s">
        <v>75</v>
      </c>
      <c r="R385" s="25" t="s">
        <v>91</v>
      </c>
      <c r="S385" s="26">
        <v>20</v>
      </c>
      <c r="T385" s="26">
        <v>67</v>
      </c>
      <c r="U385" s="228" t="s">
        <v>2120</v>
      </c>
      <c r="V385" s="66"/>
      <c r="W385" s="225" t="s">
        <v>76</v>
      </c>
      <c r="X385" s="78" t="s">
        <v>78</v>
      </c>
      <c r="Y385" s="106" t="s">
        <v>76</v>
      </c>
      <c r="Z385" s="75" t="s">
        <v>93</v>
      </c>
      <c r="AA385" s="30" t="s">
        <v>76</v>
      </c>
      <c r="AB385" s="26"/>
      <c r="AC385" s="44"/>
    </row>
    <row r="386" spans="1:29" ht="33" hidden="1">
      <c r="A386" s="88">
        <v>376</v>
      </c>
      <c r="B386" s="79" t="s">
        <v>2121</v>
      </c>
      <c r="C386" s="148" t="s">
        <v>8</v>
      </c>
      <c r="D386" s="80" t="s">
        <v>83</v>
      </c>
      <c r="E386" s="27" t="s">
        <v>2122</v>
      </c>
      <c r="F386" s="80" t="s">
        <v>338</v>
      </c>
      <c r="G386" s="81" t="s">
        <v>456</v>
      </c>
      <c r="H386" s="80" t="s">
        <v>2123</v>
      </c>
      <c r="I386" s="83">
        <v>45499</v>
      </c>
      <c r="J386" s="80" t="s">
        <v>657</v>
      </c>
      <c r="K386" s="80" t="s">
        <v>146</v>
      </c>
      <c r="L386" s="84" t="s">
        <v>189</v>
      </c>
      <c r="M386" s="84" t="s">
        <v>221</v>
      </c>
      <c r="N386" s="84" t="s">
        <v>72</v>
      </c>
      <c r="O386" s="33" t="s">
        <v>2124</v>
      </c>
      <c r="P386" s="28"/>
      <c r="Q386" s="49" t="s">
        <v>75</v>
      </c>
      <c r="R386" s="25" t="s">
        <v>91</v>
      </c>
      <c r="S386" s="26">
        <v>20</v>
      </c>
      <c r="T386" s="26">
        <v>62</v>
      </c>
      <c r="U386" s="228" t="s">
        <v>2125</v>
      </c>
      <c r="V386" s="66"/>
      <c r="W386" s="225" t="s">
        <v>76</v>
      </c>
      <c r="X386" s="78" t="s">
        <v>78</v>
      </c>
      <c r="Y386" s="26" t="s">
        <v>76</v>
      </c>
      <c r="Z386" s="75" t="s">
        <v>93</v>
      </c>
      <c r="AA386" s="53" t="s">
        <v>76</v>
      </c>
      <c r="AB386" s="26"/>
      <c r="AC386" s="44"/>
    </row>
    <row r="387" spans="1:29" ht="33" hidden="1">
      <c r="A387" s="88">
        <v>377</v>
      </c>
      <c r="B387" s="79" t="s">
        <v>2126</v>
      </c>
      <c r="C387" s="148" t="s">
        <v>8</v>
      </c>
      <c r="D387" s="80" t="s">
        <v>83</v>
      </c>
      <c r="E387" s="27" t="s">
        <v>2127</v>
      </c>
      <c r="F387" s="80" t="s">
        <v>65</v>
      </c>
      <c r="G387" s="81" t="s">
        <v>456</v>
      </c>
      <c r="H387" s="80" t="s">
        <v>2128</v>
      </c>
      <c r="I387" s="83">
        <v>45499</v>
      </c>
      <c r="J387" s="80" t="s">
        <v>657</v>
      </c>
      <c r="K387" s="80" t="s">
        <v>146</v>
      </c>
      <c r="L387" s="84" t="s">
        <v>189</v>
      </c>
      <c r="M387" s="84" t="s">
        <v>221</v>
      </c>
      <c r="N387" s="84" t="s">
        <v>72</v>
      </c>
      <c r="O387" s="33" t="s">
        <v>2129</v>
      </c>
      <c r="P387" s="28"/>
      <c r="Q387" s="49" t="s">
        <v>75</v>
      </c>
      <c r="R387" s="25" t="s">
        <v>91</v>
      </c>
      <c r="S387" s="26">
        <v>23</v>
      </c>
      <c r="T387" s="26">
        <v>65</v>
      </c>
      <c r="U387" s="226" t="s">
        <v>2130</v>
      </c>
      <c r="V387" s="66"/>
      <c r="W387" s="225" t="s">
        <v>76</v>
      </c>
      <c r="X387" s="78" t="s">
        <v>78</v>
      </c>
      <c r="Y387" s="26" t="s">
        <v>76</v>
      </c>
      <c r="Z387" s="75" t="s">
        <v>93</v>
      </c>
      <c r="AA387" s="53" t="s">
        <v>76</v>
      </c>
      <c r="AB387" s="26"/>
      <c r="AC387" s="44"/>
    </row>
    <row r="388" spans="1:29" ht="33" hidden="1">
      <c r="A388" s="88">
        <v>378</v>
      </c>
      <c r="B388" s="79" t="s">
        <v>2131</v>
      </c>
      <c r="C388" s="148" t="s">
        <v>8</v>
      </c>
      <c r="D388" s="80" t="s">
        <v>83</v>
      </c>
      <c r="E388" s="27" t="s">
        <v>1680</v>
      </c>
      <c r="F388" s="80" t="s">
        <v>120</v>
      </c>
      <c r="G388" s="81" t="s">
        <v>248</v>
      </c>
      <c r="H388" s="80" t="s">
        <v>1681</v>
      </c>
      <c r="I388" s="83">
        <v>45499</v>
      </c>
      <c r="J388" s="80" t="s">
        <v>657</v>
      </c>
      <c r="K388" s="80" t="s">
        <v>188</v>
      </c>
      <c r="L388" s="84" t="s">
        <v>189</v>
      </c>
      <c r="M388" s="84" t="s">
        <v>221</v>
      </c>
      <c r="N388" s="84" t="s">
        <v>72</v>
      </c>
      <c r="O388" s="33" t="s">
        <v>2132</v>
      </c>
      <c r="P388" s="28"/>
      <c r="Q388" s="49" t="s">
        <v>75</v>
      </c>
      <c r="R388" s="196" t="s">
        <v>91</v>
      </c>
      <c r="S388" s="26" t="s">
        <v>76</v>
      </c>
      <c r="T388" s="26" t="s">
        <v>76</v>
      </c>
      <c r="U388" s="227" t="s">
        <v>2133</v>
      </c>
      <c r="V388" s="66"/>
      <c r="W388" s="225" t="s">
        <v>76</v>
      </c>
      <c r="X388" s="78" t="s">
        <v>78</v>
      </c>
      <c r="Y388" s="26" t="s">
        <v>76</v>
      </c>
      <c r="Z388" s="75" t="s">
        <v>106</v>
      </c>
      <c r="AA388" s="53" t="s">
        <v>76</v>
      </c>
      <c r="AB388" s="26"/>
      <c r="AC388" s="44"/>
    </row>
    <row r="389" spans="1:29" ht="49.5" hidden="1">
      <c r="A389" s="88">
        <v>379</v>
      </c>
      <c r="B389" s="79" t="s">
        <v>2134</v>
      </c>
      <c r="C389" s="148" t="s">
        <v>8</v>
      </c>
      <c r="D389" s="80" t="s">
        <v>83</v>
      </c>
      <c r="E389" s="27" t="s">
        <v>2127</v>
      </c>
      <c r="F389" s="80" t="s">
        <v>65</v>
      </c>
      <c r="G389" s="81" t="s">
        <v>456</v>
      </c>
      <c r="H389" s="80" t="s">
        <v>2128</v>
      </c>
      <c r="I389" s="83">
        <v>45499</v>
      </c>
      <c r="J389" s="80" t="s">
        <v>657</v>
      </c>
      <c r="K389" s="80" t="s">
        <v>146</v>
      </c>
      <c r="L389" s="84" t="s">
        <v>189</v>
      </c>
      <c r="M389" s="84" t="s">
        <v>221</v>
      </c>
      <c r="N389" s="84" t="s">
        <v>72</v>
      </c>
      <c r="O389" s="33" t="s">
        <v>2135</v>
      </c>
      <c r="P389" s="28"/>
      <c r="Q389" s="49" t="s">
        <v>75</v>
      </c>
      <c r="R389" s="25" t="s">
        <v>91</v>
      </c>
      <c r="S389" s="26">
        <v>24</v>
      </c>
      <c r="T389" s="26">
        <v>74</v>
      </c>
      <c r="U389" s="228" t="s">
        <v>2136</v>
      </c>
      <c r="V389" s="66"/>
      <c r="W389" s="225" t="s">
        <v>76</v>
      </c>
      <c r="X389" s="78" t="s">
        <v>78</v>
      </c>
      <c r="Y389" s="26" t="s">
        <v>76</v>
      </c>
      <c r="Z389" s="75" t="s">
        <v>93</v>
      </c>
      <c r="AA389" s="53" t="s">
        <v>76</v>
      </c>
      <c r="AB389" s="26"/>
      <c r="AC389" s="44"/>
    </row>
    <row r="390" spans="1:29" ht="33" hidden="1">
      <c r="A390" s="88">
        <v>380</v>
      </c>
      <c r="B390" s="79" t="s">
        <v>2137</v>
      </c>
      <c r="C390" s="148" t="s">
        <v>8</v>
      </c>
      <c r="D390" s="80" t="s">
        <v>83</v>
      </c>
      <c r="E390" s="27" t="s">
        <v>337</v>
      </c>
      <c r="F390" s="80" t="s">
        <v>338</v>
      </c>
      <c r="G390" s="81" t="s">
        <v>339</v>
      </c>
      <c r="H390" s="80" t="s">
        <v>340</v>
      </c>
      <c r="I390" s="83">
        <v>45499</v>
      </c>
      <c r="J390" s="80" t="s">
        <v>1813</v>
      </c>
      <c r="K390" s="80" t="s">
        <v>491</v>
      </c>
      <c r="L390" s="84" t="s">
        <v>251</v>
      </c>
      <c r="M390" s="84" t="s">
        <v>221</v>
      </c>
      <c r="N390" s="84" t="s">
        <v>72</v>
      </c>
      <c r="O390" s="33" t="s">
        <v>2138</v>
      </c>
      <c r="P390" s="28"/>
      <c r="Q390" s="49" t="s">
        <v>75</v>
      </c>
      <c r="R390" s="25" t="s">
        <v>91</v>
      </c>
      <c r="S390" s="26">
        <v>18</v>
      </c>
      <c r="T390" s="26" t="s">
        <v>76</v>
      </c>
      <c r="U390" s="228" t="s">
        <v>2139</v>
      </c>
      <c r="V390" s="66"/>
      <c r="W390" s="225" t="s">
        <v>76</v>
      </c>
      <c r="X390" s="78" t="s">
        <v>78</v>
      </c>
      <c r="Y390" s="26" t="s">
        <v>76</v>
      </c>
      <c r="Z390" s="75" t="s">
        <v>93</v>
      </c>
      <c r="AA390" s="30" t="s">
        <v>76</v>
      </c>
      <c r="AB390" s="26"/>
      <c r="AC390" s="44"/>
    </row>
    <row r="391" spans="1:29" ht="33" hidden="1">
      <c r="A391" s="88">
        <v>381</v>
      </c>
      <c r="B391" s="79" t="s">
        <v>2140</v>
      </c>
      <c r="C391" s="148" t="s">
        <v>8</v>
      </c>
      <c r="D391" s="80" t="s">
        <v>83</v>
      </c>
      <c r="E391" s="27" t="s">
        <v>337</v>
      </c>
      <c r="F391" s="80" t="s">
        <v>338</v>
      </c>
      <c r="G391" s="81" t="s">
        <v>339</v>
      </c>
      <c r="H391" s="80" t="s">
        <v>340</v>
      </c>
      <c r="I391" s="83">
        <v>45499</v>
      </c>
      <c r="J391" s="80" t="s">
        <v>332</v>
      </c>
      <c r="K391" s="81" t="s">
        <v>1601</v>
      </c>
      <c r="L391" s="84" t="s">
        <v>189</v>
      </c>
      <c r="M391" s="84" t="s">
        <v>200</v>
      </c>
      <c r="N391" s="84" t="s">
        <v>72</v>
      </c>
      <c r="O391" s="33" t="s">
        <v>2141</v>
      </c>
      <c r="P391" s="28"/>
      <c r="Q391" s="49" t="s">
        <v>75</v>
      </c>
      <c r="R391" s="180" t="s">
        <v>504</v>
      </c>
      <c r="S391" s="26" t="s">
        <v>76</v>
      </c>
      <c r="T391" s="26" t="s">
        <v>76</v>
      </c>
      <c r="U391" s="228" t="s">
        <v>2142</v>
      </c>
      <c r="V391" s="66"/>
      <c r="W391" s="225" t="s">
        <v>76</v>
      </c>
      <c r="X391" s="78" t="s">
        <v>78</v>
      </c>
      <c r="Y391" s="26" t="s">
        <v>76</v>
      </c>
      <c r="Z391" s="75" t="s">
        <v>106</v>
      </c>
      <c r="AA391" s="53" t="s">
        <v>76</v>
      </c>
      <c r="AB391" s="26"/>
      <c r="AC391" s="44"/>
    </row>
    <row r="392" spans="1:29" ht="33" hidden="1">
      <c r="A392" s="88">
        <v>382</v>
      </c>
      <c r="B392" s="79" t="s">
        <v>2143</v>
      </c>
      <c r="C392" s="148" t="s">
        <v>8</v>
      </c>
      <c r="D392" s="80" t="s">
        <v>83</v>
      </c>
      <c r="E392" s="27" t="s">
        <v>337</v>
      </c>
      <c r="F392" s="80" t="s">
        <v>338</v>
      </c>
      <c r="G392" s="81" t="s">
        <v>339</v>
      </c>
      <c r="H392" s="80" t="s">
        <v>340</v>
      </c>
      <c r="I392" s="83">
        <v>45499</v>
      </c>
      <c r="J392" s="80" t="s">
        <v>657</v>
      </c>
      <c r="K392" s="80" t="s">
        <v>69</v>
      </c>
      <c r="L392" s="84" t="s">
        <v>189</v>
      </c>
      <c r="M392" s="84" t="s">
        <v>221</v>
      </c>
      <c r="N392" s="84" t="s">
        <v>72</v>
      </c>
      <c r="O392" s="33" t="s">
        <v>2144</v>
      </c>
      <c r="P392" s="28"/>
      <c r="Q392" s="49" t="s">
        <v>75</v>
      </c>
      <c r="R392" s="25" t="s">
        <v>91</v>
      </c>
      <c r="S392" s="26">
        <v>20</v>
      </c>
      <c r="T392" s="26">
        <v>62</v>
      </c>
      <c r="U392" s="228"/>
      <c r="V392" s="66"/>
      <c r="W392" s="225" t="s">
        <v>76</v>
      </c>
      <c r="X392" s="78" t="s">
        <v>78</v>
      </c>
      <c r="Y392" s="26" t="s">
        <v>76</v>
      </c>
      <c r="Z392" s="75" t="s">
        <v>106</v>
      </c>
      <c r="AA392" s="53" t="s">
        <v>76</v>
      </c>
      <c r="AB392" s="26"/>
      <c r="AC392" s="44"/>
    </row>
    <row r="393" spans="1:29" ht="33" hidden="1">
      <c r="A393" s="88">
        <v>383</v>
      </c>
      <c r="B393" s="79" t="s">
        <v>2145</v>
      </c>
      <c r="C393" s="148" t="s">
        <v>2146</v>
      </c>
      <c r="D393" s="80" t="s">
        <v>83</v>
      </c>
      <c r="E393" s="27" t="s">
        <v>2147</v>
      </c>
      <c r="F393" s="80" t="s">
        <v>120</v>
      </c>
      <c r="G393" s="81" t="s">
        <v>2148</v>
      </c>
      <c r="H393" s="80" t="s">
        <v>2149</v>
      </c>
      <c r="I393" s="83">
        <v>45499</v>
      </c>
      <c r="J393" s="80" t="s">
        <v>657</v>
      </c>
      <c r="K393" s="80" t="s">
        <v>188</v>
      </c>
      <c r="L393" s="84" t="s">
        <v>189</v>
      </c>
      <c r="M393" s="84" t="s">
        <v>101</v>
      </c>
      <c r="N393" s="84" t="s">
        <v>72</v>
      </c>
      <c r="O393" s="33" t="s">
        <v>2150</v>
      </c>
      <c r="P393" s="28"/>
      <c r="Q393" s="49" t="s">
        <v>91</v>
      </c>
      <c r="R393" s="25"/>
      <c r="S393" s="26" t="s">
        <v>76</v>
      </c>
      <c r="T393" s="26" t="s">
        <v>76</v>
      </c>
      <c r="U393" s="228" t="s">
        <v>76</v>
      </c>
      <c r="V393" s="66"/>
      <c r="W393" s="225" t="s">
        <v>76</v>
      </c>
      <c r="X393" s="106" t="s">
        <v>76</v>
      </c>
      <c r="Y393" s="26" t="s">
        <v>76</v>
      </c>
      <c r="Z393" s="75" t="s">
        <v>193</v>
      </c>
      <c r="AA393" s="53" t="s">
        <v>76</v>
      </c>
      <c r="AB393" s="26"/>
      <c r="AC393" s="44"/>
    </row>
    <row r="394" spans="1:29" ht="33" hidden="1">
      <c r="A394" s="88">
        <v>384</v>
      </c>
      <c r="B394" s="79" t="s">
        <v>2151</v>
      </c>
      <c r="C394" s="148" t="s">
        <v>8</v>
      </c>
      <c r="D394" s="80" t="s">
        <v>63</v>
      </c>
      <c r="E394" s="27" t="s">
        <v>2152</v>
      </c>
      <c r="F394" s="80" t="s">
        <v>65</v>
      </c>
      <c r="G394" s="81" t="s">
        <v>1047</v>
      </c>
      <c r="H394" s="80" t="s">
        <v>2153</v>
      </c>
      <c r="I394" s="83">
        <v>45499</v>
      </c>
      <c r="J394" s="80" t="s">
        <v>657</v>
      </c>
      <c r="K394" s="80" t="s">
        <v>188</v>
      </c>
      <c r="L394" s="84" t="s">
        <v>189</v>
      </c>
      <c r="M394" s="84" t="s">
        <v>221</v>
      </c>
      <c r="N394" s="84" t="s">
        <v>72</v>
      </c>
      <c r="O394" s="33" t="s">
        <v>2154</v>
      </c>
      <c r="P394" s="28"/>
      <c r="Q394" s="49" t="s">
        <v>75</v>
      </c>
      <c r="R394" s="25" t="s">
        <v>91</v>
      </c>
      <c r="S394" s="26" t="s">
        <v>76</v>
      </c>
      <c r="T394" s="26" t="s">
        <v>76</v>
      </c>
      <c r="U394" s="228" t="s">
        <v>2155</v>
      </c>
      <c r="V394" s="66"/>
      <c r="W394" s="225" t="s">
        <v>76</v>
      </c>
      <c r="X394" s="78" t="s">
        <v>78</v>
      </c>
      <c r="Y394" s="26" t="s">
        <v>76</v>
      </c>
      <c r="Z394" s="75" t="s">
        <v>106</v>
      </c>
      <c r="AA394" s="53" t="s">
        <v>76</v>
      </c>
      <c r="AB394" s="26"/>
      <c r="AC394" s="44"/>
    </row>
    <row r="395" spans="1:29" ht="33" hidden="1">
      <c r="A395" s="88">
        <v>385</v>
      </c>
      <c r="B395" s="79" t="s">
        <v>2156</v>
      </c>
      <c r="C395" s="148" t="s">
        <v>8</v>
      </c>
      <c r="D395" s="80" t="s">
        <v>63</v>
      </c>
      <c r="E395" s="27" t="s">
        <v>2157</v>
      </c>
      <c r="F395" s="80" t="s">
        <v>120</v>
      </c>
      <c r="G395" s="81" t="s">
        <v>1368</v>
      </c>
      <c r="H395" s="80" t="s">
        <v>2158</v>
      </c>
      <c r="I395" s="83">
        <v>45500</v>
      </c>
      <c r="J395" s="80" t="s">
        <v>657</v>
      </c>
      <c r="K395" s="80" t="s">
        <v>146</v>
      </c>
      <c r="L395" s="84" t="s">
        <v>189</v>
      </c>
      <c r="M395" s="84" t="s">
        <v>221</v>
      </c>
      <c r="N395" s="84" t="s">
        <v>72</v>
      </c>
      <c r="O395" s="33" t="s">
        <v>2159</v>
      </c>
      <c r="P395" s="28"/>
      <c r="Q395" s="49" t="s">
        <v>75</v>
      </c>
      <c r="R395" s="25" t="s">
        <v>91</v>
      </c>
      <c r="S395" s="26">
        <v>21</v>
      </c>
      <c r="T395" s="26">
        <v>63</v>
      </c>
      <c r="U395" s="228" t="s">
        <v>2130</v>
      </c>
      <c r="V395" s="66"/>
      <c r="W395" s="225" t="s">
        <v>76</v>
      </c>
      <c r="X395" s="78" t="s">
        <v>78</v>
      </c>
      <c r="Y395" s="26" t="s">
        <v>76</v>
      </c>
      <c r="Z395" s="75" t="s">
        <v>93</v>
      </c>
      <c r="AA395" s="53" t="s">
        <v>76</v>
      </c>
      <c r="AB395" s="26"/>
      <c r="AC395" s="44"/>
    </row>
    <row r="396" spans="1:29" ht="33" hidden="1">
      <c r="A396" s="88">
        <v>386</v>
      </c>
      <c r="B396" s="79" t="s">
        <v>2160</v>
      </c>
      <c r="C396" s="148" t="s">
        <v>8</v>
      </c>
      <c r="D396" s="80" t="s">
        <v>63</v>
      </c>
      <c r="E396" s="27" t="s">
        <v>2157</v>
      </c>
      <c r="F396" s="80" t="s">
        <v>120</v>
      </c>
      <c r="G396" s="81" t="s">
        <v>1368</v>
      </c>
      <c r="H396" s="80" t="s">
        <v>2158</v>
      </c>
      <c r="I396" s="83">
        <v>45500</v>
      </c>
      <c r="J396" s="80" t="s">
        <v>657</v>
      </c>
      <c r="K396" s="80" t="s">
        <v>146</v>
      </c>
      <c r="L396" s="84" t="s">
        <v>189</v>
      </c>
      <c r="M396" s="84" t="s">
        <v>221</v>
      </c>
      <c r="N396" s="84" t="s">
        <v>72</v>
      </c>
      <c r="O396" s="33" t="s">
        <v>2161</v>
      </c>
      <c r="P396" s="28"/>
      <c r="Q396" s="49" t="s">
        <v>75</v>
      </c>
      <c r="R396" s="25" t="s">
        <v>91</v>
      </c>
      <c r="S396" s="26">
        <v>22</v>
      </c>
      <c r="T396" s="26">
        <v>68</v>
      </c>
      <c r="U396" s="228" t="s">
        <v>2162</v>
      </c>
      <c r="V396" s="66"/>
      <c r="W396" s="225" t="s">
        <v>76</v>
      </c>
      <c r="X396" s="78" t="s">
        <v>78</v>
      </c>
      <c r="Y396" s="26" t="s">
        <v>76</v>
      </c>
      <c r="Z396" s="75" t="s">
        <v>93</v>
      </c>
      <c r="AA396" s="53" t="s">
        <v>76</v>
      </c>
      <c r="AB396" s="26"/>
      <c r="AC396" s="44"/>
    </row>
    <row r="397" spans="1:29" ht="33" hidden="1">
      <c r="A397" s="88">
        <v>387</v>
      </c>
      <c r="B397" s="79" t="s">
        <v>2163</v>
      </c>
      <c r="C397" s="148" t="s">
        <v>8</v>
      </c>
      <c r="D397" s="80" t="s">
        <v>63</v>
      </c>
      <c r="E397" s="27" t="s">
        <v>2157</v>
      </c>
      <c r="F397" s="80" t="s">
        <v>120</v>
      </c>
      <c r="G397" s="81" t="s">
        <v>1368</v>
      </c>
      <c r="H397" s="80" t="s">
        <v>2158</v>
      </c>
      <c r="I397" s="83">
        <v>45500</v>
      </c>
      <c r="J397" s="80" t="s">
        <v>657</v>
      </c>
      <c r="K397" s="80" t="s">
        <v>146</v>
      </c>
      <c r="L397" s="84" t="s">
        <v>147</v>
      </c>
      <c r="M397" s="84" t="s">
        <v>148</v>
      </c>
      <c r="N397" s="84" t="s">
        <v>72</v>
      </c>
      <c r="O397" s="33" t="s">
        <v>2164</v>
      </c>
      <c r="P397" s="28"/>
      <c r="Q397" s="49" t="s">
        <v>75</v>
      </c>
      <c r="R397" s="25" t="s">
        <v>91</v>
      </c>
      <c r="S397" s="26">
        <v>19</v>
      </c>
      <c r="T397" s="26">
        <v>71</v>
      </c>
      <c r="U397" s="228" t="s">
        <v>2165</v>
      </c>
      <c r="V397" s="66"/>
      <c r="W397" s="225"/>
      <c r="X397" s="78" t="s">
        <v>78</v>
      </c>
      <c r="Y397" s="26" t="s">
        <v>76</v>
      </c>
      <c r="Z397" s="75" t="s">
        <v>106</v>
      </c>
      <c r="AA397" s="53" t="s">
        <v>76</v>
      </c>
      <c r="AB397" s="26"/>
      <c r="AC397" s="44"/>
    </row>
    <row r="398" spans="1:29" ht="33" hidden="1">
      <c r="A398" s="88">
        <v>388</v>
      </c>
      <c r="B398" s="79" t="s">
        <v>2166</v>
      </c>
      <c r="C398" s="148" t="s">
        <v>8</v>
      </c>
      <c r="D398" s="80" t="s">
        <v>63</v>
      </c>
      <c r="E398" s="27" t="s">
        <v>2157</v>
      </c>
      <c r="F398" s="80" t="s">
        <v>120</v>
      </c>
      <c r="G398" s="81" t="s">
        <v>1368</v>
      </c>
      <c r="H398" s="80" t="s">
        <v>2158</v>
      </c>
      <c r="I398" s="83">
        <v>45500</v>
      </c>
      <c r="J398" s="80" t="s">
        <v>657</v>
      </c>
      <c r="K398" s="80" t="s">
        <v>146</v>
      </c>
      <c r="L398" s="84" t="s">
        <v>189</v>
      </c>
      <c r="M398" s="84" t="s">
        <v>221</v>
      </c>
      <c r="N398" s="84" t="s">
        <v>72</v>
      </c>
      <c r="O398" s="33" t="s">
        <v>2167</v>
      </c>
      <c r="P398" s="28"/>
      <c r="Q398" s="49" t="s">
        <v>75</v>
      </c>
      <c r="R398" s="25" t="s">
        <v>91</v>
      </c>
      <c r="S398" s="26">
        <v>21</v>
      </c>
      <c r="T398" s="26">
        <v>71</v>
      </c>
      <c r="U398" s="228" t="s">
        <v>2168</v>
      </c>
      <c r="V398" s="66"/>
      <c r="W398" s="225"/>
      <c r="X398" s="78" t="s">
        <v>78</v>
      </c>
      <c r="Y398" s="26" t="s">
        <v>76</v>
      </c>
      <c r="Z398" s="75" t="s">
        <v>106</v>
      </c>
      <c r="AA398" s="53" t="s">
        <v>76</v>
      </c>
      <c r="AB398" s="26"/>
      <c r="AC398" s="44"/>
    </row>
    <row r="399" spans="1:29" ht="33" hidden="1">
      <c r="A399" s="88">
        <v>389</v>
      </c>
      <c r="B399" s="79" t="s">
        <v>2169</v>
      </c>
      <c r="C399" s="148" t="s">
        <v>8</v>
      </c>
      <c r="D399" s="80" t="s">
        <v>63</v>
      </c>
      <c r="E399" s="27" t="s">
        <v>2157</v>
      </c>
      <c r="F399" s="80" t="s">
        <v>120</v>
      </c>
      <c r="G399" s="81" t="s">
        <v>1368</v>
      </c>
      <c r="H399" s="80" t="s">
        <v>2158</v>
      </c>
      <c r="I399" s="83">
        <v>45500</v>
      </c>
      <c r="J399" s="80" t="s">
        <v>657</v>
      </c>
      <c r="K399" s="80" t="s">
        <v>146</v>
      </c>
      <c r="L399" s="84" t="s">
        <v>189</v>
      </c>
      <c r="M399" s="84" t="s">
        <v>221</v>
      </c>
      <c r="N399" s="84" t="s">
        <v>72</v>
      </c>
      <c r="O399" s="33" t="s">
        <v>2170</v>
      </c>
      <c r="P399" s="28"/>
      <c r="Q399" s="49" t="s">
        <v>91</v>
      </c>
      <c r="R399" s="25"/>
      <c r="S399" s="26">
        <v>15</v>
      </c>
      <c r="T399" s="26" t="s">
        <v>76</v>
      </c>
      <c r="U399" s="228" t="s">
        <v>2171</v>
      </c>
      <c r="V399" s="66"/>
      <c r="W399" s="225" t="s">
        <v>76</v>
      </c>
      <c r="X399" s="106" t="s">
        <v>76</v>
      </c>
      <c r="Y399" s="26" t="s">
        <v>76</v>
      </c>
      <c r="Z399" s="75" t="s">
        <v>193</v>
      </c>
      <c r="AA399" s="53" t="s">
        <v>76</v>
      </c>
      <c r="AB399" s="26"/>
      <c r="AC399" s="44"/>
    </row>
    <row r="400" spans="1:29" ht="132" hidden="1">
      <c r="A400" s="88">
        <v>390</v>
      </c>
      <c r="B400" s="79" t="s">
        <v>2172</v>
      </c>
      <c r="C400" s="148" t="s">
        <v>8</v>
      </c>
      <c r="D400" s="80" t="s">
        <v>63</v>
      </c>
      <c r="E400" s="27" t="s">
        <v>1412</v>
      </c>
      <c r="F400" s="80" t="s">
        <v>109</v>
      </c>
      <c r="G400" s="81" t="s">
        <v>1413</v>
      </c>
      <c r="H400" s="80" t="s">
        <v>1414</v>
      </c>
      <c r="I400" s="83">
        <v>45500</v>
      </c>
      <c r="J400" s="80" t="s">
        <v>220</v>
      </c>
      <c r="K400" s="80" t="s">
        <v>112</v>
      </c>
      <c r="L400" s="84" t="s">
        <v>122</v>
      </c>
      <c r="M400" s="84" t="s">
        <v>221</v>
      </c>
      <c r="N400" s="84" t="s">
        <v>72</v>
      </c>
      <c r="O400" s="33" t="s">
        <v>2173</v>
      </c>
      <c r="P400" s="28" t="s">
        <v>2174</v>
      </c>
      <c r="Q400" s="49" t="s">
        <v>75</v>
      </c>
      <c r="R400" s="25" t="s">
        <v>91</v>
      </c>
      <c r="S400" s="26">
        <v>18</v>
      </c>
      <c r="T400" s="26">
        <v>59</v>
      </c>
      <c r="U400" s="228" t="s">
        <v>2175</v>
      </c>
      <c r="V400" s="66"/>
      <c r="W400" s="225" t="s">
        <v>76</v>
      </c>
      <c r="X400" s="78" t="s">
        <v>78</v>
      </c>
      <c r="Y400" s="26" t="s">
        <v>76</v>
      </c>
      <c r="Z400" s="75" t="s">
        <v>93</v>
      </c>
      <c r="AA400" s="53" t="s">
        <v>76</v>
      </c>
      <c r="AB400" s="26"/>
      <c r="AC400" s="44"/>
    </row>
    <row r="401" spans="1:29" ht="263.25" hidden="1">
      <c r="A401" s="88">
        <v>391</v>
      </c>
      <c r="B401" s="79" t="s">
        <v>2176</v>
      </c>
      <c r="C401" s="148" t="s">
        <v>8</v>
      </c>
      <c r="D401" s="80" t="s">
        <v>63</v>
      </c>
      <c r="E401" s="27" t="s">
        <v>2177</v>
      </c>
      <c r="F401" s="80" t="s">
        <v>65</v>
      </c>
      <c r="G401" s="81" t="s">
        <v>1419</v>
      </c>
      <c r="H401" s="80" t="s">
        <v>2178</v>
      </c>
      <c r="I401" s="83">
        <v>45501</v>
      </c>
      <c r="J401" s="80" t="s">
        <v>241</v>
      </c>
      <c r="K401" s="80" t="s">
        <v>198</v>
      </c>
      <c r="L401" s="84" t="s">
        <v>199</v>
      </c>
      <c r="M401" s="84" t="s">
        <v>221</v>
      </c>
      <c r="N401" s="84" t="s">
        <v>72</v>
      </c>
      <c r="O401" s="33" t="s">
        <v>2179</v>
      </c>
      <c r="P401" s="28" t="s">
        <v>2180</v>
      </c>
      <c r="Q401" s="49" t="s">
        <v>75</v>
      </c>
      <c r="R401" s="25" t="s">
        <v>91</v>
      </c>
      <c r="S401" s="26">
        <v>20</v>
      </c>
      <c r="T401" s="26">
        <v>67</v>
      </c>
      <c r="U401" s="228" t="s">
        <v>2181</v>
      </c>
      <c r="V401" s="66"/>
      <c r="W401" s="225" t="s">
        <v>76</v>
      </c>
      <c r="X401" s="78" t="s">
        <v>78</v>
      </c>
      <c r="Y401" s="106" t="s">
        <v>76</v>
      </c>
      <c r="Z401" s="75" t="s">
        <v>93</v>
      </c>
      <c r="AA401" s="30" t="s">
        <v>76</v>
      </c>
      <c r="AB401" s="26"/>
      <c r="AC401" s="44"/>
    </row>
    <row r="402" spans="1:29" ht="33" hidden="1">
      <c r="A402" s="88">
        <v>392</v>
      </c>
      <c r="B402" s="79" t="s">
        <v>2182</v>
      </c>
      <c r="C402" s="148" t="s">
        <v>8</v>
      </c>
      <c r="D402" s="80" t="s">
        <v>63</v>
      </c>
      <c r="E402" s="27">
        <v>1900036</v>
      </c>
      <c r="F402" s="80" t="s">
        <v>628</v>
      </c>
      <c r="G402" s="81" t="s">
        <v>1889</v>
      </c>
      <c r="H402" s="80" t="s">
        <v>2183</v>
      </c>
      <c r="I402" s="83">
        <v>45501</v>
      </c>
      <c r="J402" s="80" t="s">
        <v>657</v>
      </c>
      <c r="K402" s="80" t="s">
        <v>146</v>
      </c>
      <c r="L402" s="84" t="s">
        <v>189</v>
      </c>
      <c r="M402" s="84" t="s">
        <v>221</v>
      </c>
      <c r="N402" s="84" t="s">
        <v>72</v>
      </c>
      <c r="O402" s="33" t="s">
        <v>2184</v>
      </c>
      <c r="P402" s="28"/>
      <c r="Q402" s="49" t="s">
        <v>75</v>
      </c>
      <c r="R402" s="25" t="s">
        <v>91</v>
      </c>
      <c r="S402" s="26">
        <v>20</v>
      </c>
      <c r="T402" s="26">
        <v>62</v>
      </c>
      <c r="U402" s="228" t="s">
        <v>2185</v>
      </c>
      <c r="V402" s="66"/>
      <c r="W402" s="225" t="s">
        <v>76</v>
      </c>
      <c r="X402" s="78" t="s">
        <v>78</v>
      </c>
      <c r="Y402" s="26" t="s">
        <v>76</v>
      </c>
      <c r="Z402" s="75" t="s">
        <v>93</v>
      </c>
      <c r="AA402" s="53" t="s">
        <v>76</v>
      </c>
      <c r="AB402" s="26"/>
      <c r="AC402" s="44"/>
    </row>
    <row r="403" spans="1:29" ht="165" hidden="1">
      <c r="A403" s="88">
        <v>393</v>
      </c>
      <c r="B403" s="79" t="s">
        <v>2186</v>
      </c>
      <c r="C403" s="148" t="s">
        <v>8</v>
      </c>
      <c r="D403" s="80" t="s">
        <v>83</v>
      </c>
      <c r="E403" s="27" t="s">
        <v>1231</v>
      </c>
      <c r="F403" s="80" t="s">
        <v>109</v>
      </c>
      <c r="G403" s="81" t="s">
        <v>910</v>
      </c>
      <c r="H403" s="80" t="s">
        <v>1232</v>
      </c>
      <c r="I403" s="83">
        <v>45501</v>
      </c>
      <c r="J403" s="80" t="s">
        <v>657</v>
      </c>
      <c r="K403" s="80" t="s">
        <v>112</v>
      </c>
      <c r="L403" s="84" t="s">
        <v>189</v>
      </c>
      <c r="M403" s="84" t="s">
        <v>221</v>
      </c>
      <c r="N403" s="84" t="s">
        <v>72</v>
      </c>
      <c r="O403" s="33" t="s">
        <v>2187</v>
      </c>
      <c r="P403" s="28" t="s">
        <v>2188</v>
      </c>
      <c r="Q403" s="49" t="s">
        <v>75</v>
      </c>
      <c r="R403" s="25" t="s">
        <v>75</v>
      </c>
      <c r="S403" s="26">
        <v>20</v>
      </c>
      <c r="T403" s="26">
        <v>71</v>
      </c>
      <c r="U403" s="228" t="s">
        <v>2189</v>
      </c>
      <c r="V403" s="66" t="s">
        <v>75</v>
      </c>
      <c r="W403" s="225" t="s">
        <v>104</v>
      </c>
      <c r="X403" s="78" t="s">
        <v>78</v>
      </c>
      <c r="Y403" s="106" t="s">
        <v>516</v>
      </c>
      <c r="Z403" s="75" t="s">
        <v>79</v>
      </c>
      <c r="AA403" s="53" t="s">
        <v>76</v>
      </c>
      <c r="AB403" s="26"/>
      <c r="AC403" s="44"/>
    </row>
    <row r="404" spans="1:29" ht="197.25" hidden="1">
      <c r="A404" s="88">
        <v>394</v>
      </c>
      <c r="B404" s="79" t="s">
        <v>2190</v>
      </c>
      <c r="C404" s="148" t="s">
        <v>8</v>
      </c>
      <c r="D404" s="80" t="s">
        <v>83</v>
      </c>
      <c r="E404" s="27" t="s">
        <v>1231</v>
      </c>
      <c r="F404" s="80" t="s">
        <v>109</v>
      </c>
      <c r="G404" s="81" t="s">
        <v>910</v>
      </c>
      <c r="H404" s="80" t="s">
        <v>1232</v>
      </c>
      <c r="I404" s="83">
        <v>45501</v>
      </c>
      <c r="J404" s="80" t="s">
        <v>220</v>
      </c>
      <c r="K404" s="80" t="s">
        <v>112</v>
      </c>
      <c r="L404" s="84" t="s">
        <v>122</v>
      </c>
      <c r="M404" s="84" t="s">
        <v>221</v>
      </c>
      <c r="N404" s="84" t="s">
        <v>72</v>
      </c>
      <c r="O404" s="33" t="s">
        <v>2191</v>
      </c>
      <c r="P404" s="28" t="s">
        <v>2192</v>
      </c>
      <c r="Q404" s="49" t="s">
        <v>75</v>
      </c>
      <c r="R404" s="25" t="s">
        <v>91</v>
      </c>
      <c r="S404" s="26">
        <v>18</v>
      </c>
      <c r="T404" s="55" t="s">
        <v>2193</v>
      </c>
      <c r="U404" s="228" t="s">
        <v>2194</v>
      </c>
      <c r="V404" s="66"/>
      <c r="W404" s="225"/>
      <c r="X404" s="78" t="s">
        <v>78</v>
      </c>
      <c r="Y404" s="26" t="s">
        <v>76</v>
      </c>
      <c r="Z404" s="75" t="s">
        <v>93</v>
      </c>
      <c r="AA404" s="30" t="s">
        <v>2193</v>
      </c>
      <c r="AB404" s="26"/>
      <c r="AC404" s="44"/>
    </row>
    <row r="405" spans="1:29" ht="49.5" hidden="1">
      <c r="A405" s="88">
        <v>395</v>
      </c>
      <c r="B405" s="79" t="s">
        <v>2195</v>
      </c>
      <c r="C405" s="148" t="s">
        <v>2146</v>
      </c>
      <c r="D405" s="80" t="s">
        <v>83</v>
      </c>
      <c r="E405" s="27" t="s">
        <v>2196</v>
      </c>
      <c r="F405" s="80" t="s">
        <v>109</v>
      </c>
      <c r="G405" s="81" t="s">
        <v>2197</v>
      </c>
      <c r="H405" s="80" t="s">
        <v>2198</v>
      </c>
      <c r="I405" s="83">
        <v>45503</v>
      </c>
      <c r="J405" s="80" t="s">
        <v>220</v>
      </c>
      <c r="K405" s="80" t="s">
        <v>198</v>
      </c>
      <c r="L405" s="84" t="s">
        <v>199</v>
      </c>
      <c r="M405" s="84" t="s">
        <v>221</v>
      </c>
      <c r="N405" s="84" t="s">
        <v>72</v>
      </c>
      <c r="O405" s="33" t="s">
        <v>2199</v>
      </c>
      <c r="P405" s="28" t="s">
        <v>2200</v>
      </c>
      <c r="Q405" s="49" t="s">
        <v>75</v>
      </c>
      <c r="R405" s="25" t="s">
        <v>91</v>
      </c>
      <c r="S405" s="26">
        <v>20</v>
      </c>
      <c r="T405" s="26">
        <v>64</v>
      </c>
      <c r="U405" s="228" t="s">
        <v>2201</v>
      </c>
      <c r="V405" s="66"/>
      <c r="W405" s="225" t="s">
        <v>76</v>
      </c>
      <c r="X405" s="78" t="s">
        <v>78</v>
      </c>
      <c r="Y405" s="106" t="s">
        <v>76</v>
      </c>
      <c r="Z405" s="75" t="s">
        <v>93</v>
      </c>
      <c r="AA405" s="30" t="s">
        <v>76</v>
      </c>
      <c r="AB405" s="26"/>
      <c r="AC405" s="44"/>
    </row>
    <row r="406" spans="1:29" ht="33" hidden="1">
      <c r="A406" s="98">
        <v>396</v>
      </c>
      <c r="B406" s="79" t="s">
        <v>2202</v>
      </c>
      <c r="C406" s="148" t="s">
        <v>8</v>
      </c>
      <c r="D406" s="80" t="s">
        <v>178</v>
      </c>
      <c r="E406" s="27" t="s">
        <v>2203</v>
      </c>
      <c r="F406" s="80" t="s">
        <v>120</v>
      </c>
      <c r="G406" s="81" t="s">
        <v>180</v>
      </c>
      <c r="H406" s="80" t="s">
        <v>2204</v>
      </c>
      <c r="I406" s="83">
        <v>45501</v>
      </c>
      <c r="J406" s="80" t="s">
        <v>657</v>
      </c>
      <c r="K406" s="80" t="s">
        <v>146</v>
      </c>
      <c r="L406" s="84" t="s">
        <v>189</v>
      </c>
      <c r="M406" s="84" t="s">
        <v>221</v>
      </c>
      <c r="N406" s="84" t="s">
        <v>72</v>
      </c>
      <c r="O406" s="33" t="s">
        <v>2205</v>
      </c>
      <c r="P406" s="28"/>
      <c r="Q406" s="49" t="s">
        <v>75</v>
      </c>
      <c r="R406" s="25" t="s">
        <v>91</v>
      </c>
      <c r="S406" s="26">
        <v>20</v>
      </c>
      <c r="T406" s="26">
        <v>62</v>
      </c>
      <c r="U406" s="228" t="s">
        <v>2185</v>
      </c>
      <c r="V406" s="66"/>
      <c r="W406" s="225" t="s">
        <v>76</v>
      </c>
      <c r="X406" s="78" t="s">
        <v>78</v>
      </c>
      <c r="Y406" s="26" t="s">
        <v>76</v>
      </c>
      <c r="Z406" s="75" t="s">
        <v>93</v>
      </c>
      <c r="AA406" s="53" t="s">
        <v>76</v>
      </c>
      <c r="AB406" s="26"/>
      <c r="AC406" s="44"/>
    </row>
    <row r="407" spans="1:29" ht="33" hidden="1">
      <c r="A407" s="98">
        <v>397</v>
      </c>
      <c r="B407" s="79" t="s">
        <v>2206</v>
      </c>
      <c r="C407" s="148" t="s">
        <v>399</v>
      </c>
      <c r="D407" s="80" t="s">
        <v>83</v>
      </c>
      <c r="E407" s="27" t="s">
        <v>2207</v>
      </c>
      <c r="F407" s="80" t="s">
        <v>338</v>
      </c>
      <c r="G407" s="81" t="s">
        <v>2208</v>
      </c>
      <c r="H407" s="80" t="s">
        <v>2209</v>
      </c>
      <c r="I407" s="83">
        <v>45504</v>
      </c>
      <c r="J407" s="80" t="s">
        <v>594</v>
      </c>
      <c r="K407" s="80" t="s">
        <v>491</v>
      </c>
      <c r="L407" s="84" t="s">
        <v>251</v>
      </c>
      <c r="M407" s="84" t="s">
        <v>595</v>
      </c>
      <c r="N407" s="84" t="s">
        <v>72</v>
      </c>
      <c r="O407" s="33" t="s">
        <v>2210</v>
      </c>
      <c r="P407" s="28"/>
      <c r="Q407" s="49" t="s">
        <v>75</v>
      </c>
      <c r="R407" s="25" t="s">
        <v>504</v>
      </c>
      <c r="S407" s="26">
        <v>21</v>
      </c>
      <c r="T407" s="26" t="s">
        <v>76</v>
      </c>
      <c r="U407" s="228" t="s">
        <v>2211</v>
      </c>
      <c r="V407" s="66"/>
      <c r="W407" s="225" t="s">
        <v>76</v>
      </c>
      <c r="X407" s="78" t="s">
        <v>78</v>
      </c>
      <c r="Y407" s="26" t="s">
        <v>76</v>
      </c>
      <c r="Z407" s="75" t="s">
        <v>106</v>
      </c>
      <c r="AA407" s="30" t="s">
        <v>76</v>
      </c>
      <c r="AB407" s="26"/>
      <c r="AC407" s="44"/>
    </row>
    <row r="408" spans="1:29" ht="111.75" hidden="1" customHeight="1">
      <c r="A408" s="88">
        <v>398</v>
      </c>
      <c r="B408" s="79" t="s">
        <v>2212</v>
      </c>
      <c r="C408" s="148" t="s">
        <v>8</v>
      </c>
      <c r="D408" s="80" t="s">
        <v>63</v>
      </c>
      <c r="E408" s="27" t="s">
        <v>2213</v>
      </c>
      <c r="F408" s="80" t="s">
        <v>109</v>
      </c>
      <c r="G408" s="81" t="s">
        <v>2214</v>
      </c>
      <c r="H408" s="80" t="s">
        <v>2215</v>
      </c>
      <c r="I408" s="83">
        <v>45506</v>
      </c>
      <c r="J408" s="80" t="s">
        <v>241</v>
      </c>
      <c r="K408" s="80" t="s">
        <v>198</v>
      </c>
      <c r="L408" s="84" t="s">
        <v>199</v>
      </c>
      <c r="M408" s="84" t="s">
        <v>221</v>
      </c>
      <c r="N408" s="84" t="s">
        <v>72</v>
      </c>
      <c r="O408" s="33" t="s">
        <v>2216</v>
      </c>
      <c r="P408" s="28" t="s">
        <v>2217</v>
      </c>
      <c r="Q408" s="49" t="s">
        <v>75</v>
      </c>
      <c r="R408" s="25" t="s">
        <v>91</v>
      </c>
      <c r="S408" s="26">
        <v>19</v>
      </c>
      <c r="T408" s="26">
        <v>57</v>
      </c>
      <c r="U408" s="228" t="s">
        <v>2218</v>
      </c>
      <c r="V408" s="66"/>
      <c r="W408" s="225" t="s">
        <v>76</v>
      </c>
      <c r="X408" s="78" t="s">
        <v>78</v>
      </c>
      <c r="Y408" s="106" t="s">
        <v>76</v>
      </c>
      <c r="Z408" s="75" t="s">
        <v>93</v>
      </c>
      <c r="AA408" s="30" t="s">
        <v>76</v>
      </c>
      <c r="AB408" s="26"/>
      <c r="AC408" s="44"/>
    </row>
    <row r="409" spans="1:29" ht="33" hidden="1">
      <c r="A409" s="88">
        <v>399</v>
      </c>
      <c r="B409" s="79" t="s">
        <v>2219</v>
      </c>
      <c r="C409" s="148" t="s">
        <v>8</v>
      </c>
      <c r="D409" s="80" t="s">
        <v>63</v>
      </c>
      <c r="E409" s="27" t="s">
        <v>1498</v>
      </c>
      <c r="F409" s="80" t="s">
        <v>109</v>
      </c>
      <c r="G409" s="81" t="s">
        <v>1413</v>
      </c>
      <c r="H409" s="80" t="s">
        <v>1499</v>
      </c>
      <c r="I409" s="83">
        <v>45506</v>
      </c>
      <c r="J409" s="80" t="s">
        <v>657</v>
      </c>
      <c r="K409" s="80" t="s">
        <v>188</v>
      </c>
      <c r="L409" s="84" t="s">
        <v>189</v>
      </c>
      <c r="M409" s="84" t="s">
        <v>221</v>
      </c>
      <c r="N409" s="84" t="s">
        <v>72</v>
      </c>
      <c r="O409" s="33" t="s">
        <v>2220</v>
      </c>
      <c r="P409" s="28"/>
      <c r="Q409" s="49" t="s">
        <v>75</v>
      </c>
      <c r="R409" s="25" t="s">
        <v>91</v>
      </c>
      <c r="S409" s="26">
        <v>20</v>
      </c>
      <c r="T409" s="26">
        <v>58</v>
      </c>
      <c r="U409" s="228" t="s">
        <v>2155</v>
      </c>
      <c r="V409" s="66"/>
      <c r="W409" s="225" t="s">
        <v>76</v>
      </c>
      <c r="X409" s="78" t="s">
        <v>78</v>
      </c>
      <c r="Y409" s="26" t="s">
        <v>76</v>
      </c>
      <c r="Z409" s="75" t="s">
        <v>106</v>
      </c>
      <c r="AA409" s="53" t="s">
        <v>76</v>
      </c>
      <c r="AB409" s="26"/>
      <c r="AC409" s="44"/>
    </row>
    <row r="410" spans="1:29" ht="33" hidden="1">
      <c r="A410" s="88">
        <v>400</v>
      </c>
      <c r="B410" s="79" t="s">
        <v>2221</v>
      </c>
      <c r="C410" s="148" t="s">
        <v>8</v>
      </c>
      <c r="D410" s="80" t="s">
        <v>63</v>
      </c>
      <c r="E410" s="27" t="s">
        <v>1988</v>
      </c>
      <c r="F410" s="80" t="s">
        <v>109</v>
      </c>
      <c r="G410" s="81" t="s">
        <v>1047</v>
      </c>
      <c r="H410" s="80" t="s">
        <v>1048</v>
      </c>
      <c r="I410" s="83">
        <v>45507</v>
      </c>
      <c r="J410" s="80" t="s">
        <v>1144</v>
      </c>
      <c r="K410" s="80" t="s">
        <v>146</v>
      </c>
      <c r="L410" s="84" t="s">
        <v>189</v>
      </c>
      <c r="M410" s="84" t="s">
        <v>148</v>
      </c>
      <c r="N410" s="84" t="s">
        <v>72</v>
      </c>
      <c r="O410" s="33" t="s">
        <v>2222</v>
      </c>
      <c r="P410" s="28"/>
      <c r="Q410" s="49" t="s">
        <v>75</v>
      </c>
      <c r="R410" s="25" t="s">
        <v>91</v>
      </c>
      <c r="S410" s="26">
        <v>20</v>
      </c>
      <c r="T410" s="26">
        <v>62</v>
      </c>
      <c r="U410" s="228" t="s">
        <v>2223</v>
      </c>
      <c r="V410" s="66"/>
      <c r="W410" s="225" t="s">
        <v>76</v>
      </c>
      <c r="X410" s="78" t="s">
        <v>78</v>
      </c>
      <c r="Y410" s="26" t="s">
        <v>76</v>
      </c>
      <c r="Z410" s="75" t="s">
        <v>93</v>
      </c>
      <c r="AA410" s="53" t="s">
        <v>76</v>
      </c>
      <c r="AB410" s="26"/>
      <c r="AC410" s="44"/>
    </row>
    <row r="411" spans="1:29" ht="33" hidden="1">
      <c r="A411" s="88">
        <v>401</v>
      </c>
      <c r="B411" s="79" t="s">
        <v>2224</v>
      </c>
      <c r="C411" s="148" t="s">
        <v>8</v>
      </c>
      <c r="D411" s="80" t="s">
        <v>83</v>
      </c>
      <c r="E411" s="27" t="s">
        <v>337</v>
      </c>
      <c r="F411" s="80" t="s">
        <v>338</v>
      </c>
      <c r="G411" s="81" t="s">
        <v>339</v>
      </c>
      <c r="H411" s="80" t="s">
        <v>340</v>
      </c>
      <c r="I411" s="83">
        <v>45509</v>
      </c>
      <c r="J411" s="80" t="s">
        <v>657</v>
      </c>
      <c r="K411" s="80" t="s">
        <v>188</v>
      </c>
      <c r="L411" s="84" t="s">
        <v>189</v>
      </c>
      <c r="M411" s="84" t="s">
        <v>221</v>
      </c>
      <c r="N411" s="84" t="s">
        <v>72</v>
      </c>
      <c r="O411" s="33" t="s">
        <v>2225</v>
      </c>
      <c r="P411" s="28"/>
      <c r="Q411" s="49" t="s">
        <v>91</v>
      </c>
      <c r="R411" s="25"/>
      <c r="S411" s="26">
        <v>10</v>
      </c>
      <c r="T411" s="26" t="s">
        <v>76</v>
      </c>
      <c r="U411" s="228" t="s">
        <v>76</v>
      </c>
      <c r="V411" s="66"/>
      <c r="W411" s="225" t="s">
        <v>76</v>
      </c>
      <c r="X411" s="106" t="s">
        <v>76</v>
      </c>
      <c r="Y411" s="26" t="s">
        <v>76</v>
      </c>
      <c r="Z411" s="75" t="s">
        <v>193</v>
      </c>
      <c r="AA411" s="53" t="s">
        <v>76</v>
      </c>
      <c r="AB411" s="26"/>
      <c r="AC411" s="44"/>
    </row>
    <row r="412" spans="1:29" ht="33" hidden="1">
      <c r="A412" s="88">
        <v>402</v>
      </c>
      <c r="B412" s="79" t="s">
        <v>2226</v>
      </c>
      <c r="C412" s="148" t="s">
        <v>9</v>
      </c>
      <c r="D412" s="80" t="s">
        <v>83</v>
      </c>
      <c r="E412" s="27" t="s">
        <v>1293</v>
      </c>
      <c r="F412" s="80" t="s">
        <v>109</v>
      </c>
      <c r="G412" s="81" t="s">
        <v>1286</v>
      </c>
      <c r="H412" s="80" t="s">
        <v>1294</v>
      </c>
      <c r="I412" s="83">
        <v>45509</v>
      </c>
      <c r="J412" s="80" t="s">
        <v>2227</v>
      </c>
      <c r="K412" s="80" t="s">
        <v>156</v>
      </c>
      <c r="L412" s="84" t="s">
        <v>171</v>
      </c>
      <c r="M412" s="84" t="s">
        <v>148</v>
      </c>
      <c r="N412" s="84" t="s">
        <v>72</v>
      </c>
      <c r="O412" s="33" t="s">
        <v>2228</v>
      </c>
      <c r="P412" s="28"/>
      <c r="Q412" s="49" t="s">
        <v>75</v>
      </c>
      <c r="R412" s="25" t="s">
        <v>91</v>
      </c>
      <c r="S412" s="26">
        <v>25</v>
      </c>
      <c r="T412" s="26">
        <v>68</v>
      </c>
      <c r="U412" s="228" t="s">
        <v>2229</v>
      </c>
      <c r="V412" s="66"/>
      <c r="W412" s="225"/>
      <c r="X412" s="78" t="s">
        <v>78</v>
      </c>
      <c r="Y412" s="26"/>
      <c r="Z412" s="75" t="s">
        <v>106</v>
      </c>
      <c r="AA412" s="53" t="s">
        <v>76</v>
      </c>
      <c r="AB412" s="26"/>
      <c r="AC412" s="44"/>
    </row>
    <row r="413" spans="1:29" ht="49.5" hidden="1">
      <c r="A413" s="88">
        <v>403</v>
      </c>
      <c r="B413" s="79" t="s">
        <v>2230</v>
      </c>
      <c r="C413" s="148" t="s">
        <v>8</v>
      </c>
      <c r="D413" s="80" t="s">
        <v>83</v>
      </c>
      <c r="E413" s="27" t="s">
        <v>1279</v>
      </c>
      <c r="F413" s="80" t="s">
        <v>109</v>
      </c>
      <c r="G413" s="81" t="s">
        <v>910</v>
      </c>
      <c r="H413" s="80" t="s">
        <v>1280</v>
      </c>
      <c r="I413" s="83">
        <v>45509</v>
      </c>
      <c r="J413" s="80" t="s">
        <v>111</v>
      </c>
      <c r="K413" s="80" t="s">
        <v>112</v>
      </c>
      <c r="L413" s="84" t="s">
        <v>113</v>
      </c>
      <c r="M413" s="84" t="s">
        <v>114</v>
      </c>
      <c r="N413" s="84" t="s">
        <v>72</v>
      </c>
      <c r="O413" s="33" t="s">
        <v>2231</v>
      </c>
      <c r="P413" s="28"/>
      <c r="Q413" s="49" t="s">
        <v>75</v>
      </c>
      <c r="R413" s="25" t="s">
        <v>91</v>
      </c>
      <c r="S413" s="26">
        <v>22</v>
      </c>
      <c r="T413" s="55" t="s">
        <v>2082</v>
      </c>
      <c r="U413" s="228" t="s">
        <v>2232</v>
      </c>
      <c r="V413" s="66"/>
      <c r="W413" s="225"/>
      <c r="X413" s="78" t="s">
        <v>78</v>
      </c>
      <c r="Y413" s="26" t="s">
        <v>76</v>
      </c>
      <c r="Z413" s="75" t="s">
        <v>93</v>
      </c>
      <c r="AA413" s="30" t="s">
        <v>2082</v>
      </c>
      <c r="AB413" s="26"/>
      <c r="AC413" s="44"/>
    </row>
    <row r="414" spans="1:29" ht="33" hidden="1">
      <c r="A414" s="88">
        <v>404</v>
      </c>
      <c r="B414" s="79" t="s">
        <v>2233</v>
      </c>
      <c r="C414" s="148" t="s">
        <v>8</v>
      </c>
      <c r="D414" s="80" t="s">
        <v>63</v>
      </c>
      <c r="E414" s="27" t="s">
        <v>2011</v>
      </c>
      <c r="F414" s="80" t="s">
        <v>120</v>
      </c>
      <c r="G414" s="81" t="s">
        <v>1368</v>
      </c>
      <c r="H414" s="80" t="s">
        <v>1856</v>
      </c>
      <c r="I414" s="83">
        <v>45510</v>
      </c>
      <c r="J414" s="80" t="s">
        <v>187</v>
      </c>
      <c r="K414" s="80" t="s">
        <v>188</v>
      </c>
      <c r="L414" s="84" t="s">
        <v>189</v>
      </c>
      <c r="M414" s="84" t="s">
        <v>114</v>
      </c>
      <c r="N414" s="84" t="s">
        <v>72</v>
      </c>
      <c r="O414" s="33" t="s">
        <v>2234</v>
      </c>
      <c r="P414" s="28"/>
      <c r="Q414" s="49" t="s">
        <v>91</v>
      </c>
      <c r="R414" s="25"/>
      <c r="S414" s="26">
        <v>8</v>
      </c>
      <c r="T414" s="26" t="s">
        <v>76</v>
      </c>
      <c r="U414" s="228" t="s">
        <v>2235</v>
      </c>
      <c r="V414" s="66"/>
      <c r="W414" s="225" t="s">
        <v>76</v>
      </c>
      <c r="X414" s="106" t="s">
        <v>76</v>
      </c>
      <c r="Y414" s="26" t="s">
        <v>76</v>
      </c>
      <c r="Z414" s="75" t="s">
        <v>193</v>
      </c>
      <c r="AA414" s="53" t="s">
        <v>76</v>
      </c>
      <c r="AB414" s="26"/>
      <c r="AC414" s="44"/>
    </row>
    <row r="415" spans="1:29" ht="33" hidden="1">
      <c r="A415" s="88">
        <v>405</v>
      </c>
      <c r="B415" s="79" t="s">
        <v>2236</v>
      </c>
      <c r="C415" s="148" t="s">
        <v>8</v>
      </c>
      <c r="D415" s="80" t="s">
        <v>63</v>
      </c>
      <c r="E415" s="27" t="s">
        <v>2011</v>
      </c>
      <c r="F415" s="80" t="s">
        <v>120</v>
      </c>
      <c r="G415" s="81" t="s">
        <v>1368</v>
      </c>
      <c r="H415" s="80" t="s">
        <v>1856</v>
      </c>
      <c r="I415" s="83">
        <v>45510</v>
      </c>
      <c r="J415" s="80" t="s">
        <v>1144</v>
      </c>
      <c r="K415" s="80" t="s">
        <v>188</v>
      </c>
      <c r="L415" s="84" t="s">
        <v>189</v>
      </c>
      <c r="M415" s="84" t="s">
        <v>148</v>
      </c>
      <c r="N415" s="84" t="s">
        <v>72</v>
      </c>
      <c r="O415" s="33" t="s">
        <v>2237</v>
      </c>
      <c r="P415" s="28"/>
      <c r="Q415" s="49" t="s">
        <v>75</v>
      </c>
      <c r="R415" s="196" t="s">
        <v>91</v>
      </c>
      <c r="S415" s="26">
        <v>22</v>
      </c>
      <c r="T415" s="26">
        <v>65</v>
      </c>
      <c r="U415" s="228" t="s">
        <v>2238</v>
      </c>
      <c r="V415" s="66"/>
      <c r="W415" s="225" t="s">
        <v>76</v>
      </c>
      <c r="X415" s="78" t="s">
        <v>78</v>
      </c>
      <c r="Y415" s="26" t="s">
        <v>76</v>
      </c>
      <c r="Z415" s="75" t="s">
        <v>106</v>
      </c>
      <c r="AA415" s="53" t="s">
        <v>76</v>
      </c>
      <c r="AB415" s="26"/>
      <c r="AC415" s="44"/>
    </row>
    <row r="416" spans="1:29" ht="33" hidden="1">
      <c r="A416" s="88">
        <v>406</v>
      </c>
      <c r="B416" s="79" t="s">
        <v>2239</v>
      </c>
      <c r="C416" s="148" t="s">
        <v>8</v>
      </c>
      <c r="D416" s="80" t="s">
        <v>63</v>
      </c>
      <c r="E416" s="27" t="s">
        <v>2011</v>
      </c>
      <c r="F416" s="80" t="s">
        <v>120</v>
      </c>
      <c r="G416" s="81" t="s">
        <v>1368</v>
      </c>
      <c r="H416" s="80" t="s">
        <v>1856</v>
      </c>
      <c r="I416" s="83">
        <v>45510</v>
      </c>
      <c r="J416" s="80" t="s">
        <v>145</v>
      </c>
      <c r="K416" s="80" t="s">
        <v>112</v>
      </c>
      <c r="L416" s="84" t="s">
        <v>147</v>
      </c>
      <c r="M416" s="84" t="s">
        <v>148</v>
      </c>
      <c r="N416" s="84" t="s">
        <v>72</v>
      </c>
      <c r="O416" s="33" t="s">
        <v>2240</v>
      </c>
      <c r="P416" s="28"/>
      <c r="Q416" s="49" t="s">
        <v>75</v>
      </c>
      <c r="R416" s="196" t="s">
        <v>91</v>
      </c>
      <c r="S416" s="26">
        <v>21</v>
      </c>
      <c r="T416" s="26">
        <v>71</v>
      </c>
      <c r="U416" s="228" t="s">
        <v>2241</v>
      </c>
      <c r="V416" s="66"/>
      <c r="W416" s="225" t="s">
        <v>76</v>
      </c>
      <c r="X416" s="78" t="s">
        <v>78</v>
      </c>
      <c r="Y416" s="26" t="s">
        <v>76</v>
      </c>
      <c r="Z416" s="75" t="s">
        <v>106</v>
      </c>
      <c r="AA416" s="53" t="s">
        <v>76</v>
      </c>
      <c r="AB416" s="26"/>
      <c r="AC416" s="44"/>
    </row>
    <row r="417" spans="1:29" ht="66" hidden="1">
      <c r="A417" s="88">
        <v>407</v>
      </c>
      <c r="B417" s="79" t="s">
        <v>2242</v>
      </c>
      <c r="C417" s="148" t="s">
        <v>9</v>
      </c>
      <c r="D417" s="80" t="s">
        <v>83</v>
      </c>
      <c r="E417" s="27" t="s">
        <v>1293</v>
      </c>
      <c r="F417" s="80" t="s">
        <v>109</v>
      </c>
      <c r="G417" s="81" t="s">
        <v>1286</v>
      </c>
      <c r="H417" s="80" t="s">
        <v>1294</v>
      </c>
      <c r="I417" s="83">
        <v>45510</v>
      </c>
      <c r="J417" s="80" t="s">
        <v>111</v>
      </c>
      <c r="K417" s="80" t="s">
        <v>112</v>
      </c>
      <c r="L417" s="84" t="s">
        <v>113</v>
      </c>
      <c r="M417" s="84" t="s">
        <v>114</v>
      </c>
      <c r="N417" s="84" t="s">
        <v>72</v>
      </c>
      <c r="O417" s="33" t="s">
        <v>2243</v>
      </c>
      <c r="P417" s="28"/>
      <c r="Q417" s="49" t="s">
        <v>75</v>
      </c>
      <c r="R417" s="25" t="s">
        <v>75</v>
      </c>
      <c r="S417" s="26">
        <v>23</v>
      </c>
      <c r="T417" s="26">
        <v>74</v>
      </c>
      <c r="U417" s="228" t="s">
        <v>2244</v>
      </c>
      <c r="V417" s="66" t="s">
        <v>75</v>
      </c>
      <c r="W417" s="225" t="s">
        <v>368</v>
      </c>
      <c r="X417" s="78" t="s">
        <v>78</v>
      </c>
      <c r="Y417" s="106" t="s">
        <v>369</v>
      </c>
      <c r="Z417" s="75" t="s">
        <v>79</v>
      </c>
      <c r="AA417" s="53" t="s">
        <v>76</v>
      </c>
      <c r="AB417" s="26"/>
      <c r="AC417" s="44"/>
    </row>
    <row r="418" spans="1:29" ht="33" hidden="1">
      <c r="A418" s="88">
        <v>408</v>
      </c>
      <c r="B418" s="79" t="s">
        <v>2245</v>
      </c>
      <c r="C418" s="148" t="s">
        <v>9</v>
      </c>
      <c r="D418" s="80" t="s">
        <v>83</v>
      </c>
      <c r="E418" s="27" t="s">
        <v>1316</v>
      </c>
      <c r="F418" s="80" t="s">
        <v>120</v>
      </c>
      <c r="G418" s="81" t="s">
        <v>1286</v>
      </c>
      <c r="H418" s="80" t="s">
        <v>1317</v>
      </c>
      <c r="I418" s="83">
        <v>45510</v>
      </c>
      <c r="J418" s="80" t="s">
        <v>111</v>
      </c>
      <c r="K418" s="80" t="s">
        <v>112</v>
      </c>
      <c r="L418" s="84" t="s">
        <v>113</v>
      </c>
      <c r="M418" s="84" t="s">
        <v>114</v>
      </c>
      <c r="N418" s="84" t="s">
        <v>72</v>
      </c>
      <c r="O418" s="33" t="s">
        <v>2246</v>
      </c>
      <c r="P418" s="28"/>
      <c r="Q418" s="49" t="s">
        <v>75</v>
      </c>
      <c r="R418" s="25" t="s">
        <v>91</v>
      </c>
      <c r="S418" s="26">
        <v>22</v>
      </c>
      <c r="T418" s="26">
        <v>66</v>
      </c>
      <c r="U418" s="228" t="s">
        <v>2247</v>
      </c>
      <c r="V418" s="66"/>
      <c r="W418" s="225" t="s">
        <v>76</v>
      </c>
      <c r="X418" s="78" t="s">
        <v>78</v>
      </c>
      <c r="Y418" s="26" t="s">
        <v>76</v>
      </c>
      <c r="Z418" s="75" t="s">
        <v>93</v>
      </c>
      <c r="AA418" s="53" t="s">
        <v>76</v>
      </c>
      <c r="AB418" s="26"/>
      <c r="AC418" s="44"/>
    </row>
    <row r="419" spans="1:29" ht="49.5" hidden="1">
      <c r="A419" s="88">
        <v>409</v>
      </c>
      <c r="B419" s="79" t="s">
        <v>2248</v>
      </c>
      <c r="C419" s="148" t="s">
        <v>8</v>
      </c>
      <c r="D419" s="80" t="s">
        <v>63</v>
      </c>
      <c r="E419" s="27" t="s">
        <v>710</v>
      </c>
      <c r="F419" s="80" t="s">
        <v>109</v>
      </c>
      <c r="G419" s="81" t="s">
        <v>686</v>
      </c>
      <c r="H419" s="80" t="s">
        <v>711</v>
      </c>
      <c r="I419" s="83">
        <v>45511</v>
      </c>
      <c r="J419" s="80" t="s">
        <v>241</v>
      </c>
      <c r="K419" s="80" t="s">
        <v>198</v>
      </c>
      <c r="L419" s="84" t="s">
        <v>199</v>
      </c>
      <c r="M419" s="84" t="s">
        <v>221</v>
      </c>
      <c r="N419" s="84" t="s">
        <v>72</v>
      </c>
      <c r="O419" s="33" t="s">
        <v>2249</v>
      </c>
      <c r="P419" s="28"/>
      <c r="Q419" s="49" t="s">
        <v>75</v>
      </c>
      <c r="R419" s="25" t="s">
        <v>91</v>
      </c>
      <c r="S419" s="26">
        <v>26</v>
      </c>
      <c r="T419" s="26">
        <v>60</v>
      </c>
      <c r="U419" s="265" t="s">
        <v>2250</v>
      </c>
      <c r="V419" s="66"/>
      <c r="W419" s="225"/>
      <c r="X419" s="78" t="s">
        <v>78</v>
      </c>
      <c r="Y419" s="106" t="s">
        <v>76</v>
      </c>
      <c r="Z419" s="136" t="s">
        <v>93</v>
      </c>
      <c r="AA419" s="30" t="s">
        <v>76</v>
      </c>
      <c r="AC419" s="40"/>
    </row>
    <row r="420" spans="1:29" ht="33" hidden="1">
      <c r="A420" s="88">
        <v>410</v>
      </c>
      <c r="B420" s="79" t="s">
        <v>2251</v>
      </c>
      <c r="C420" s="148" t="s">
        <v>9</v>
      </c>
      <c r="D420" s="80" t="s">
        <v>83</v>
      </c>
      <c r="E420" s="27" t="s">
        <v>1321</v>
      </c>
      <c r="F420" s="80" t="s">
        <v>65</v>
      </c>
      <c r="G420" s="81" t="s">
        <v>1286</v>
      </c>
      <c r="H420" s="80" t="s">
        <v>1322</v>
      </c>
      <c r="I420" s="83">
        <v>45512</v>
      </c>
      <c r="J420" s="80" t="s">
        <v>657</v>
      </c>
      <c r="K420" s="80" t="s">
        <v>188</v>
      </c>
      <c r="L420" s="84" t="s">
        <v>189</v>
      </c>
      <c r="M420" s="84" t="s">
        <v>221</v>
      </c>
      <c r="N420" s="84" t="s">
        <v>72</v>
      </c>
      <c r="O420" s="33" t="s">
        <v>2252</v>
      </c>
      <c r="P420" s="28"/>
      <c r="Q420" s="49" t="s">
        <v>91</v>
      </c>
      <c r="R420" s="25"/>
      <c r="S420" s="26">
        <v>10</v>
      </c>
      <c r="T420" s="26" t="s">
        <v>76</v>
      </c>
      <c r="U420" s="228" t="s">
        <v>76</v>
      </c>
      <c r="V420" s="66"/>
      <c r="W420" s="225" t="s">
        <v>76</v>
      </c>
      <c r="X420" s="106" t="s">
        <v>76</v>
      </c>
      <c r="Y420" s="26" t="s">
        <v>76</v>
      </c>
      <c r="Z420" s="75" t="s">
        <v>193</v>
      </c>
      <c r="AA420" s="53" t="s">
        <v>76</v>
      </c>
      <c r="AB420" s="26"/>
      <c r="AC420" s="44"/>
    </row>
    <row r="421" spans="1:29" ht="33" hidden="1">
      <c r="A421" s="88">
        <v>411</v>
      </c>
      <c r="B421" s="79" t="s">
        <v>2253</v>
      </c>
      <c r="C421" s="148" t="s">
        <v>8</v>
      </c>
      <c r="D421" s="80" t="s">
        <v>63</v>
      </c>
      <c r="E421" s="27" t="s">
        <v>1498</v>
      </c>
      <c r="F421" s="80" t="s">
        <v>109</v>
      </c>
      <c r="G421" s="81" t="s">
        <v>1413</v>
      </c>
      <c r="H421" s="80" t="s">
        <v>1499</v>
      </c>
      <c r="I421" s="83">
        <v>45513</v>
      </c>
      <c r="J421" s="80" t="s">
        <v>657</v>
      </c>
      <c r="K421" s="80" t="s">
        <v>188</v>
      </c>
      <c r="L421" s="84" t="s">
        <v>189</v>
      </c>
      <c r="M421" s="84" t="s">
        <v>221</v>
      </c>
      <c r="N421" s="84" t="s">
        <v>72</v>
      </c>
      <c r="O421" s="33" t="s">
        <v>2254</v>
      </c>
      <c r="P421" s="28"/>
      <c r="Q421" s="49" t="s">
        <v>91</v>
      </c>
      <c r="R421" s="25"/>
      <c r="S421" s="26">
        <v>11</v>
      </c>
      <c r="T421" s="26" t="s">
        <v>76</v>
      </c>
      <c r="U421" s="228" t="s">
        <v>76</v>
      </c>
      <c r="V421" s="66"/>
      <c r="W421" s="225" t="s">
        <v>76</v>
      </c>
      <c r="X421" s="106" t="s">
        <v>76</v>
      </c>
      <c r="Y421" s="26" t="s">
        <v>76</v>
      </c>
      <c r="Z421" s="75" t="s">
        <v>193</v>
      </c>
      <c r="AA421" s="53" t="s">
        <v>76</v>
      </c>
      <c r="AB421" s="26"/>
      <c r="AC421" s="44"/>
    </row>
    <row r="422" spans="1:29" ht="33" hidden="1">
      <c r="A422" s="88">
        <v>412</v>
      </c>
      <c r="B422" s="79" t="s">
        <v>2255</v>
      </c>
      <c r="C422" s="148" t="s">
        <v>8</v>
      </c>
      <c r="D422" s="80" t="s">
        <v>63</v>
      </c>
      <c r="E422" s="27" t="s">
        <v>2011</v>
      </c>
      <c r="F422" s="80" t="s">
        <v>120</v>
      </c>
      <c r="G422" s="81" t="s">
        <v>1368</v>
      </c>
      <c r="H422" s="80" t="s">
        <v>1856</v>
      </c>
      <c r="I422" s="83">
        <v>45516</v>
      </c>
      <c r="J422" s="80" t="s">
        <v>657</v>
      </c>
      <c r="K422" s="80" t="s">
        <v>188</v>
      </c>
      <c r="L422" s="84" t="s">
        <v>189</v>
      </c>
      <c r="M422" s="84" t="s">
        <v>221</v>
      </c>
      <c r="N422" s="84" t="s">
        <v>72</v>
      </c>
      <c r="O422" s="33" t="s">
        <v>2256</v>
      </c>
      <c r="P422" s="28"/>
      <c r="Q422" s="49" t="s">
        <v>75</v>
      </c>
      <c r="R422" s="196" t="s">
        <v>91</v>
      </c>
      <c r="S422" s="26">
        <v>20</v>
      </c>
      <c r="T422" s="26">
        <v>67</v>
      </c>
      <c r="U422" s="228" t="s">
        <v>2257</v>
      </c>
      <c r="V422" s="66"/>
      <c r="W422" s="225" t="s">
        <v>76</v>
      </c>
      <c r="X422" s="78" t="s">
        <v>78</v>
      </c>
      <c r="Y422" s="26" t="s">
        <v>76</v>
      </c>
      <c r="Z422" s="75" t="s">
        <v>106</v>
      </c>
      <c r="AA422" s="53" t="s">
        <v>76</v>
      </c>
      <c r="AB422" s="26"/>
      <c r="AC422" s="44"/>
    </row>
    <row r="423" spans="1:29" ht="33" hidden="1">
      <c r="A423" s="98">
        <v>413</v>
      </c>
      <c r="B423" s="79" t="s">
        <v>2258</v>
      </c>
      <c r="C423" s="148" t="s">
        <v>399</v>
      </c>
      <c r="D423" s="80" t="s">
        <v>83</v>
      </c>
      <c r="E423" s="27" t="s">
        <v>2259</v>
      </c>
      <c r="F423" s="80" t="s">
        <v>65</v>
      </c>
      <c r="G423" s="81" t="s">
        <v>2260</v>
      </c>
      <c r="H423" s="80" t="s">
        <v>2261</v>
      </c>
      <c r="I423" s="83">
        <v>45516</v>
      </c>
      <c r="J423" s="80" t="s">
        <v>594</v>
      </c>
      <c r="K423" s="80" t="s">
        <v>491</v>
      </c>
      <c r="L423" s="84" t="s">
        <v>251</v>
      </c>
      <c r="M423" s="84" t="s">
        <v>595</v>
      </c>
      <c r="N423" s="84" t="s">
        <v>72</v>
      </c>
      <c r="O423" s="33" t="s">
        <v>2262</v>
      </c>
      <c r="P423" s="28"/>
      <c r="Q423" s="49" t="s">
        <v>75</v>
      </c>
      <c r="R423" s="196" t="s">
        <v>91</v>
      </c>
      <c r="S423" s="26">
        <v>25</v>
      </c>
      <c r="T423" s="26" t="s">
        <v>76</v>
      </c>
      <c r="U423" s="228" t="s">
        <v>2211</v>
      </c>
      <c r="V423" s="66"/>
      <c r="W423" s="225" t="s">
        <v>76</v>
      </c>
      <c r="X423" s="78" t="s">
        <v>78</v>
      </c>
      <c r="Y423" s="26" t="s">
        <v>76</v>
      </c>
      <c r="Z423" s="75" t="s">
        <v>106</v>
      </c>
      <c r="AA423" s="30" t="s">
        <v>76</v>
      </c>
      <c r="AB423" s="26"/>
      <c r="AC423" s="44"/>
    </row>
    <row r="424" spans="1:29" ht="33" hidden="1">
      <c r="A424" s="98">
        <v>414</v>
      </c>
      <c r="B424" s="79" t="s">
        <v>2263</v>
      </c>
      <c r="C424" s="148" t="s">
        <v>399</v>
      </c>
      <c r="D424" s="80" t="s">
        <v>83</v>
      </c>
      <c r="E424" s="27" t="s">
        <v>2264</v>
      </c>
      <c r="F424" s="80" t="s">
        <v>120</v>
      </c>
      <c r="G424" s="81" t="s">
        <v>2260</v>
      </c>
      <c r="H424" s="80" t="s">
        <v>2265</v>
      </c>
      <c r="I424" s="156">
        <v>45516</v>
      </c>
      <c r="J424" s="80" t="s">
        <v>594</v>
      </c>
      <c r="K424" s="80" t="s">
        <v>491</v>
      </c>
      <c r="L424" s="84" t="s">
        <v>251</v>
      </c>
      <c r="M424" s="84" t="s">
        <v>595</v>
      </c>
      <c r="N424" s="84" t="s">
        <v>72</v>
      </c>
      <c r="O424" s="33" t="s">
        <v>2266</v>
      </c>
      <c r="P424" s="28"/>
      <c r="Q424" s="49" t="s">
        <v>75</v>
      </c>
      <c r="R424" s="196" t="s">
        <v>91</v>
      </c>
      <c r="S424" s="26">
        <v>26</v>
      </c>
      <c r="T424" s="26" t="s">
        <v>76</v>
      </c>
      <c r="U424" s="267" t="s">
        <v>2267</v>
      </c>
      <c r="V424" s="66"/>
      <c r="W424" s="225" t="s">
        <v>76</v>
      </c>
      <c r="X424" s="78" t="s">
        <v>78</v>
      </c>
      <c r="Y424" s="26" t="s">
        <v>76</v>
      </c>
      <c r="Z424" s="75" t="s">
        <v>106</v>
      </c>
      <c r="AA424" s="30" t="s">
        <v>76</v>
      </c>
      <c r="AB424" s="26"/>
      <c r="AC424" s="44"/>
    </row>
    <row r="425" spans="1:29" ht="33" hidden="1">
      <c r="A425" s="98">
        <v>415</v>
      </c>
      <c r="B425" s="79" t="s">
        <v>2268</v>
      </c>
      <c r="C425" s="148" t="s">
        <v>8</v>
      </c>
      <c r="D425" s="80" t="s">
        <v>63</v>
      </c>
      <c r="E425" s="27" t="s">
        <v>1983</v>
      </c>
      <c r="F425" s="80" t="s">
        <v>109</v>
      </c>
      <c r="G425" s="81" t="s">
        <v>1041</v>
      </c>
      <c r="H425" s="80" t="s">
        <v>1984</v>
      </c>
      <c r="I425" s="156">
        <v>45518</v>
      </c>
      <c r="J425" s="80" t="s">
        <v>594</v>
      </c>
      <c r="K425" s="80" t="s">
        <v>69</v>
      </c>
      <c r="L425" s="84" t="s">
        <v>251</v>
      </c>
      <c r="M425" s="84" t="s">
        <v>595</v>
      </c>
      <c r="N425" s="84" t="s">
        <v>72</v>
      </c>
      <c r="O425" s="33" t="s">
        <v>2269</v>
      </c>
      <c r="P425" s="28"/>
      <c r="Q425" s="49" t="s">
        <v>75</v>
      </c>
      <c r="R425" s="25" t="s">
        <v>91</v>
      </c>
      <c r="S425" s="26">
        <v>20</v>
      </c>
      <c r="T425" s="26">
        <v>55</v>
      </c>
      <c r="U425" s="228" t="s">
        <v>2270</v>
      </c>
      <c r="V425" s="66"/>
      <c r="W425" s="225" t="s">
        <v>76</v>
      </c>
      <c r="X425" s="78" t="s">
        <v>78</v>
      </c>
      <c r="Y425" s="26" t="s">
        <v>76</v>
      </c>
      <c r="Z425" s="75" t="s">
        <v>93</v>
      </c>
      <c r="AA425" s="30" t="s">
        <v>76</v>
      </c>
      <c r="AB425" s="26"/>
      <c r="AC425" s="44"/>
    </row>
    <row r="426" spans="1:29" ht="66" hidden="1">
      <c r="A426" s="98">
        <v>416</v>
      </c>
      <c r="B426" s="79" t="s">
        <v>2271</v>
      </c>
      <c r="C426" s="148" t="s">
        <v>8</v>
      </c>
      <c r="D426" s="80" t="s">
        <v>63</v>
      </c>
      <c r="E426" s="27" t="s">
        <v>2272</v>
      </c>
      <c r="F426" s="80" t="s">
        <v>65</v>
      </c>
      <c r="G426" s="81" t="s">
        <v>66</v>
      </c>
      <c r="H426" s="80" t="s">
        <v>1812</v>
      </c>
      <c r="I426" s="156">
        <v>45520</v>
      </c>
      <c r="J426" s="80" t="s">
        <v>1144</v>
      </c>
      <c r="K426" s="80" t="s">
        <v>146</v>
      </c>
      <c r="L426" s="84" t="s">
        <v>189</v>
      </c>
      <c r="M426" s="84" t="s">
        <v>148</v>
      </c>
      <c r="N426" s="84" t="s">
        <v>72</v>
      </c>
      <c r="O426" s="33" t="s">
        <v>2273</v>
      </c>
      <c r="P426" s="28"/>
      <c r="Q426" s="49" t="s">
        <v>75</v>
      </c>
      <c r="R426" s="25" t="s">
        <v>91</v>
      </c>
      <c r="S426" s="26">
        <v>18</v>
      </c>
      <c r="T426" s="26">
        <v>60</v>
      </c>
      <c r="U426" s="228" t="s">
        <v>2274</v>
      </c>
      <c r="V426" s="66"/>
      <c r="W426" s="225" t="s">
        <v>76</v>
      </c>
      <c r="X426" s="78" t="s">
        <v>78</v>
      </c>
      <c r="Y426" s="26" t="s">
        <v>76</v>
      </c>
      <c r="Z426" s="75" t="s">
        <v>93</v>
      </c>
      <c r="AA426" s="30" t="s">
        <v>76</v>
      </c>
      <c r="AB426" s="26"/>
      <c r="AC426" s="44"/>
    </row>
    <row r="427" spans="1:29" ht="33" hidden="1">
      <c r="A427" s="98">
        <v>417</v>
      </c>
      <c r="B427" s="79" t="s">
        <v>2275</v>
      </c>
      <c r="C427" s="148" t="s">
        <v>8</v>
      </c>
      <c r="D427" s="80" t="s">
        <v>63</v>
      </c>
      <c r="E427" s="27" t="s">
        <v>2006</v>
      </c>
      <c r="F427" s="80" t="s">
        <v>109</v>
      </c>
      <c r="G427" s="81" t="s">
        <v>277</v>
      </c>
      <c r="H427" s="80" t="s">
        <v>2007</v>
      </c>
      <c r="I427" s="156">
        <v>45525</v>
      </c>
      <c r="J427" s="80" t="s">
        <v>111</v>
      </c>
      <c r="K427" s="80" t="s">
        <v>112</v>
      </c>
      <c r="L427" s="84" t="s">
        <v>113</v>
      </c>
      <c r="M427" s="84" t="s">
        <v>114</v>
      </c>
      <c r="N427" s="84" t="s">
        <v>72</v>
      </c>
      <c r="O427" s="33" t="s">
        <v>2276</v>
      </c>
      <c r="P427" s="28"/>
      <c r="Q427" s="49" t="s">
        <v>75</v>
      </c>
      <c r="R427" s="25" t="s">
        <v>91</v>
      </c>
      <c r="S427" s="26">
        <v>20</v>
      </c>
      <c r="T427" s="26">
        <v>61</v>
      </c>
      <c r="U427" s="228" t="s">
        <v>2277</v>
      </c>
      <c r="V427" s="66"/>
      <c r="W427" s="225"/>
      <c r="X427" s="78" t="s">
        <v>78</v>
      </c>
      <c r="Y427" s="26" t="s">
        <v>76</v>
      </c>
      <c r="Z427" s="75" t="s">
        <v>93</v>
      </c>
      <c r="AA427" s="30" t="s">
        <v>76</v>
      </c>
      <c r="AB427" s="26"/>
      <c r="AC427" s="44"/>
    </row>
    <row r="428" spans="1:29" ht="49.5" hidden="1">
      <c r="A428" s="98">
        <v>418</v>
      </c>
      <c r="B428" s="79" t="s">
        <v>2278</v>
      </c>
      <c r="C428" s="148" t="s">
        <v>8</v>
      </c>
      <c r="D428" s="80" t="s">
        <v>63</v>
      </c>
      <c r="E428" s="27" t="s">
        <v>2006</v>
      </c>
      <c r="F428" s="80" t="s">
        <v>109</v>
      </c>
      <c r="G428" s="81" t="s">
        <v>277</v>
      </c>
      <c r="H428" s="80" t="s">
        <v>2007</v>
      </c>
      <c r="I428" s="156">
        <v>45526</v>
      </c>
      <c r="J428" s="80" t="s">
        <v>111</v>
      </c>
      <c r="K428" s="80" t="s">
        <v>112</v>
      </c>
      <c r="L428" s="84" t="s">
        <v>122</v>
      </c>
      <c r="M428" s="84" t="s">
        <v>114</v>
      </c>
      <c r="N428" s="84" t="s">
        <v>72</v>
      </c>
      <c r="O428" s="33" t="s">
        <v>2279</v>
      </c>
      <c r="P428" s="28"/>
      <c r="Q428" s="49" t="s">
        <v>75</v>
      </c>
      <c r="R428" s="25" t="s">
        <v>91</v>
      </c>
      <c r="S428" s="26">
        <v>20</v>
      </c>
      <c r="T428" s="26">
        <v>63</v>
      </c>
      <c r="U428" s="228" t="s">
        <v>2280</v>
      </c>
      <c r="V428" s="66"/>
      <c r="W428" s="225" t="s">
        <v>76</v>
      </c>
      <c r="X428" s="78" t="s">
        <v>78</v>
      </c>
      <c r="Y428" s="26" t="s">
        <v>76</v>
      </c>
      <c r="Z428" s="75" t="s">
        <v>93</v>
      </c>
      <c r="AA428" s="30" t="s">
        <v>76</v>
      </c>
      <c r="AB428" s="26"/>
      <c r="AC428" s="44"/>
    </row>
    <row r="429" spans="1:29" ht="33" hidden="1">
      <c r="A429" s="98">
        <v>419</v>
      </c>
      <c r="B429" s="79" t="s">
        <v>2281</v>
      </c>
      <c r="C429" s="148" t="s">
        <v>2146</v>
      </c>
      <c r="D429" s="80" t="s">
        <v>83</v>
      </c>
      <c r="E429" s="27" t="s">
        <v>2282</v>
      </c>
      <c r="F429" s="80" t="s">
        <v>120</v>
      </c>
      <c r="G429" s="81" t="s">
        <v>2148</v>
      </c>
      <c r="H429" s="80" t="s">
        <v>2283</v>
      </c>
      <c r="I429" s="156">
        <v>45531</v>
      </c>
      <c r="J429" s="80" t="s">
        <v>250</v>
      </c>
      <c r="K429" s="80" t="s">
        <v>69</v>
      </c>
      <c r="L429" s="84" t="s">
        <v>251</v>
      </c>
      <c r="M429" s="84" t="s">
        <v>252</v>
      </c>
      <c r="N429" s="84" t="s">
        <v>920</v>
      </c>
      <c r="O429" s="33" t="s">
        <v>2284</v>
      </c>
      <c r="P429" s="28"/>
      <c r="Q429" s="49" t="s">
        <v>75</v>
      </c>
      <c r="R429" s="25" t="s">
        <v>91</v>
      </c>
      <c r="S429" s="26">
        <v>22</v>
      </c>
      <c r="T429" s="26">
        <v>54</v>
      </c>
      <c r="U429" s="228" t="s">
        <v>2285</v>
      </c>
      <c r="V429" s="66"/>
      <c r="W429" s="225" t="s">
        <v>76</v>
      </c>
      <c r="X429" s="78" t="s">
        <v>78</v>
      </c>
      <c r="Y429" s="26" t="s">
        <v>76</v>
      </c>
      <c r="Z429" s="75" t="s">
        <v>106</v>
      </c>
      <c r="AA429" s="30" t="s">
        <v>76</v>
      </c>
      <c r="AB429" s="26"/>
      <c r="AC429" s="44"/>
    </row>
    <row r="430" spans="1:29" ht="49.5" hidden="1">
      <c r="A430" s="98">
        <v>420</v>
      </c>
      <c r="B430" s="79" t="s">
        <v>2286</v>
      </c>
      <c r="C430" s="148" t="s">
        <v>8</v>
      </c>
      <c r="D430" s="80" t="s">
        <v>63</v>
      </c>
      <c r="E430" s="27" t="s">
        <v>2006</v>
      </c>
      <c r="F430" s="80" t="s">
        <v>109</v>
      </c>
      <c r="G430" s="81" t="s">
        <v>277</v>
      </c>
      <c r="H430" s="80" t="s">
        <v>2007</v>
      </c>
      <c r="I430" s="156">
        <v>45531</v>
      </c>
      <c r="J430" s="80" t="s">
        <v>111</v>
      </c>
      <c r="K430" s="80" t="s">
        <v>112</v>
      </c>
      <c r="L430" s="84" t="s">
        <v>122</v>
      </c>
      <c r="M430" s="84" t="s">
        <v>114</v>
      </c>
      <c r="N430" s="84" t="s">
        <v>72</v>
      </c>
      <c r="O430" s="33" t="s">
        <v>2287</v>
      </c>
      <c r="P430" s="28"/>
      <c r="Q430" s="49" t="s">
        <v>75</v>
      </c>
      <c r="R430" s="25" t="s">
        <v>91</v>
      </c>
      <c r="S430" s="26">
        <v>20</v>
      </c>
      <c r="T430" s="26">
        <v>63</v>
      </c>
      <c r="U430" s="228" t="s">
        <v>2280</v>
      </c>
      <c r="V430" s="66"/>
      <c r="W430" s="225" t="s">
        <v>76</v>
      </c>
      <c r="X430" s="78" t="s">
        <v>78</v>
      </c>
      <c r="Y430" s="26" t="s">
        <v>76</v>
      </c>
      <c r="Z430" s="75" t="s">
        <v>93</v>
      </c>
      <c r="AA430" s="30" t="s">
        <v>76</v>
      </c>
      <c r="AB430" s="26"/>
      <c r="AC430" s="44"/>
    </row>
    <row r="431" spans="1:29" ht="49.5" hidden="1">
      <c r="A431" s="98">
        <v>421</v>
      </c>
      <c r="B431" s="79" t="s">
        <v>2288</v>
      </c>
      <c r="C431" s="148" t="s">
        <v>8</v>
      </c>
      <c r="D431" s="80" t="s">
        <v>63</v>
      </c>
      <c r="E431" s="27">
        <v>702643</v>
      </c>
      <c r="F431" s="80" t="s">
        <v>831</v>
      </c>
      <c r="G431" s="81" t="s">
        <v>1041</v>
      </c>
      <c r="H431" s="80" t="s">
        <v>428</v>
      </c>
      <c r="I431" s="156">
        <v>45536</v>
      </c>
      <c r="J431" s="80" t="s">
        <v>170</v>
      </c>
      <c r="K431" s="80" t="s">
        <v>156</v>
      </c>
      <c r="L431" s="84" t="s">
        <v>171</v>
      </c>
      <c r="M431" s="84" t="s">
        <v>71</v>
      </c>
      <c r="N431" s="84" t="s">
        <v>72</v>
      </c>
      <c r="O431" s="33" t="s">
        <v>2289</v>
      </c>
      <c r="P431" s="28" t="s">
        <v>2290</v>
      </c>
      <c r="Q431" s="49" t="s">
        <v>75</v>
      </c>
      <c r="R431" s="25" t="s">
        <v>91</v>
      </c>
      <c r="S431" s="26">
        <v>18</v>
      </c>
      <c r="T431" s="26">
        <v>66</v>
      </c>
      <c r="U431" s="61" t="s">
        <v>2291</v>
      </c>
      <c r="V431" s="66"/>
      <c r="W431" s="106"/>
      <c r="X431" s="106" t="s">
        <v>369</v>
      </c>
      <c r="Y431" s="26" t="s">
        <v>76</v>
      </c>
      <c r="Z431" s="75" t="s">
        <v>93</v>
      </c>
      <c r="AA431" s="53" t="s">
        <v>76</v>
      </c>
      <c r="AB431" s="26"/>
      <c r="AC431" s="44"/>
    </row>
    <row r="432" spans="1:29" ht="49.5" hidden="1">
      <c r="A432" s="98">
        <v>422</v>
      </c>
      <c r="B432" s="79" t="s">
        <v>2292</v>
      </c>
      <c r="C432" s="148" t="s">
        <v>8</v>
      </c>
      <c r="D432" s="80" t="s">
        <v>63</v>
      </c>
      <c r="E432" s="27" t="s">
        <v>2099</v>
      </c>
      <c r="F432" s="80" t="s">
        <v>65</v>
      </c>
      <c r="G432" s="81" t="s">
        <v>2100</v>
      </c>
      <c r="H432" s="80" t="s">
        <v>2101</v>
      </c>
      <c r="I432" s="156">
        <v>45537</v>
      </c>
      <c r="J432" s="80" t="s">
        <v>2293</v>
      </c>
      <c r="K432" s="80" t="s">
        <v>299</v>
      </c>
      <c r="L432" s="84" t="s">
        <v>189</v>
      </c>
      <c r="M432" s="84" t="s">
        <v>595</v>
      </c>
      <c r="N432" s="84" t="s">
        <v>72</v>
      </c>
      <c r="O432" s="33" t="s">
        <v>2294</v>
      </c>
      <c r="P432" s="28" t="s">
        <v>2295</v>
      </c>
      <c r="Q432" s="49" t="s">
        <v>75</v>
      </c>
      <c r="R432" s="25" t="s">
        <v>91</v>
      </c>
      <c r="S432" s="26">
        <v>18</v>
      </c>
      <c r="T432" s="26">
        <v>54</v>
      </c>
      <c r="U432" s="61" t="s">
        <v>2296</v>
      </c>
      <c r="V432" s="66"/>
      <c r="W432" s="106"/>
      <c r="X432" s="106" t="s">
        <v>369</v>
      </c>
      <c r="Y432" s="26" t="s">
        <v>76</v>
      </c>
      <c r="Z432" s="75" t="s">
        <v>93</v>
      </c>
      <c r="AA432" s="53" t="s">
        <v>76</v>
      </c>
      <c r="AB432" s="26"/>
      <c r="AC432" s="44"/>
    </row>
    <row r="433" spans="1:29" ht="82.5" hidden="1">
      <c r="A433" s="98">
        <v>423</v>
      </c>
      <c r="B433" s="79" t="s">
        <v>2297</v>
      </c>
      <c r="C433" s="148" t="s">
        <v>8</v>
      </c>
      <c r="D433" s="80" t="s">
        <v>63</v>
      </c>
      <c r="E433" s="27" t="s">
        <v>2298</v>
      </c>
      <c r="F433" s="80" t="s">
        <v>338</v>
      </c>
      <c r="G433" s="81" t="s">
        <v>2299</v>
      </c>
      <c r="H433" s="80" t="s">
        <v>2300</v>
      </c>
      <c r="I433" s="156">
        <v>45537</v>
      </c>
      <c r="J433" s="80" t="s">
        <v>187</v>
      </c>
      <c r="K433" s="80" t="s">
        <v>299</v>
      </c>
      <c r="L433" s="84" t="s">
        <v>189</v>
      </c>
      <c r="M433" s="84" t="s">
        <v>114</v>
      </c>
      <c r="N433" s="84" t="s">
        <v>72</v>
      </c>
      <c r="O433" s="33" t="s">
        <v>2301</v>
      </c>
      <c r="P433" s="28" t="s">
        <v>2302</v>
      </c>
      <c r="Q433" s="49" t="s">
        <v>75</v>
      </c>
      <c r="R433" s="180" t="s">
        <v>504</v>
      </c>
      <c r="S433" s="26">
        <v>23</v>
      </c>
      <c r="T433" s="26">
        <v>74</v>
      </c>
      <c r="U433" s="61" t="s">
        <v>2303</v>
      </c>
      <c r="V433" s="66"/>
      <c r="W433" s="106"/>
      <c r="X433" s="106" t="s">
        <v>369</v>
      </c>
      <c r="Y433" s="26" t="s">
        <v>76</v>
      </c>
      <c r="Z433" s="75" t="s">
        <v>106</v>
      </c>
      <c r="AA433" s="53" t="s">
        <v>76</v>
      </c>
      <c r="AB433" s="26"/>
      <c r="AC433" s="44"/>
    </row>
    <row r="434" spans="1:29" ht="33" hidden="1">
      <c r="A434" s="98">
        <v>424</v>
      </c>
      <c r="B434" s="79" t="s">
        <v>2304</v>
      </c>
      <c r="C434" s="148" t="s">
        <v>8</v>
      </c>
      <c r="D434" s="80" t="s">
        <v>63</v>
      </c>
      <c r="E434" s="27" t="s">
        <v>2305</v>
      </c>
      <c r="F434" s="80" t="s">
        <v>120</v>
      </c>
      <c r="G434" s="81" t="s">
        <v>2100</v>
      </c>
      <c r="H434" s="80" t="s">
        <v>2306</v>
      </c>
      <c r="I434" s="83">
        <v>45538</v>
      </c>
      <c r="J434" s="80" t="s">
        <v>187</v>
      </c>
      <c r="K434" s="80" t="s">
        <v>188</v>
      </c>
      <c r="L434" s="84" t="s">
        <v>189</v>
      </c>
      <c r="M434" s="84" t="s">
        <v>114</v>
      </c>
      <c r="N434" s="84" t="s">
        <v>72</v>
      </c>
      <c r="O434" s="33" t="s">
        <v>2307</v>
      </c>
      <c r="P434" s="28" t="s">
        <v>2308</v>
      </c>
      <c r="Q434" s="49" t="s">
        <v>75</v>
      </c>
      <c r="R434" s="196" t="s">
        <v>91</v>
      </c>
      <c r="S434" s="26">
        <v>22</v>
      </c>
      <c r="T434" s="198">
        <v>73</v>
      </c>
      <c r="U434" s="197" t="s">
        <v>2309</v>
      </c>
      <c r="V434" s="66"/>
      <c r="W434" s="106"/>
      <c r="X434" s="106" t="s">
        <v>369</v>
      </c>
      <c r="Y434" s="26" t="s">
        <v>76</v>
      </c>
      <c r="Z434" s="75" t="s">
        <v>106</v>
      </c>
      <c r="AA434" s="53" t="s">
        <v>76</v>
      </c>
      <c r="AB434" s="26"/>
      <c r="AC434" s="44"/>
    </row>
    <row r="435" spans="1:29" ht="49.5" hidden="1">
      <c r="A435" s="98">
        <v>425</v>
      </c>
      <c r="B435" s="79" t="s">
        <v>2310</v>
      </c>
      <c r="C435" s="148" t="s">
        <v>8</v>
      </c>
      <c r="D435" s="80" t="s">
        <v>63</v>
      </c>
      <c r="E435" s="27" t="s">
        <v>2311</v>
      </c>
      <c r="F435" s="80" t="s">
        <v>65</v>
      </c>
      <c r="G435" s="81" t="s">
        <v>1368</v>
      </c>
      <c r="H435" s="80" t="s">
        <v>2312</v>
      </c>
      <c r="I435" s="83">
        <v>45538</v>
      </c>
      <c r="J435" s="80" t="s">
        <v>811</v>
      </c>
      <c r="K435" s="80" t="s">
        <v>299</v>
      </c>
      <c r="L435" s="84" t="s">
        <v>300</v>
      </c>
      <c r="M435" s="84" t="s">
        <v>114</v>
      </c>
      <c r="N435" s="84" t="s">
        <v>72</v>
      </c>
      <c r="O435" s="33" t="s">
        <v>2313</v>
      </c>
      <c r="P435" s="28" t="s">
        <v>2314</v>
      </c>
      <c r="Q435" s="49" t="s">
        <v>91</v>
      </c>
      <c r="R435" s="25"/>
      <c r="S435" s="26">
        <v>16</v>
      </c>
      <c r="T435" s="26"/>
      <c r="U435" s="61" t="s">
        <v>2315</v>
      </c>
      <c r="V435" s="66"/>
      <c r="W435" s="106"/>
      <c r="X435" s="106" t="s">
        <v>76</v>
      </c>
      <c r="Y435" s="26" t="s">
        <v>76</v>
      </c>
      <c r="Z435" s="75" t="s">
        <v>193</v>
      </c>
      <c r="AA435" s="53" t="s">
        <v>76</v>
      </c>
      <c r="AB435" s="26" t="s">
        <v>75</v>
      </c>
      <c r="AC435" s="44"/>
    </row>
    <row r="436" spans="1:29" ht="33" hidden="1">
      <c r="A436" s="98">
        <v>426</v>
      </c>
      <c r="B436" s="79" t="s">
        <v>2316</v>
      </c>
      <c r="C436" s="148" t="s">
        <v>8</v>
      </c>
      <c r="D436" s="80" t="s">
        <v>83</v>
      </c>
      <c r="E436" s="27" t="s">
        <v>588</v>
      </c>
      <c r="F436" s="80" t="s">
        <v>109</v>
      </c>
      <c r="G436" s="81" t="s">
        <v>589</v>
      </c>
      <c r="H436" s="80" t="s">
        <v>590</v>
      </c>
      <c r="I436" s="156">
        <v>45538</v>
      </c>
      <c r="J436" s="80" t="s">
        <v>250</v>
      </c>
      <c r="K436" s="80" t="s">
        <v>491</v>
      </c>
      <c r="L436" s="84" t="s">
        <v>251</v>
      </c>
      <c r="M436" s="84" t="s">
        <v>252</v>
      </c>
      <c r="N436" s="84" t="s">
        <v>253</v>
      </c>
      <c r="O436" s="33" t="s">
        <v>2317</v>
      </c>
      <c r="P436" s="28" t="s">
        <v>2318</v>
      </c>
      <c r="Q436" s="49" t="s">
        <v>75</v>
      </c>
      <c r="R436" s="25" t="s">
        <v>75</v>
      </c>
      <c r="S436" s="26">
        <v>27</v>
      </c>
      <c r="T436" s="26">
        <v>76</v>
      </c>
      <c r="U436" s="61" t="s">
        <v>2319</v>
      </c>
      <c r="V436" s="66" t="s">
        <v>75</v>
      </c>
      <c r="W436" s="106" t="s">
        <v>368</v>
      </c>
      <c r="X436" s="106" t="s">
        <v>369</v>
      </c>
      <c r="Y436" s="26" t="s">
        <v>369</v>
      </c>
      <c r="Z436" s="75" t="s">
        <v>79</v>
      </c>
      <c r="AA436" s="30" t="s">
        <v>76</v>
      </c>
      <c r="AB436" s="26"/>
      <c r="AC436" s="44"/>
    </row>
    <row r="437" spans="1:29" ht="33" hidden="1">
      <c r="A437" s="98">
        <v>427</v>
      </c>
      <c r="B437" s="79" t="s">
        <v>2320</v>
      </c>
      <c r="C437" s="148" t="s">
        <v>8</v>
      </c>
      <c r="D437" s="80" t="s">
        <v>83</v>
      </c>
      <c r="E437" s="27" t="s">
        <v>588</v>
      </c>
      <c r="F437" s="80" t="s">
        <v>109</v>
      </c>
      <c r="G437" s="81" t="s">
        <v>589</v>
      </c>
      <c r="H437" s="80" t="s">
        <v>590</v>
      </c>
      <c r="I437" s="156">
        <v>45538</v>
      </c>
      <c r="J437" s="80" t="s">
        <v>250</v>
      </c>
      <c r="K437" s="80" t="s">
        <v>69</v>
      </c>
      <c r="L437" s="84" t="s">
        <v>251</v>
      </c>
      <c r="M437" s="84" t="s">
        <v>252</v>
      </c>
      <c r="N437" s="84" t="s">
        <v>72</v>
      </c>
      <c r="O437" s="33" t="s">
        <v>2321</v>
      </c>
      <c r="P437" s="28"/>
      <c r="Q437" s="49" t="s">
        <v>75</v>
      </c>
      <c r="R437" s="25" t="s">
        <v>91</v>
      </c>
      <c r="S437" s="26">
        <v>20</v>
      </c>
      <c r="T437" s="26">
        <v>65</v>
      </c>
      <c r="U437" s="61" t="s">
        <v>2322</v>
      </c>
      <c r="V437" s="66"/>
      <c r="W437" s="106"/>
      <c r="X437" s="106" t="s">
        <v>369</v>
      </c>
      <c r="Y437" s="26" t="s">
        <v>76</v>
      </c>
      <c r="Z437" s="75" t="s">
        <v>93</v>
      </c>
      <c r="AA437" s="30" t="s">
        <v>76</v>
      </c>
      <c r="AB437" s="26"/>
      <c r="AC437" s="44"/>
    </row>
    <row r="438" spans="1:29" ht="66" hidden="1">
      <c r="A438" s="98">
        <v>428</v>
      </c>
      <c r="B438" s="79" t="s">
        <v>2323</v>
      </c>
      <c r="C438" s="148" t="s">
        <v>8</v>
      </c>
      <c r="D438" s="80" t="s">
        <v>63</v>
      </c>
      <c r="E438" s="27" t="s">
        <v>2324</v>
      </c>
      <c r="F438" s="80" t="s">
        <v>120</v>
      </c>
      <c r="G438" s="81" t="s">
        <v>1398</v>
      </c>
      <c r="H438" s="80" t="s">
        <v>2325</v>
      </c>
      <c r="I438" s="83">
        <v>45539</v>
      </c>
      <c r="J438" s="80" t="s">
        <v>98</v>
      </c>
      <c r="K438" s="80" t="s">
        <v>99</v>
      </c>
      <c r="L438" s="84" t="s">
        <v>100</v>
      </c>
      <c r="M438" s="84" t="s">
        <v>101</v>
      </c>
      <c r="N438" s="84" t="s">
        <v>72</v>
      </c>
      <c r="O438" s="33" t="s">
        <v>2326</v>
      </c>
      <c r="P438" s="28" t="s">
        <v>2327</v>
      </c>
      <c r="Q438" s="49" t="s">
        <v>91</v>
      </c>
      <c r="R438" s="25"/>
      <c r="S438" s="26">
        <v>12</v>
      </c>
      <c r="T438" s="26"/>
      <c r="U438" s="61"/>
      <c r="V438" s="66"/>
      <c r="W438" s="106"/>
      <c r="X438" s="106" t="s">
        <v>76</v>
      </c>
      <c r="Y438" s="26" t="s">
        <v>76</v>
      </c>
      <c r="Z438" s="93" t="s">
        <v>193</v>
      </c>
      <c r="AA438" s="30" t="s">
        <v>76</v>
      </c>
      <c r="AB438" s="26"/>
      <c r="AC438" s="44"/>
    </row>
    <row r="439" spans="1:29" ht="82.5" hidden="1">
      <c r="A439" s="98">
        <v>429</v>
      </c>
      <c r="B439" s="79" t="s">
        <v>2328</v>
      </c>
      <c r="C439" s="148" t="s">
        <v>8</v>
      </c>
      <c r="D439" s="80" t="s">
        <v>83</v>
      </c>
      <c r="E439" s="27" t="s">
        <v>931</v>
      </c>
      <c r="F439" s="80" t="s">
        <v>65</v>
      </c>
      <c r="G439" s="81" t="s">
        <v>932</v>
      </c>
      <c r="H439" s="80" t="s">
        <v>933</v>
      </c>
      <c r="I439" s="83">
        <v>45541</v>
      </c>
      <c r="J439" s="80" t="s">
        <v>241</v>
      </c>
      <c r="K439" s="80" t="s">
        <v>198</v>
      </c>
      <c r="L439" s="84" t="s">
        <v>199</v>
      </c>
      <c r="M439" s="84" t="s">
        <v>221</v>
      </c>
      <c r="N439" s="84" t="s">
        <v>72</v>
      </c>
      <c r="O439" s="33" t="s">
        <v>2329</v>
      </c>
      <c r="P439" s="28" t="s">
        <v>2330</v>
      </c>
      <c r="Q439" s="49" t="s">
        <v>75</v>
      </c>
      <c r="R439" s="25" t="s">
        <v>91</v>
      </c>
      <c r="S439" s="26">
        <v>16</v>
      </c>
      <c r="T439" s="26">
        <v>50</v>
      </c>
      <c r="U439" s="61" t="s">
        <v>2331</v>
      </c>
      <c r="V439" s="66"/>
      <c r="W439" s="106"/>
      <c r="X439" s="106" t="s">
        <v>369</v>
      </c>
      <c r="Y439" s="106" t="s">
        <v>76</v>
      </c>
      <c r="Z439" s="75" t="s">
        <v>93</v>
      </c>
      <c r="AA439" s="30" t="s">
        <v>76</v>
      </c>
      <c r="AB439" s="26"/>
      <c r="AC439" s="44"/>
    </row>
    <row r="440" spans="1:29" ht="82.5" hidden="1">
      <c r="A440" s="88">
        <v>430</v>
      </c>
      <c r="B440" s="79" t="s">
        <v>2332</v>
      </c>
      <c r="C440" s="148" t="s">
        <v>8</v>
      </c>
      <c r="D440" s="80" t="s">
        <v>83</v>
      </c>
      <c r="E440" s="27" t="s">
        <v>931</v>
      </c>
      <c r="F440" s="80" t="s">
        <v>65</v>
      </c>
      <c r="G440" s="81" t="s">
        <v>932</v>
      </c>
      <c r="H440" s="80" t="s">
        <v>933</v>
      </c>
      <c r="I440" s="83">
        <v>45541</v>
      </c>
      <c r="J440" s="80" t="s">
        <v>220</v>
      </c>
      <c r="K440" s="80" t="s">
        <v>112</v>
      </c>
      <c r="L440" s="84" t="s">
        <v>113</v>
      </c>
      <c r="M440" s="84" t="s">
        <v>221</v>
      </c>
      <c r="N440" s="84" t="s">
        <v>72</v>
      </c>
      <c r="O440" s="33" t="s">
        <v>2333</v>
      </c>
      <c r="P440" s="28"/>
      <c r="Q440" s="49" t="s">
        <v>91</v>
      </c>
      <c r="R440" s="25"/>
      <c r="S440" s="26">
        <v>15</v>
      </c>
      <c r="T440" s="26"/>
      <c r="U440" s="61" t="s">
        <v>2334</v>
      </c>
      <c r="V440" s="66"/>
      <c r="W440" s="106"/>
      <c r="X440" s="106" t="s">
        <v>76</v>
      </c>
      <c r="Y440" s="26" t="s">
        <v>76</v>
      </c>
      <c r="Z440" s="75" t="s">
        <v>193</v>
      </c>
      <c r="AA440" s="30" t="s">
        <v>76</v>
      </c>
      <c r="AB440" s="26"/>
      <c r="AC440" s="44"/>
    </row>
    <row r="441" spans="1:29" ht="66" hidden="1">
      <c r="A441" s="88">
        <v>431</v>
      </c>
      <c r="B441" s="79" t="s">
        <v>2335</v>
      </c>
      <c r="C441" s="148" t="s">
        <v>8</v>
      </c>
      <c r="D441" s="80" t="s">
        <v>83</v>
      </c>
      <c r="E441" s="27" t="s">
        <v>931</v>
      </c>
      <c r="F441" s="80" t="s">
        <v>65</v>
      </c>
      <c r="G441" s="81" t="s">
        <v>932</v>
      </c>
      <c r="H441" s="80" t="s">
        <v>933</v>
      </c>
      <c r="I441" s="83">
        <v>45541</v>
      </c>
      <c r="J441" s="80" t="s">
        <v>111</v>
      </c>
      <c r="K441" s="80" t="s">
        <v>834</v>
      </c>
      <c r="L441" s="84" t="s">
        <v>122</v>
      </c>
      <c r="M441" s="84" t="s">
        <v>114</v>
      </c>
      <c r="N441" s="84" t="s">
        <v>72</v>
      </c>
      <c r="O441" s="33" t="s">
        <v>2336</v>
      </c>
      <c r="P441" s="28"/>
      <c r="Q441" s="49" t="s">
        <v>75</v>
      </c>
      <c r="R441" s="25" t="s">
        <v>91</v>
      </c>
      <c r="S441" s="26"/>
      <c r="T441" s="26"/>
      <c r="U441" s="61" t="s">
        <v>2337</v>
      </c>
      <c r="V441" s="66"/>
      <c r="W441" s="106"/>
      <c r="X441" s="106" t="s">
        <v>369</v>
      </c>
      <c r="Y441" s="26" t="s">
        <v>76</v>
      </c>
      <c r="Z441" s="75" t="s">
        <v>76</v>
      </c>
      <c r="AA441" s="30" t="s">
        <v>76</v>
      </c>
      <c r="AB441" s="26"/>
      <c r="AC441" s="44"/>
    </row>
    <row r="442" spans="1:29" ht="33" hidden="1">
      <c r="A442" s="88">
        <v>432</v>
      </c>
      <c r="B442" s="79" t="s">
        <v>2338</v>
      </c>
      <c r="C442" s="148" t="s">
        <v>8</v>
      </c>
      <c r="D442" s="80" t="s">
        <v>63</v>
      </c>
      <c r="E442" s="27" t="s">
        <v>1688</v>
      </c>
      <c r="F442" s="80" t="s">
        <v>109</v>
      </c>
      <c r="G442" s="81" t="s">
        <v>1368</v>
      </c>
      <c r="H442" s="80" t="s">
        <v>1689</v>
      </c>
      <c r="I442" s="83">
        <v>45542</v>
      </c>
      <c r="J442" s="80" t="s">
        <v>111</v>
      </c>
      <c r="K442" s="80" t="s">
        <v>299</v>
      </c>
      <c r="L442" s="84" t="s">
        <v>113</v>
      </c>
      <c r="M442" s="84" t="s">
        <v>114</v>
      </c>
      <c r="N442" s="84" t="s">
        <v>72</v>
      </c>
      <c r="O442" s="33" t="s">
        <v>2339</v>
      </c>
      <c r="P442" s="28"/>
      <c r="Q442" s="49" t="s">
        <v>91</v>
      </c>
      <c r="R442" s="25"/>
      <c r="S442" s="26">
        <v>16</v>
      </c>
      <c r="T442" s="26"/>
      <c r="U442" s="61" t="s">
        <v>2315</v>
      </c>
      <c r="V442" s="66"/>
      <c r="W442" s="106"/>
      <c r="X442" s="106" t="s">
        <v>76</v>
      </c>
      <c r="Y442" s="26" t="s">
        <v>76</v>
      </c>
      <c r="Z442" s="75" t="s">
        <v>193</v>
      </c>
      <c r="AA442" s="30" t="s">
        <v>76</v>
      </c>
      <c r="AB442" s="26" t="s">
        <v>75</v>
      </c>
      <c r="AC442" s="44"/>
    </row>
    <row r="443" spans="1:29" ht="33" hidden="1">
      <c r="A443" s="88">
        <v>433</v>
      </c>
      <c r="B443" s="79" t="s">
        <v>2340</v>
      </c>
      <c r="C443" s="148" t="s">
        <v>8</v>
      </c>
      <c r="D443" s="80" t="s">
        <v>63</v>
      </c>
      <c r="E443" s="27" t="s">
        <v>1688</v>
      </c>
      <c r="F443" s="80" t="s">
        <v>109</v>
      </c>
      <c r="G443" s="81" t="s">
        <v>1368</v>
      </c>
      <c r="H443" s="80" t="s">
        <v>1689</v>
      </c>
      <c r="I443" s="83">
        <v>45542</v>
      </c>
      <c r="J443" s="80" t="s">
        <v>111</v>
      </c>
      <c r="K443" s="80" t="s">
        <v>834</v>
      </c>
      <c r="L443" s="84" t="s">
        <v>122</v>
      </c>
      <c r="M443" s="84" t="s">
        <v>114</v>
      </c>
      <c r="N443" s="84" t="s">
        <v>72</v>
      </c>
      <c r="O443" s="33" t="s">
        <v>2341</v>
      </c>
      <c r="P443" s="28"/>
      <c r="Q443" s="49" t="s">
        <v>75</v>
      </c>
      <c r="R443" s="25" t="s">
        <v>91</v>
      </c>
      <c r="S443" s="26"/>
      <c r="T443" s="26"/>
      <c r="U443" s="61" t="s">
        <v>2342</v>
      </c>
      <c r="V443" s="66"/>
      <c r="W443" s="106"/>
      <c r="X443" s="106" t="s">
        <v>369</v>
      </c>
      <c r="Y443" s="26" t="s">
        <v>76</v>
      </c>
      <c r="Z443" s="75" t="s">
        <v>76</v>
      </c>
      <c r="AA443" s="30" t="s">
        <v>76</v>
      </c>
      <c r="AB443" s="26"/>
      <c r="AC443" s="44"/>
    </row>
    <row r="444" spans="1:29" ht="33" hidden="1">
      <c r="A444" s="88">
        <v>434</v>
      </c>
      <c r="B444" s="79" t="s">
        <v>2343</v>
      </c>
      <c r="C444" s="148" t="s">
        <v>8</v>
      </c>
      <c r="D444" s="80" t="s">
        <v>63</v>
      </c>
      <c r="E444" s="27" t="s">
        <v>2344</v>
      </c>
      <c r="F444" s="80" t="s">
        <v>120</v>
      </c>
      <c r="G444" s="81" t="s">
        <v>1653</v>
      </c>
      <c r="H444" s="80" t="s">
        <v>2345</v>
      </c>
      <c r="I444" s="83">
        <v>45543</v>
      </c>
      <c r="J444" s="80" t="s">
        <v>111</v>
      </c>
      <c r="K444" s="80" t="s">
        <v>112</v>
      </c>
      <c r="L444" s="84" t="s">
        <v>122</v>
      </c>
      <c r="M444" s="84" t="s">
        <v>114</v>
      </c>
      <c r="N444" s="84" t="s">
        <v>72</v>
      </c>
      <c r="O444" s="33" t="s">
        <v>2346</v>
      </c>
      <c r="P444" s="28"/>
      <c r="Q444" s="49" t="s">
        <v>91</v>
      </c>
      <c r="R444" s="25"/>
      <c r="S444" s="26">
        <v>16</v>
      </c>
      <c r="T444" s="26"/>
      <c r="U444" s="61" t="s">
        <v>2347</v>
      </c>
      <c r="V444" s="66"/>
      <c r="W444" s="106"/>
      <c r="X444" s="106" t="s">
        <v>76</v>
      </c>
      <c r="Y444" s="26" t="s">
        <v>76</v>
      </c>
      <c r="Z444" s="75" t="s">
        <v>193</v>
      </c>
      <c r="AA444" s="30" t="s">
        <v>76</v>
      </c>
      <c r="AB444" s="26" t="s">
        <v>75</v>
      </c>
      <c r="AC444" s="44"/>
    </row>
    <row r="445" spans="1:29" ht="33" hidden="1">
      <c r="A445" s="88">
        <v>435</v>
      </c>
      <c r="B445" s="79" t="s">
        <v>2348</v>
      </c>
      <c r="C445" s="148" t="s">
        <v>8</v>
      </c>
      <c r="D445" s="80" t="s">
        <v>63</v>
      </c>
      <c r="E445" s="27" t="s">
        <v>2349</v>
      </c>
      <c r="F445" s="80" t="s">
        <v>109</v>
      </c>
      <c r="G445" s="81" t="s">
        <v>1041</v>
      </c>
      <c r="H445" s="80" t="s">
        <v>1785</v>
      </c>
      <c r="I445" s="83">
        <v>45544</v>
      </c>
      <c r="J445" s="80" t="s">
        <v>657</v>
      </c>
      <c r="K445" s="80" t="s">
        <v>188</v>
      </c>
      <c r="L445" s="84" t="s">
        <v>189</v>
      </c>
      <c r="M445" s="84" t="s">
        <v>221</v>
      </c>
      <c r="N445" s="84" t="s">
        <v>72</v>
      </c>
      <c r="O445" s="33" t="s">
        <v>2350</v>
      </c>
      <c r="P445" s="28"/>
      <c r="Q445" s="49" t="s">
        <v>75</v>
      </c>
      <c r="R445" s="196" t="s">
        <v>91</v>
      </c>
      <c r="S445" s="26">
        <v>22</v>
      </c>
      <c r="T445" s="26">
        <v>69</v>
      </c>
      <c r="U445" s="197" t="s">
        <v>2351</v>
      </c>
      <c r="V445" s="66"/>
      <c r="W445" s="106"/>
      <c r="X445" s="106" t="s">
        <v>369</v>
      </c>
      <c r="Y445" s="26" t="s">
        <v>76</v>
      </c>
      <c r="Z445" s="75" t="s">
        <v>106</v>
      </c>
      <c r="AA445" s="30" t="s">
        <v>76</v>
      </c>
      <c r="AB445" s="26"/>
      <c r="AC445" s="44"/>
    </row>
    <row r="446" spans="1:29" ht="33" hidden="1">
      <c r="A446" s="88">
        <v>436</v>
      </c>
      <c r="B446" s="79" t="s">
        <v>2352</v>
      </c>
      <c r="C446" s="148" t="s">
        <v>8</v>
      </c>
      <c r="D446" s="80" t="s">
        <v>63</v>
      </c>
      <c r="E446" s="27" t="s">
        <v>2353</v>
      </c>
      <c r="F446" s="80" t="s">
        <v>284</v>
      </c>
      <c r="G446" s="81" t="s">
        <v>1368</v>
      </c>
      <c r="H446" s="80" t="s">
        <v>2354</v>
      </c>
      <c r="I446" s="83">
        <v>45544</v>
      </c>
      <c r="J446" s="80" t="s">
        <v>145</v>
      </c>
      <c r="K446" s="80" t="s">
        <v>146</v>
      </c>
      <c r="L446" s="84" t="s">
        <v>147</v>
      </c>
      <c r="M446" s="84" t="s">
        <v>148</v>
      </c>
      <c r="N446" s="84" t="s">
        <v>72</v>
      </c>
      <c r="O446" s="33" t="s">
        <v>2355</v>
      </c>
      <c r="P446" s="28"/>
      <c r="Q446" s="49" t="s">
        <v>75</v>
      </c>
      <c r="R446" s="25" t="s">
        <v>91</v>
      </c>
      <c r="S446" s="26">
        <v>18</v>
      </c>
      <c r="T446" s="26">
        <v>60</v>
      </c>
      <c r="U446" s="61" t="s">
        <v>2356</v>
      </c>
      <c r="V446" s="66"/>
      <c r="W446" s="106"/>
      <c r="X446" s="106" t="s">
        <v>369</v>
      </c>
      <c r="Y446" s="26" t="s">
        <v>76</v>
      </c>
      <c r="Z446" s="75" t="s">
        <v>93</v>
      </c>
      <c r="AA446" s="30" t="s">
        <v>76</v>
      </c>
      <c r="AB446" s="26"/>
      <c r="AC446" s="44"/>
    </row>
    <row r="447" spans="1:29" ht="49.5" hidden="1">
      <c r="A447" s="88">
        <v>437</v>
      </c>
      <c r="B447" s="79" t="s">
        <v>2357</v>
      </c>
      <c r="C447" s="148" t="s">
        <v>8</v>
      </c>
      <c r="D447" s="80" t="s">
        <v>63</v>
      </c>
      <c r="E447" s="27" t="s">
        <v>2298</v>
      </c>
      <c r="F447" s="80" t="s">
        <v>338</v>
      </c>
      <c r="G447" s="81" t="s">
        <v>2299</v>
      </c>
      <c r="H447" s="80" t="s">
        <v>2300</v>
      </c>
      <c r="I447" s="83">
        <v>45544</v>
      </c>
      <c r="J447" s="80" t="s">
        <v>111</v>
      </c>
      <c r="K447" s="80" t="s">
        <v>112</v>
      </c>
      <c r="L447" s="84" t="s">
        <v>122</v>
      </c>
      <c r="M447" s="84" t="s">
        <v>114</v>
      </c>
      <c r="N447" s="84" t="s">
        <v>72</v>
      </c>
      <c r="O447" s="33" t="s">
        <v>2358</v>
      </c>
      <c r="P447" s="28"/>
      <c r="Q447" s="49" t="s">
        <v>91</v>
      </c>
      <c r="R447" s="25"/>
      <c r="S447" s="26">
        <v>16</v>
      </c>
      <c r="T447" s="26"/>
      <c r="U447" s="61" t="s">
        <v>2359</v>
      </c>
      <c r="V447" s="66"/>
      <c r="W447" s="106"/>
      <c r="X447" s="106" t="s">
        <v>76</v>
      </c>
      <c r="Y447" s="26" t="s">
        <v>76</v>
      </c>
      <c r="Z447" s="75" t="s">
        <v>193</v>
      </c>
      <c r="AA447" s="30" t="s">
        <v>76</v>
      </c>
      <c r="AB447" s="26"/>
      <c r="AC447" s="44"/>
    </row>
    <row r="448" spans="1:29" ht="33" hidden="1">
      <c r="A448" s="97">
        <v>438</v>
      </c>
      <c r="B448" s="79" t="s">
        <v>2360</v>
      </c>
      <c r="C448" s="148" t="s">
        <v>399</v>
      </c>
      <c r="D448" s="80" t="s">
        <v>83</v>
      </c>
      <c r="E448" s="27" t="s">
        <v>2361</v>
      </c>
      <c r="F448" s="80" t="s">
        <v>120</v>
      </c>
      <c r="G448" s="81" t="s">
        <v>2362</v>
      </c>
      <c r="H448" s="80" t="s">
        <v>2363</v>
      </c>
      <c r="I448" s="83">
        <v>45546</v>
      </c>
      <c r="J448" s="80" t="s">
        <v>250</v>
      </c>
      <c r="K448" s="80" t="s">
        <v>491</v>
      </c>
      <c r="L448" s="84" t="s">
        <v>251</v>
      </c>
      <c r="M448" s="84" t="s">
        <v>252</v>
      </c>
      <c r="N448" s="84" t="s">
        <v>72</v>
      </c>
      <c r="O448" s="33" t="s">
        <v>2364</v>
      </c>
      <c r="P448" s="28"/>
      <c r="Q448" s="49" t="s">
        <v>75</v>
      </c>
      <c r="R448" s="25" t="s">
        <v>91</v>
      </c>
      <c r="S448" s="26">
        <v>18</v>
      </c>
      <c r="T448" s="26"/>
      <c r="U448" s="61" t="s">
        <v>2365</v>
      </c>
      <c r="V448" s="66"/>
      <c r="W448" s="106"/>
      <c r="X448" s="106" t="s">
        <v>369</v>
      </c>
      <c r="Y448" s="26" t="s">
        <v>76</v>
      </c>
      <c r="Z448" s="75" t="s">
        <v>93</v>
      </c>
      <c r="AA448" s="30" t="s">
        <v>76</v>
      </c>
      <c r="AB448" s="26"/>
      <c r="AC448" s="44"/>
    </row>
    <row r="449" spans="1:29" ht="82.5" hidden="1">
      <c r="A449" s="88">
        <v>439</v>
      </c>
      <c r="B449" s="79" t="s">
        <v>2366</v>
      </c>
      <c r="C449" s="148" t="s">
        <v>8</v>
      </c>
      <c r="D449" s="80" t="s">
        <v>63</v>
      </c>
      <c r="E449" s="27" t="s">
        <v>2367</v>
      </c>
      <c r="F449" s="80" t="s">
        <v>65</v>
      </c>
      <c r="G449" s="81" t="s">
        <v>2076</v>
      </c>
      <c r="H449" s="80" t="s">
        <v>2368</v>
      </c>
      <c r="I449" s="83">
        <v>45546</v>
      </c>
      <c r="J449" s="80" t="s">
        <v>341</v>
      </c>
      <c r="K449" s="80" t="s">
        <v>69</v>
      </c>
      <c r="L449" s="84" t="s">
        <v>70</v>
      </c>
      <c r="M449" s="84" t="s">
        <v>252</v>
      </c>
      <c r="N449" s="84" t="s">
        <v>72</v>
      </c>
      <c r="O449" s="33" t="s">
        <v>2369</v>
      </c>
      <c r="P449" s="28"/>
      <c r="Q449" s="49" t="s">
        <v>75</v>
      </c>
      <c r="R449" s="25" t="s">
        <v>91</v>
      </c>
      <c r="S449" s="26">
        <v>19</v>
      </c>
      <c r="T449" s="26">
        <v>63</v>
      </c>
      <c r="U449" s="61" t="s">
        <v>2370</v>
      </c>
      <c r="V449" s="66"/>
      <c r="W449" s="106"/>
      <c r="X449" s="106" t="s">
        <v>369</v>
      </c>
      <c r="Y449" s="26" t="s">
        <v>76</v>
      </c>
      <c r="Z449" s="75" t="s">
        <v>93</v>
      </c>
      <c r="AA449" s="30" t="s">
        <v>76</v>
      </c>
      <c r="AB449" s="26"/>
      <c r="AC449" s="44"/>
    </row>
    <row r="450" spans="1:29" ht="49.5" hidden="1">
      <c r="A450" s="88">
        <v>440</v>
      </c>
      <c r="B450" s="79" t="s">
        <v>2371</v>
      </c>
      <c r="C450" s="148" t="s">
        <v>8</v>
      </c>
      <c r="D450" s="80" t="s">
        <v>63</v>
      </c>
      <c r="E450" s="27" t="s">
        <v>1163</v>
      </c>
      <c r="F450" s="80" t="s">
        <v>109</v>
      </c>
      <c r="G450" s="81" t="s">
        <v>809</v>
      </c>
      <c r="H450" s="80" t="s">
        <v>1164</v>
      </c>
      <c r="I450" s="83">
        <v>45546</v>
      </c>
      <c r="J450" s="80" t="s">
        <v>1003</v>
      </c>
      <c r="K450" s="80" t="s">
        <v>299</v>
      </c>
      <c r="L450" s="84" t="s">
        <v>100</v>
      </c>
      <c r="M450" s="84" t="s">
        <v>252</v>
      </c>
      <c r="N450" s="84" t="s">
        <v>72</v>
      </c>
      <c r="O450" s="33" t="s">
        <v>2372</v>
      </c>
      <c r="P450" s="28"/>
      <c r="Q450" s="49" t="s">
        <v>75</v>
      </c>
      <c r="R450" s="25" t="s">
        <v>91</v>
      </c>
      <c r="S450" s="26">
        <v>19</v>
      </c>
      <c r="T450" s="26">
        <v>54</v>
      </c>
      <c r="U450" s="61" t="s">
        <v>2373</v>
      </c>
      <c r="V450" s="66"/>
      <c r="W450" s="106"/>
      <c r="X450" s="106" t="s">
        <v>369</v>
      </c>
      <c r="Y450" s="26" t="s">
        <v>76</v>
      </c>
      <c r="Z450" s="93" t="s">
        <v>93</v>
      </c>
      <c r="AA450" s="30" t="s">
        <v>76</v>
      </c>
      <c r="AB450" s="26"/>
      <c r="AC450" s="44"/>
    </row>
    <row r="451" spans="1:29" ht="49.5" hidden="1">
      <c r="A451" s="88">
        <v>441</v>
      </c>
      <c r="B451" s="79" t="s">
        <v>2374</v>
      </c>
      <c r="C451" s="148" t="s">
        <v>8</v>
      </c>
      <c r="D451" s="80" t="s">
        <v>63</v>
      </c>
      <c r="E451" s="27" t="s">
        <v>1492</v>
      </c>
      <c r="F451" s="80" t="s">
        <v>109</v>
      </c>
      <c r="G451" s="81" t="s">
        <v>440</v>
      </c>
      <c r="H451" s="80" t="s">
        <v>1493</v>
      </c>
      <c r="I451" s="83">
        <v>45546</v>
      </c>
      <c r="J451" s="80" t="s">
        <v>833</v>
      </c>
      <c r="K451" s="80" t="s">
        <v>188</v>
      </c>
      <c r="L451" s="84" t="s">
        <v>189</v>
      </c>
      <c r="M451" s="84" t="s">
        <v>252</v>
      </c>
      <c r="N451" s="84" t="s">
        <v>72</v>
      </c>
      <c r="O451" s="33" t="s">
        <v>2375</v>
      </c>
      <c r="P451" s="28"/>
      <c r="Q451" s="49" t="s">
        <v>75</v>
      </c>
      <c r="R451" s="25" t="s">
        <v>91</v>
      </c>
      <c r="S451" s="26">
        <v>20</v>
      </c>
      <c r="T451" s="26">
        <v>61</v>
      </c>
      <c r="U451" s="61"/>
      <c r="V451" s="66"/>
      <c r="W451" s="106"/>
      <c r="X451" s="106" t="s">
        <v>369</v>
      </c>
      <c r="Y451" s="26" t="s">
        <v>76</v>
      </c>
      <c r="Z451" s="75" t="s">
        <v>93</v>
      </c>
      <c r="AA451" s="30" t="s">
        <v>76</v>
      </c>
      <c r="AB451" s="26"/>
      <c r="AC451" s="44"/>
    </row>
    <row r="452" spans="1:29" ht="33" hidden="1">
      <c r="A452" s="88">
        <v>442</v>
      </c>
      <c r="B452" s="79" t="s">
        <v>2376</v>
      </c>
      <c r="C452" s="148" t="s">
        <v>8</v>
      </c>
      <c r="D452" s="80" t="s">
        <v>63</v>
      </c>
      <c r="E452" s="27" t="s">
        <v>2099</v>
      </c>
      <c r="F452" s="80" t="s">
        <v>65</v>
      </c>
      <c r="G452" s="81" t="s">
        <v>2100</v>
      </c>
      <c r="H452" s="80" t="s">
        <v>2101</v>
      </c>
      <c r="I452" s="83">
        <v>45547</v>
      </c>
      <c r="J452" s="80" t="s">
        <v>657</v>
      </c>
      <c r="K452" s="80" t="s">
        <v>834</v>
      </c>
      <c r="L452" s="84" t="s">
        <v>189</v>
      </c>
      <c r="M452" s="84" t="s">
        <v>221</v>
      </c>
      <c r="N452" s="84" t="s">
        <v>72</v>
      </c>
      <c r="O452" s="33" t="s">
        <v>2377</v>
      </c>
      <c r="P452" s="28"/>
      <c r="Q452" s="49" t="s">
        <v>75</v>
      </c>
      <c r="R452" s="25" t="s">
        <v>91</v>
      </c>
      <c r="S452" s="26"/>
      <c r="T452" s="26"/>
      <c r="U452" s="61"/>
      <c r="V452" s="66"/>
      <c r="W452" s="106"/>
      <c r="X452" s="106" t="s">
        <v>369</v>
      </c>
      <c r="Y452" s="26" t="s">
        <v>76</v>
      </c>
      <c r="Z452" s="75" t="s">
        <v>76</v>
      </c>
      <c r="AA452" s="30" t="s">
        <v>76</v>
      </c>
      <c r="AB452" s="26"/>
      <c r="AC452" s="44"/>
    </row>
    <row r="453" spans="1:29" ht="33" hidden="1">
      <c r="A453" s="88">
        <v>443</v>
      </c>
      <c r="B453" s="79" t="s">
        <v>2378</v>
      </c>
      <c r="C453" s="148" t="s">
        <v>8</v>
      </c>
      <c r="D453" s="80" t="s">
        <v>63</v>
      </c>
      <c r="E453" s="27" t="s">
        <v>2379</v>
      </c>
      <c r="F453" s="80" t="s">
        <v>109</v>
      </c>
      <c r="G453" s="81" t="s">
        <v>2380</v>
      </c>
      <c r="H453" s="80" t="s">
        <v>2381</v>
      </c>
      <c r="I453" s="83">
        <v>45547</v>
      </c>
      <c r="J453" s="80" t="s">
        <v>657</v>
      </c>
      <c r="K453" s="80" t="s">
        <v>188</v>
      </c>
      <c r="L453" s="84" t="s">
        <v>189</v>
      </c>
      <c r="M453" s="84" t="s">
        <v>221</v>
      </c>
      <c r="N453" s="84" t="s">
        <v>72</v>
      </c>
      <c r="O453" s="33" t="s">
        <v>2382</v>
      </c>
      <c r="P453" s="28"/>
      <c r="Q453" s="49" t="s">
        <v>75</v>
      </c>
      <c r="R453" s="25" t="s">
        <v>91</v>
      </c>
      <c r="S453" s="26">
        <v>19</v>
      </c>
      <c r="T453" s="26">
        <v>65</v>
      </c>
      <c r="U453" s="61"/>
      <c r="V453" s="66"/>
      <c r="W453" s="106"/>
      <c r="X453" s="106" t="s">
        <v>369</v>
      </c>
      <c r="Y453" s="26" t="s">
        <v>76</v>
      </c>
      <c r="Z453" s="75" t="s">
        <v>106</v>
      </c>
      <c r="AA453" s="30" t="s">
        <v>76</v>
      </c>
      <c r="AB453" s="26"/>
      <c r="AC453" s="44"/>
    </row>
    <row r="454" spans="1:29" ht="33" hidden="1">
      <c r="A454" s="88">
        <v>444</v>
      </c>
      <c r="B454" s="79" t="s">
        <v>2383</v>
      </c>
      <c r="C454" s="148" t="s">
        <v>8</v>
      </c>
      <c r="D454" s="80" t="s">
        <v>83</v>
      </c>
      <c r="E454" s="27" t="s">
        <v>2384</v>
      </c>
      <c r="F454" s="80" t="s">
        <v>65</v>
      </c>
      <c r="G454" s="81" t="s">
        <v>339</v>
      </c>
      <c r="H454" s="80" t="s">
        <v>2385</v>
      </c>
      <c r="I454" s="83">
        <v>45547</v>
      </c>
      <c r="J454" s="80" t="s">
        <v>1765</v>
      </c>
      <c r="K454" s="80" t="s">
        <v>69</v>
      </c>
      <c r="L454" s="84" t="s">
        <v>70</v>
      </c>
      <c r="M454" s="84" t="s">
        <v>221</v>
      </c>
      <c r="N454" s="84" t="s">
        <v>72</v>
      </c>
      <c r="O454" s="33" t="s">
        <v>2386</v>
      </c>
      <c r="P454" s="28"/>
      <c r="Q454" s="49" t="s">
        <v>75</v>
      </c>
      <c r="R454" s="25" t="s">
        <v>91</v>
      </c>
      <c r="S454" s="26">
        <v>18</v>
      </c>
      <c r="T454" s="26">
        <v>38</v>
      </c>
      <c r="U454" s="61" t="s">
        <v>2387</v>
      </c>
      <c r="V454" s="66"/>
      <c r="W454" s="106"/>
      <c r="X454" s="106" t="s">
        <v>369</v>
      </c>
      <c r="Y454" s="26" t="s">
        <v>76</v>
      </c>
      <c r="Z454" s="75" t="s">
        <v>93</v>
      </c>
      <c r="AA454" s="30" t="s">
        <v>76</v>
      </c>
      <c r="AB454" s="26"/>
      <c r="AC454" s="44"/>
    </row>
    <row r="455" spans="1:29" ht="148.5" hidden="1">
      <c r="A455" s="88">
        <v>445</v>
      </c>
      <c r="B455" s="79" t="s">
        <v>2388</v>
      </c>
      <c r="C455" s="148" t="s">
        <v>8</v>
      </c>
      <c r="D455" s="80" t="s">
        <v>63</v>
      </c>
      <c r="E455" s="27" t="s">
        <v>2389</v>
      </c>
      <c r="F455" s="80" t="s">
        <v>120</v>
      </c>
      <c r="G455" s="81" t="s">
        <v>757</v>
      </c>
      <c r="H455" s="80" t="s">
        <v>2390</v>
      </c>
      <c r="I455" s="83">
        <v>45547</v>
      </c>
      <c r="J455" s="80" t="s">
        <v>241</v>
      </c>
      <c r="K455" s="80" t="s">
        <v>198</v>
      </c>
      <c r="L455" s="84" t="s">
        <v>199</v>
      </c>
      <c r="M455" s="84" t="s">
        <v>221</v>
      </c>
      <c r="N455" s="84" t="s">
        <v>72</v>
      </c>
      <c r="O455" s="33" t="s">
        <v>2391</v>
      </c>
      <c r="P455" s="28" t="s">
        <v>2392</v>
      </c>
      <c r="Q455" s="49" t="s">
        <v>75</v>
      </c>
      <c r="R455" s="25" t="s">
        <v>91</v>
      </c>
      <c r="S455" s="26">
        <v>16</v>
      </c>
      <c r="T455" s="26">
        <v>50</v>
      </c>
      <c r="U455" s="61" t="s">
        <v>2393</v>
      </c>
      <c r="V455" s="66"/>
      <c r="W455" s="106"/>
      <c r="X455" s="106" t="s">
        <v>369</v>
      </c>
      <c r="Y455" s="106" t="s">
        <v>76</v>
      </c>
      <c r="Z455" s="75" t="s">
        <v>93</v>
      </c>
      <c r="AA455" s="30" t="s">
        <v>76</v>
      </c>
      <c r="AB455" s="26"/>
      <c r="AC455" s="44"/>
    </row>
    <row r="456" spans="1:29" ht="33" hidden="1">
      <c r="A456" s="88">
        <v>446</v>
      </c>
      <c r="B456" s="79" t="s">
        <v>2394</v>
      </c>
      <c r="C456" s="148" t="s">
        <v>8</v>
      </c>
      <c r="D456" s="80" t="s">
        <v>83</v>
      </c>
      <c r="E456" s="27" t="s">
        <v>931</v>
      </c>
      <c r="F456" s="80" t="s">
        <v>65</v>
      </c>
      <c r="G456" s="81" t="s">
        <v>932</v>
      </c>
      <c r="H456" s="80" t="s">
        <v>933</v>
      </c>
      <c r="I456" s="83">
        <v>45547</v>
      </c>
      <c r="J456" s="80" t="s">
        <v>220</v>
      </c>
      <c r="K456" s="80" t="s">
        <v>112</v>
      </c>
      <c r="L456" s="84" t="s">
        <v>122</v>
      </c>
      <c r="M456" s="84" t="s">
        <v>221</v>
      </c>
      <c r="N456" s="84" t="s">
        <v>72</v>
      </c>
      <c r="O456" s="33" t="s">
        <v>2395</v>
      </c>
      <c r="P456" s="28"/>
      <c r="Q456" s="49" t="s">
        <v>75</v>
      </c>
      <c r="R456" s="25" t="s">
        <v>91</v>
      </c>
      <c r="S456" s="26">
        <v>19</v>
      </c>
      <c r="T456" s="26">
        <v>58</v>
      </c>
      <c r="U456" s="61" t="s">
        <v>2396</v>
      </c>
      <c r="V456" s="66"/>
      <c r="W456" s="106"/>
      <c r="X456" s="106" t="s">
        <v>369</v>
      </c>
      <c r="Y456" s="26" t="s">
        <v>76</v>
      </c>
      <c r="Z456" s="75" t="s">
        <v>93</v>
      </c>
      <c r="AA456" s="30" t="s">
        <v>76</v>
      </c>
      <c r="AB456" s="26"/>
      <c r="AC456" s="44"/>
    </row>
    <row r="457" spans="1:29" ht="33" hidden="1">
      <c r="A457" s="88">
        <v>447</v>
      </c>
      <c r="B457" s="79" t="s">
        <v>2397</v>
      </c>
      <c r="C457" s="148" t="s">
        <v>8</v>
      </c>
      <c r="D457" s="80" t="s">
        <v>83</v>
      </c>
      <c r="E457" s="27" t="s">
        <v>931</v>
      </c>
      <c r="F457" s="80" t="s">
        <v>65</v>
      </c>
      <c r="G457" s="81" t="s">
        <v>932</v>
      </c>
      <c r="H457" s="80" t="s">
        <v>933</v>
      </c>
      <c r="I457" s="83">
        <v>45547</v>
      </c>
      <c r="J457" s="80" t="s">
        <v>111</v>
      </c>
      <c r="K457" s="80" t="s">
        <v>112</v>
      </c>
      <c r="L457" s="84" t="s">
        <v>122</v>
      </c>
      <c r="M457" s="84" t="s">
        <v>114</v>
      </c>
      <c r="N457" s="84" t="s">
        <v>72</v>
      </c>
      <c r="O457" s="33" t="s">
        <v>2398</v>
      </c>
      <c r="P457" s="28"/>
      <c r="Q457" s="49" t="s">
        <v>91</v>
      </c>
      <c r="R457" s="25"/>
      <c r="S457" s="26">
        <v>14</v>
      </c>
      <c r="T457" s="26"/>
      <c r="U457" s="61" t="s">
        <v>2399</v>
      </c>
      <c r="V457" s="66"/>
      <c r="W457" s="106"/>
      <c r="X457" s="106" t="s">
        <v>76</v>
      </c>
      <c r="Y457" s="26" t="s">
        <v>76</v>
      </c>
      <c r="Z457" s="75" t="s">
        <v>193</v>
      </c>
      <c r="AA457" s="30" t="s">
        <v>76</v>
      </c>
      <c r="AB457" s="26"/>
      <c r="AC457" s="44"/>
    </row>
    <row r="458" spans="1:29" ht="49.5" hidden="1">
      <c r="A458" s="98">
        <v>448</v>
      </c>
      <c r="B458" s="79" t="s">
        <v>2400</v>
      </c>
      <c r="C458" s="148" t="s">
        <v>8</v>
      </c>
      <c r="D458" s="80" t="s">
        <v>83</v>
      </c>
      <c r="E458" s="27" t="s">
        <v>668</v>
      </c>
      <c r="F458" s="80" t="s">
        <v>338</v>
      </c>
      <c r="G458" s="81" t="s">
        <v>669</v>
      </c>
      <c r="H458" s="80" t="s">
        <v>670</v>
      </c>
      <c r="I458" s="83">
        <v>45555</v>
      </c>
      <c r="J458" s="80" t="s">
        <v>657</v>
      </c>
      <c r="K458" s="80" t="s">
        <v>299</v>
      </c>
      <c r="L458" s="84" t="s">
        <v>189</v>
      </c>
      <c r="M458" s="84" t="s">
        <v>221</v>
      </c>
      <c r="N458" s="84" t="s">
        <v>72</v>
      </c>
      <c r="O458" s="33" t="s">
        <v>2401</v>
      </c>
      <c r="P458" s="28"/>
      <c r="Q458" s="49" t="s">
        <v>75</v>
      </c>
      <c r="R458" s="196" t="s">
        <v>91</v>
      </c>
      <c r="S458" s="26"/>
      <c r="T458" s="26"/>
      <c r="U458" s="61" t="s">
        <v>2402</v>
      </c>
      <c r="V458" s="66"/>
      <c r="W458" s="106"/>
      <c r="X458" s="135" t="s">
        <v>369</v>
      </c>
      <c r="Y458" s="26" t="s">
        <v>76</v>
      </c>
      <c r="Z458" s="75" t="s">
        <v>76</v>
      </c>
      <c r="AA458" s="30" t="s">
        <v>76</v>
      </c>
      <c r="AB458" s="26"/>
      <c r="AC458" s="44"/>
    </row>
    <row r="459" spans="1:29" ht="49.5" hidden="1">
      <c r="A459" s="88">
        <v>449</v>
      </c>
      <c r="B459" s="79" t="s">
        <v>2403</v>
      </c>
      <c r="C459" s="148" t="s">
        <v>8</v>
      </c>
      <c r="D459" s="80" t="s">
        <v>63</v>
      </c>
      <c r="E459" s="27" t="s">
        <v>2404</v>
      </c>
      <c r="F459" s="80" t="s">
        <v>65</v>
      </c>
      <c r="G459" s="81" t="s">
        <v>1132</v>
      </c>
      <c r="H459" s="80" t="s">
        <v>2405</v>
      </c>
      <c r="I459" s="83">
        <v>45558</v>
      </c>
      <c r="J459" s="80" t="s">
        <v>111</v>
      </c>
      <c r="K459" s="80" t="s">
        <v>146</v>
      </c>
      <c r="L459" s="84" t="s">
        <v>122</v>
      </c>
      <c r="M459" s="84" t="s">
        <v>114</v>
      </c>
      <c r="N459" s="84" t="s">
        <v>72</v>
      </c>
      <c r="O459" s="33" t="s">
        <v>2406</v>
      </c>
      <c r="P459" s="28"/>
      <c r="Q459" s="49" t="s">
        <v>75</v>
      </c>
      <c r="R459" s="25" t="s">
        <v>91</v>
      </c>
      <c r="S459" s="26">
        <v>18</v>
      </c>
      <c r="T459" s="26">
        <v>60</v>
      </c>
      <c r="U459" s="61" t="s">
        <v>2407</v>
      </c>
      <c r="V459" s="66"/>
      <c r="W459" s="106"/>
      <c r="X459" s="106" t="s">
        <v>369</v>
      </c>
      <c r="Y459" s="26" t="s">
        <v>76</v>
      </c>
      <c r="Z459" s="75" t="s">
        <v>93</v>
      </c>
      <c r="AA459" s="30" t="s">
        <v>76</v>
      </c>
      <c r="AB459" s="26"/>
      <c r="AC459" s="44"/>
    </row>
    <row r="460" spans="1:29" ht="33" hidden="1">
      <c r="A460" s="88">
        <v>450</v>
      </c>
      <c r="B460" s="79" t="s">
        <v>2408</v>
      </c>
      <c r="C460" s="148" t="s">
        <v>8</v>
      </c>
      <c r="D460" s="80" t="s">
        <v>63</v>
      </c>
      <c r="E460" s="27" t="s">
        <v>2409</v>
      </c>
      <c r="F460" s="80" t="s">
        <v>109</v>
      </c>
      <c r="G460" s="81" t="s">
        <v>1413</v>
      </c>
      <c r="H460" s="80" t="s">
        <v>2410</v>
      </c>
      <c r="I460" s="83">
        <v>45558</v>
      </c>
      <c r="J460" s="80" t="s">
        <v>1093</v>
      </c>
      <c r="K460" s="80" t="s">
        <v>86</v>
      </c>
      <c r="L460" s="84" t="s">
        <v>100</v>
      </c>
      <c r="M460" s="84" t="s">
        <v>904</v>
      </c>
      <c r="N460" s="84" t="s">
        <v>72</v>
      </c>
      <c r="O460" s="33" t="s">
        <v>2411</v>
      </c>
      <c r="P460" s="28"/>
      <c r="Q460" s="49" t="s">
        <v>75</v>
      </c>
      <c r="R460" s="196" t="s">
        <v>91</v>
      </c>
      <c r="S460" s="26"/>
      <c r="T460" s="198" t="s">
        <v>313</v>
      </c>
      <c r="U460" s="197" t="s">
        <v>2412</v>
      </c>
      <c r="V460" s="66"/>
      <c r="W460" s="106"/>
      <c r="X460" s="106" t="s">
        <v>369</v>
      </c>
      <c r="Y460" s="26" t="s">
        <v>76</v>
      </c>
      <c r="Z460" s="93" t="s">
        <v>106</v>
      </c>
      <c r="AA460" s="30" t="s">
        <v>76</v>
      </c>
      <c r="AB460" s="26"/>
      <c r="AC460" s="44"/>
    </row>
    <row r="461" spans="1:29" ht="87" hidden="1" customHeight="1">
      <c r="A461" s="88">
        <v>451</v>
      </c>
      <c r="B461" s="79" t="s">
        <v>2413</v>
      </c>
      <c r="C461" s="148" t="s">
        <v>8</v>
      </c>
      <c r="D461" s="80" t="s">
        <v>63</v>
      </c>
      <c r="E461" s="27" t="s">
        <v>2062</v>
      </c>
      <c r="F461" s="80" t="s">
        <v>338</v>
      </c>
      <c r="G461" s="81" t="s">
        <v>1413</v>
      </c>
      <c r="H461" s="80" t="s">
        <v>2063</v>
      </c>
      <c r="I461" s="83">
        <v>45558</v>
      </c>
      <c r="J461" s="80" t="s">
        <v>2414</v>
      </c>
      <c r="K461" s="80" t="s">
        <v>69</v>
      </c>
      <c r="L461" s="84" t="s">
        <v>251</v>
      </c>
      <c r="M461" s="84" t="s">
        <v>601</v>
      </c>
      <c r="N461" s="84" t="s">
        <v>72</v>
      </c>
      <c r="O461" s="33" t="s">
        <v>2415</v>
      </c>
      <c r="P461" s="28"/>
      <c r="Q461" s="49" t="s">
        <v>75</v>
      </c>
      <c r="R461" s="25" t="s">
        <v>91</v>
      </c>
      <c r="S461" s="26">
        <v>18</v>
      </c>
      <c r="T461" s="26">
        <v>44</v>
      </c>
      <c r="U461" s="61" t="s">
        <v>2416</v>
      </c>
      <c r="V461" s="66"/>
      <c r="W461" s="106"/>
      <c r="X461" s="106" t="s">
        <v>369</v>
      </c>
      <c r="Y461" s="26" t="s">
        <v>76</v>
      </c>
      <c r="Z461" s="75" t="s">
        <v>93</v>
      </c>
      <c r="AA461" s="30" t="s">
        <v>76</v>
      </c>
      <c r="AB461" s="26"/>
      <c r="AC461" s="44"/>
    </row>
    <row r="462" spans="1:29" ht="49.5" hidden="1">
      <c r="A462" s="88">
        <v>452</v>
      </c>
      <c r="B462" s="79" t="s">
        <v>2417</v>
      </c>
      <c r="C462" s="148" t="s">
        <v>8</v>
      </c>
      <c r="D462" s="80" t="s">
        <v>63</v>
      </c>
      <c r="E462" s="27" t="s">
        <v>2418</v>
      </c>
      <c r="F462" s="80" t="s">
        <v>120</v>
      </c>
      <c r="G462" s="81" t="s">
        <v>1413</v>
      </c>
      <c r="H462" s="80" t="s">
        <v>2419</v>
      </c>
      <c r="I462" s="83">
        <v>45559</v>
      </c>
      <c r="J462" s="80" t="s">
        <v>145</v>
      </c>
      <c r="K462" s="80" t="s">
        <v>146</v>
      </c>
      <c r="L462" s="84" t="s">
        <v>147</v>
      </c>
      <c r="M462" s="84" t="s">
        <v>148</v>
      </c>
      <c r="N462" s="84" t="s">
        <v>72</v>
      </c>
      <c r="O462" s="33" t="s">
        <v>2420</v>
      </c>
      <c r="P462" s="28"/>
      <c r="Q462" s="49" t="s">
        <v>75</v>
      </c>
      <c r="R462" s="25" t="s">
        <v>91</v>
      </c>
      <c r="S462" s="26">
        <v>18</v>
      </c>
      <c r="T462" s="26">
        <v>60</v>
      </c>
      <c r="U462" s="61" t="s">
        <v>2421</v>
      </c>
      <c r="V462" s="66"/>
      <c r="W462" s="106"/>
      <c r="X462" s="106" t="s">
        <v>369</v>
      </c>
      <c r="Y462" s="26" t="s">
        <v>76</v>
      </c>
      <c r="Z462" s="75" t="s">
        <v>93</v>
      </c>
      <c r="AA462" s="30" t="s">
        <v>76</v>
      </c>
      <c r="AB462" s="26"/>
      <c r="AC462" s="44"/>
    </row>
    <row r="463" spans="1:29" ht="33" hidden="1">
      <c r="A463" s="88">
        <v>453</v>
      </c>
      <c r="B463" s="79" t="s">
        <v>2422</v>
      </c>
      <c r="C463" s="148" t="s">
        <v>8</v>
      </c>
      <c r="D463" s="80" t="s">
        <v>83</v>
      </c>
      <c r="E463" s="27" t="s">
        <v>337</v>
      </c>
      <c r="F463" s="80" t="s">
        <v>338</v>
      </c>
      <c r="G463" s="81" t="s">
        <v>339</v>
      </c>
      <c r="H463" s="80" t="s">
        <v>340</v>
      </c>
      <c r="I463" s="83">
        <v>45559</v>
      </c>
      <c r="J463" s="80" t="s">
        <v>657</v>
      </c>
      <c r="K463" s="80" t="s">
        <v>834</v>
      </c>
      <c r="L463" s="84" t="s">
        <v>189</v>
      </c>
      <c r="M463" s="84" t="s">
        <v>221</v>
      </c>
      <c r="N463" s="84" t="s">
        <v>72</v>
      </c>
      <c r="O463" s="182" t="s">
        <v>2423</v>
      </c>
      <c r="P463" s="28"/>
      <c r="Q463" s="49" t="s">
        <v>75</v>
      </c>
      <c r="R463" s="50" t="s">
        <v>91</v>
      </c>
      <c r="S463" s="26"/>
      <c r="T463" s="26"/>
      <c r="U463" s="61"/>
      <c r="V463" s="66"/>
      <c r="W463" s="106"/>
      <c r="X463" s="106" t="s">
        <v>369</v>
      </c>
      <c r="Y463" s="26" t="s">
        <v>76</v>
      </c>
      <c r="Z463" s="75" t="s">
        <v>76</v>
      </c>
      <c r="AA463" s="30" t="s">
        <v>76</v>
      </c>
      <c r="AB463" s="26"/>
      <c r="AC463" s="44"/>
    </row>
    <row r="464" spans="1:29" ht="33" hidden="1">
      <c r="A464" s="88">
        <v>454</v>
      </c>
      <c r="B464" s="79" t="s">
        <v>2424</v>
      </c>
      <c r="C464" s="148" t="s">
        <v>8</v>
      </c>
      <c r="D464" s="80" t="s">
        <v>83</v>
      </c>
      <c r="E464" s="27" t="s">
        <v>432</v>
      </c>
      <c r="F464" s="80" t="s">
        <v>120</v>
      </c>
      <c r="G464" s="81" t="s">
        <v>339</v>
      </c>
      <c r="H464" s="80" t="s">
        <v>433</v>
      </c>
      <c r="I464" s="83">
        <v>45559</v>
      </c>
      <c r="J464" s="80" t="s">
        <v>2425</v>
      </c>
      <c r="K464" s="80" t="s">
        <v>198</v>
      </c>
      <c r="L464" s="84" t="s">
        <v>199</v>
      </c>
      <c r="M464" s="84" t="s">
        <v>784</v>
      </c>
      <c r="N464" s="84" t="s">
        <v>72</v>
      </c>
      <c r="O464" s="33" t="s">
        <v>2426</v>
      </c>
      <c r="P464" s="28"/>
      <c r="Q464" s="49" t="s">
        <v>75</v>
      </c>
      <c r="R464" s="25" t="s">
        <v>75</v>
      </c>
      <c r="S464" s="26">
        <v>30</v>
      </c>
      <c r="T464" s="26">
        <v>95</v>
      </c>
      <c r="U464" s="61" t="s">
        <v>2427</v>
      </c>
      <c r="V464" s="66" t="s">
        <v>75</v>
      </c>
      <c r="W464" s="106" t="s">
        <v>792</v>
      </c>
      <c r="X464" s="106" t="s">
        <v>369</v>
      </c>
      <c r="Y464" s="106" t="s">
        <v>369</v>
      </c>
      <c r="Z464" s="75" t="s">
        <v>79</v>
      </c>
      <c r="AA464" s="30" t="s">
        <v>76</v>
      </c>
      <c r="AB464" s="26"/>
      <c r="AC464" s="44"/>
    </row>
    <row r="465" spans="1:29" ht="49.5" hidden="1">
      <c r="A465" s="88">
        <v>455</v>
      </c>
      <c r="B465" s="79" t="s">
        <v>2428</v>
      </c>
      <c r="C465" s="148" t="s">
        <v>8</v>
      </c>
      <c r="D465" s="80" t="s">
        <v>63</v>
      </c>
      <c r="E465" s="27" t="s">
        <v>2429</v>
      </c>
      <c r="F465" s="80" t="s">
        <v>284</v>
      </c>
      <c r="G465" s="81" t="s">
        <v>1132</v>
      </c>
      <c r="H465" s="80" t="s">
        <v>2430</v>
      </c>
      <c r="I465" s="83">
        <v>45559</v>
      </c>
      <c r="J465" s="80" t="s">
        <v>145</v>
      </c>
      <c r="K465" s="80" t="s">
        <v>146</v>
      </c>
      <c r="L465" s="84" t="s">
        <v>147</v>
      </c>
      <c r="M465" s="84" t="s">
        <v>148</v>
      </c>
      <c r="N465" s="84" t="s">
        <v>72</v>
      </c>
      <c r="O465" s="33" t="s">
        <v>2431</v>
      </c>
      <c r="P465" s="28"/>
      <c r="Q465" s="49" t="s">
        <v>75</v>
      </c>
      <c r="R465" s="25" t="s">
        <v>91</v>
      </c>
      <c r="S465" s="26">
        <v>18</v>
      </c>
      <c r="T465" s="26">
        <v>60</v>
      </c>
      <c r="U465" s="61" t="s">
        <v>2432</v>
      </c>
      <c r="V465" s="66"/>
      <c r="W465" s="106"/>
      <c r="X465" s="106" t="s">
        <v>369</v>
      </c>
      <c r="Y465" s="26" t="s">
        <v>76</v>
      </c>
      <c r="Z465" s="75" t="s">
        <v>93</v>
      </c>
      <c r="AA465" s="30" t="s">
        <v>76</v>
      </c>
      <c r="AB465" s="26"/>
      <c r="AC465" s="44"/>
    </row>
    <row r="466" spans="1:29" ht="33" hidden="1">
      <c r="A466" s="88">
        <v>456</v>
      </c>
      <c r="B466" s="79" t="s">
        <v>2433</v>
      </c>
      <c r="C466" s="148" t="s">
        <v>8</v>
      </c>
      <c r="D466" s="80" t="s">
        <v>83</v>
      </c>
      <c r="E466" s="27" t="s">
        <v>337</v>
      </c>
      <c r="F466" s="80" t="s">
        <v>338</v>
      </c>
      <c r="G466" s="81" t="s">
        <v>339</v>
      </c>
      <c r="H466" s="80" t="s">
        <v>340</v>
      </c>
      <c r="I466" s="83">
        <v>45559</v>
      </c>
      <c r="J466" s="80" t="s">
        <v>111</v>
      </c>
      <c r="K466" s="80" t="s">
        <v>112</v>
      </c>
      <c r="L466" s="84" t="s">
        <v>122</v>
      </c>
      <c r="M466" s="84" t="s">
        <v>114</v>
      </c>
      <c r="N466" s="84" t="s">
        <v>72</v>
      </c>
      <c r="O466" s="33" t="s">
        <v>2434</v>
      </c>
      <c r="P466" s="28" t="s">
        <v>2435</v>
      </c>
      <c r="Q466" s="49" t="s">
        <v>75</v>
      </c>
      <c r="R466" s="25" t="s">
        <v>75</v>
      </c>
      <c r="S466" s="26">
        <v>25</v>
      </c>
      <c r="T466" s="26">
        <v>79</v>
      </c>
      <c r="U466" s="61" t="s">
        <v>2436</v>
      </c>
      <c r="V466" s="66" t="s">
        <v>75</v>
      </c>
      <c r="W466" s="106" t="s">
        <v>418</v>
      </c>
      <c r="X466" s="106" t="s">
        <v>369</v>
      </c>
      <c r="Y466" s="106" t="s">
        <v>369</v>
      </c>
      <c r="Z466" s="75" t="s">
        <v>79</v>
      </c>
      <c r="AA466" s="30" t="s">
        <v>76</v>
      </c>
      <c r="AB466" s="26"/>
      <c r="AC466" s="44"/>
    </row>
    <row r="467" spans="1:29" ht="33" hidden="1">
      <c r="A467" s="88">
        <v>457</v>
      </c>
      <c r="B467" s="79" t="s">
        <v>2437</v>
      </c>
      <c r="C467" s="148" t="s">
        <v>8</v>
      </c>
      <c r="D467" s="80" t="s">
        <v>83</v>
      </c>
      <c r="E467" s="27" t="s">
        <v>668</v>
      </c>
      <c r="F467" s="80" t="s">
        <v>338</v>
      </c>
      <c r="G467" s="81" t="s">
        <v>669</v>
      </c>
      <c r="H467" s="80" t="s">
        <v>670</v>
      </c>
      <c r="I467" s="83">
        <v>45560</v>
      </c>
      <c r="J467" s="80" t="s">
        <v>250</v>
      </c>
      <c r="K467" s="80" t="s">
        <v>491</v>
      </c>
      <c r="L467" s="84" t="s">
        <v>251</v>
      </c>
      <c r="M467" s="84" t="s">
        <v>252</v>
      </c>
      <c r="N467" s="84" t="s">
        <v>72</v>
      </c>
      <c r="O467" s="33" t="s">
        <v>2438</v>
      </c>
      <c r="P467" s="28"/>
      <c r="Q467" s="49" t="s">
        <v>75</v>
      </c>
      <c r="R467" s="25" t="s">
        <v>91</v>
      </c>
      <c r="S467" s="114">
        <v>18</v>
      </c>
      <c r="T467" s="26"/>
      <c r="U467" s="61" t="s">
        <v>2439</v>
      </c>
      <c r="V467" s="66"/>
      <c r="W467" s="106"/>
      <c r="X467" s="135" t="s">
        <v>369</v>
      </c>
      <c r="Y467" s="26" t="s">
        <v>76</v>
      </c>
      <c r="Z467" s="75" t="s">
        <v>93</v>
      </c>
      <c r="AA467" s="30" t="s">
        <v>76</v>
      </c>
      <c r="AB467" s="26"/>
      <c r="AC467" s="44"/>
    </row>
    <row r="468" spans="1:29" ht="33" hidden="1">
      <c r="A468" s="88">
        <v>458</v>
      </c>
      <c r="B468" s="79" t="s">
        <v>2440</v>
      </c>
      <c r="C468" s="148" t="s">
        <v>8</v>
      </c>
      <c r="D468" s="80" t="s">
        <v>83</v>
      </c>
      <c r="E468" s="27" t="s">
        <v>952</v>
      </c>
      <c r="F468" s="80" t="s">
        <v>109</v>
      </c>
      <c r="G468" s="81" t="s">
        <v>456</v>
      </c>
      <c r="H468" s="80" t="s">
        <v>953</v>
      </c>
      <c r="I468" s="83">
        <v>45560</v>
      </c>
      <c r="J468" s="80" t="s">
        <v>145</v>
      </c>
      <c r="K468" s="80" t="s">
        <v>146</v>
      </c>
      <c r="L468" s="84" t="s">
        <v>147</v>
      </c>
      <c r="M468" s="84" t="s">
        <v>148</v>
      </c>
      <c r="N468" s="84" t="s">
        <v>72</v>
      </c>
      <c r="O468" s="33" t="s">
        <v>2441</v>
      </c>
      <c r="P468" s="28"/>
      <c r="Q468" s="49" t="s">
        <v>75</v>
      </c>
      <c r="R468" s="25" t="s">
        <v>91</v>
      </c>
      <c r="S468" s="26">
        <v>18</v>
      </c>
      <c r="T468" s="26">
        <v>60</v>
      </c>
      <c r="U468" s="61" t="s">
        <v>2442</v>
      </c>
      <c r="V468" s="66"/>
      <c r="W468" s="106"/>
      <c r="X468" s="106" t="s">
        <v>369</v>
      </c>
      <c r="Y468" s="26" t="s">
        <v>76</v>
      </c>
      <c r="Z468" s="75" t="s">
        <v>93</v>
      </c>
      <c r="AA468" s="30" t="s">
        <v>76</v>
      </c>
      <c r="AB468" s="26"/>
      <c r="AC468" s="44"/>
    </row>
    <row r="469" spans="1:29" ht="33" hidden="1">
      <c r="A469" s="88">
        <v>459</v>
      </c>
      <c r="B469" s="79" t="s">
        <v>2443</v>
      </c>
      <c r="C469" s="148" t="s">
        <v>8</v>
      </c>
      <c r="D469" s="80" t="s">
        <v>178</v>
      </c>
      <c r="E469" s="27" t="s">
        <v>523</v>
      </c>
      <c r="F469" s="80" t="s">
        <v>109</v>
      </c>
      <c r="G469" s="81" t="s">
        <v>180</v>
      </c>
      <c r="H469" s="80" t="s">
        <v>524</v>
      </c>
      <c r="I469" s="83">
        <v>45561</v>
      </c>
      <c r="J469" s="80" t="s">
        <v>145</v>
      </c>
      <c r="K469" s="80" t="s">
        <v>146</v>
      </c>
      <c r="L469" s="84" t="s">
        <v>147</v>
      </c>
      <c r="M469" s="84" t="s">
        <v>148</v>
      </c>
      <c r="N469" s="84" t="s">
        <v>72</v>
      </c>
      <c r="O469" s="33" t="s">
        <v>2444</v>
      </c>
      <c r="P469" s="28"/>
      <c r="Q469" s="49" t="s">
        <v>75</v>
      </c>
      <c r="R469" s="25" t="s">
        <v>91</v>
      </c>
      <c r="S469" s="26">
        <v>18</v>
      </c>
      <c r="T469" s="26">
        <v>60</v>
      </c>
      <c r="U469" s="61" t="s">
        <v>2445</v>
      </c>
      <c r="V469" s="66"/>
      <c r="W469" s="106"/>
      <c r="X469" s="106" t="s">
        <v>369</v>
      </c>
      <c r="Y469" s="26" t="s">
        <v>76</v>
      </c>
      <c r="Z469" s="75" t="s">
        <v>93</v>
      </c>
      <c r="AA469" s="30" t="s">
        <v>76</v>
      </c>
      <c r="AB469" s="26"/>
      <c r="AC469" s="44"/>
    </row>
    <row r="470" spans="1:29" ht="49.5" hidden="1">
      <c r="A470" s="88">
        <v>460</v>
      </c>
      <c r="B470" s="79" t="s">
        <v>2446</v>
      </c>
      <c r="C470" s="148" t="s">
        <v>8</v>
      </c>
      <c r="D470" s="80" t="s">
        <v>63</v>
      </c>
      <c r="E470" s="27" t="s">
        <v>2447</v>
      </c>
      <c r="F470" s="80" t="s">
        <v>109</v>
      </c>
      <c r="G470" s="81" t="s">
        <v>1562</v>
      </c>
      <c r="H470" s="80" t="s">
        <v>2448</v>
      </c>
      <c r="I470" s="83">
        <v>45561</v>
      </c>
      <c r="J470" s="80" t="s">
        <v>1079</v>
      </c>
      <c r="K470" s="80" t="s">
        <v>112</v>
      </c>
      <c r="L470" s="84" t="s">
        <v>122</v>
      </c>
      <c r="M470" s="84" t="s">
        <v>71</v>
      </c>
      <c r="N470" s="84" t="s">
        <v>72</v>
      </c>
      <c r="O470" s="33" t="s">
        <v>2449</v>
      </c>
      <c r="P470" s="28" t="s">
        <v>2450</v>
      </c>
      <c r="Q470" s="49" t="s">
        <v>75</v>
      </c>
      <c r="R470" s="25" t="s">
        <v>91</v>
      </c>
      <c r="S470" s="26">
        <v>23</v>
      </c>
      <c r="T470" s="26">
        <v>66</v>
      </c>
      <c r="U470" s="61" t="s">
        <v>2451</v>
      </c>
      <c r="V470" s="66"/>
      <c r="W470" s="106"/>
      <c r="X470" s="106" t="s">
        <v>369</v>
      </c>
      <c r="Y470" s="26" t="s">
        <v>76</v>
      </c>
      <c r="Z470" s="75" t="s">
        <v>93</v>
      </c>
      <c r="AA470" s="30" t="s">
        <v>76</v>
      </c>
      <c r="AB470" s="26"/>
      <c r="AC470" s="44"/>
    </row>
    <row r="471" spans="1:29" ht="33" hidden="1">
      <c r="A471" s="88">
        <v>461</v>
      </c>
      <c r="B471" s="79" t="s">
        <v>2452</v>
      </c>
      <c r="C471" s="148" t="s">
        <v>8</v>
      </c>
      <c r="D471" s="80" t="s">
        <v>63</v>
      </c>
      <c r="E471" s="27" t="s">
        <v>2447</v>
      </c>
      <c r="F471" s="80" t="s">
        <v>109</v>
      </c>
      <c r="G471" s="81" t="s">
        <v>1562</v>
      </c>
      <c r="H471" s="80" t="s">
        <v>2448</v>
      </c>
      <c r="I471" s="83">
        <v>45561</v>
      </c>
      <c r="J471" s="80" t="s">
        <v>657</v>
      </c>
      <c r="K471" s="80" t="s">
        <v>188</v>
      </c>
      <c r="L471" s="84" t="s">
        <v>189</v>
      </c>
      <c r="M471" s="84" t="s">
        <v>221</v>
      </c>
      <c r="N471" s="84" t="s">
        <v>72</v>
      </c>
      <c r="O471" s="33" t="s">
        <v>2453</v>
      </c>
      <c r="P471" s="28"/>
      <c r="Q471" s="49" t="s">
        <v>75</v>
      </c>
      <c r="R471" s="25" t="s">
        <v>91</v>
      </c>
      <c r="S471" s="26">
        <v>19</v>
      </c>
      <c r="T471" s="26">
        <v>62</v>
      </c>
      <c r="U471" s="61"/>
      <c r="V471" s="66"/>
      <c r="W471" s="106"/>
      <c r="X471" s="106" t="s">
        <v>369</v>
      </c>
      <c r="Y471" s="26" t="s">
        <v>76</v>
      </c>
      <c r="Z471" s="75" t="s">
        <v>93</v>
      </c>
      <c r="AA471" s="30" t="s">
        <v>76</v>
      </c>
      <c r="AB471" s="26"/>
      <c r="AC471" s="44"/>
    </row>
    <row r="472" spans="1:29" ht="49.5" hidden="1">
      <c r="A472" s="88">
        <v>462</v>
      </c>
      <c r="B472" s="79" t="s">
        <v>2454</v>
      </c>
      <c r="C472" s="148" t="s">
        <v>8</v>
      </c>
      <c r="D472" s="80" t="s">
        <v>63</v>
      </c>
      <c r="E472" s="27" t="s">
        <v>2404</v>
      </c>
      <c r="F472" s="80" t="s">
        <v>65</v>
      </c>
      <c r="G472" s="81" t="s">
        <v>1132</v>
      </c>
      <c r="H472" s="80" t="s">
        <v>2405</v>
      </c>
      <c r="I472" s="83">
        <v>45561</v>
      </c>
      <c r="J472" s="80" t="s">
        <v>145</v>
      </c>
      <c r="K472" s="80" t="s">
        <v>146</v>
      </c>
      <c r="L472" s="84" t="s">
        <v>147</v>
      </c>
      <c r="M472" s="84" t="s">
        <v>148</v>
      </c>
      <c r="N472" s="84" t="s">
        <v>72</v>
      </c>
      <c r="O472" s="33" t="s">
        <v>2455</v>
      </c>
      <c r="P472" s="28"/>
      <c r="Q472" s="49" t="s">
        <v>75</v>
      </c>
      <c r="R472" s="25" t="s">
        <v>91</v>
      </c>
      <c r="S472" s="26">
        <v>18</v>
      </c>
      <c r="T472" s="26">
        <v>60</v>
      </c>
      <c r="U472" s="61" t="s">
        <v>2456</v>
      </c>
      <c r="V472" s="66"/>
      <c r="W472" s="106"/>
      <c r="X472" s="106" t="s">
        <v>369</v>
      </c>
      <c r="Y472" s="26" t="s">
        <v>76</v>
      </c>
      <c r="Z472" s="75" t="s">
        <v>93</v>
      </c>
      <c r="AA472" s="30" t="s">
        <v>76</v>
      </c>
      <c r="AB472" s="26"/>
      <c r="AC472" s="44"/>
    </row>
    <row r="473" spans="1:29" ht="49.5" hidden="1">
      <c r="A473" s="88">
        <v>463</v>
      </c>
      <c r="B473" s="79" t="s">
        <v>2457</v>
      </c>
      <c r="C473" s="148" t="s">
        <v>8</v>
      </c>
      <c r="D473" s="80" t="s">
        <v>63</v>
      </c>
      <c r="E473" s="27" t="s">
        <v>2404</v>
      </c>
      <c r="F473" s="80" t="s">
        <v>65</v>
      </c>
      <c r="G473" s="81" t="s">
        <v>1132</v>
      </c>
      <c r="H473" s="80" t="s">
        <v>2405</v>
      </c>
      <c r="I473" s="83">
        <v>45561</v>
      </c>
      <c r="J473" s="80" t="s">
        <v>145</v>
      </c>
      <c r="K473" s="80" t="s">
        <v>146</v>
      </c>
      <c r="L473" s="84" t="s">
        <v>147</v>
      </c>
      <c r="M473" s="84" t="s">
        <v>148</v>
      </c>
      <c r="N473" s="84" t="s">
        <v>72</v>
      </c>
      <c r="O473" s="33" t="s">
        <v>2458</v>
      </c>
      <c r="P473" s="28"/>
      <c r="Q473" s="49" t="s">
        <v>75</v>
      </c>
      <c r="R473" s="25" t="s">
        <v>91</v>
      </c>
      <c r="S473" s="26">
        <v>18</v>
      </c>
      <c r="T473" s="26">
        <v>60</v>
      </c>
      <c r="U473" s="61" t="s">
        <v>2456</v>
      </c>
      <c r="V473" s="66"/>
      <c r="W473" s="106"/>
      <c r="X473" s="106" t="s">
        <v>369</v>
      </c>
      <c r="Y473" s="26" t="s">
        <v>76</v>
      </c>
      <c r="Z473" s="75" t="s">
        <v>93</v>
      </c>
      <c r="AA473" s="30" t="s">
        <v>76</v>
      </c>
      <c r="AB473" s="26"/>
      <c r="AC473" s="44"/>
    </row>
    <row r="474" spans="1:29" ht="49.5" hidden="1">
      <c r="A474" s="88">
        <v>464</v>
      </c>
      <c r="B474" s="79" t="s">
        <v>2459</v>
      </c>
      <c r="C474" s="148" t="s">
        <v>8</v>
      </c>
      <c r="D474" s="80" t="s">
        <v>63</v>
      </c>
      <c r="E474" s="27" t="s">
        <v>2460</v>
      </c>
      <c r="F474" s="80" t="s">
        <v>338</v>
      </c>
      <c r="G474" s="81" t="s">
        <v>2214</v>
      </c>
      <c r="H474" s="80" t="s">
        <v>2461</v>
      </c>
      <c r="I474" s="83">
        <v>45562</v>
      </c>
      <c r="J474" s="80" t="s">
        <v>145</v>
      </c>
      <c r="K474" s="80" t="s">
        <v>146</v>
      </c>
      <c r="L474" s="84" t="s">
        <v>147</v>
      </c>
      <c r="M474" s="84" t="s">
        <v>148</v>
      </c>
      <c r="N474" s="84" t="s">
        <v>72</v>
      </c>
      <c r="O474" s="33" t="s">
        <v>2462</v>
      </c>
      <c r="P474" s="28"/>
      <c r="Q474" s="49" t="s">
        <v>75</v>
      </c>
      <c r="R474" s="25" t="s">
        <v>91</v>
      </c>
      <c r="S474" s="26">
        <v>18</v>
      </c>
      <c r="T474" s="26">
        <v>60</v>
      </c>
      <c r="U474" s="61" t="s">
        <v>2463</v>
      </c>
      <c r="V474" s="66"/>
      <c r="W474" s="106"/>
      <c r="X474" s="106" t="s">
        <v>369</v>
      </c>
      <c r="Y474" s="26" t="s">
        <v>76</v>
      </c>
      <c r="Z474" s="75" t="s">
        <v>93</v>
      </c>
      <c r="AA474" s="30" t="s">
        <v>76</v>
      </c>
      <c r="AB474" s="26"/>
      <c r="AC474" s="44"/>
    </row>
    <row r="475" spans="1:29" ht="49.5" hidden="1">
      <c r="A475" s="88">
        <v>465</v>
      </c>
      <c r="B475" s="79" t="s">
        <v>2464</v>
      </c>
      <c r="C475" s="148" t="s">
        <v>8</v>
      </c>
      <c r="D475" s="80" t="s">
        <v>63</v>
      </c>
      <c r="E475" s="27" t="s">
        <v>2465</v>
      </c>
      <c r="F475" s="80" t="s">
        <v>120</v>
      </c>
      <c r="G475" s="81" t="s">
        <v>1562</v>
      </c>
      <c r="H475" s="80" t="s">
        <v>2466</v>
      </c>
      <c r="I475" s="83">
        <v>45562</v>
      </c>
      <c r="J475" s="80" t="s">
        <v>1003</v>
      </c>
      <c r="K475" s="80" t="s">
        <v>69</v>
      </c>
      <c r="L475" s="84" t="s">
        <v>100</v>
      </c>
      <c r="M475" s="84" t="s">
        <v>252</v>
      </c>
      <c r="N475" s="84" t="s">
        <v>72</v>
      </c>
      <c r="O475" s="33" t="s">
        <v>2467</v>
      </c>
      <c r="P475" s="28"/>
      <c r="Q475" s="49" t="s">
        <v>75</v>
      </c>
      <c r="R475" s="25" t="s">
        <v>91</v>
      </c>
      <c r="S475" s="26">
        <v>22</v>
      </c>
      <c r="T475" s="55" t="s">
        <v>2468</v>
      </c>
      <c r="U475" s="61" t="s">
        <v>2469</v>
      </c>
      <c r="V475" s="66"/>
      <c r="W475" s="106"/>
      <c r="X475" s="106" t="s">
        <v>369</v>
      </c>
      <c r="Y475" s="26" t="s">
        <v>76</v>
      </c>
      <c r="Z475" s="75" t="s">
        <v>93</v>
      </c>
      <c r="AA475" s="30" t="s">
        <v>76</v>
      </c>
      <c r="AB475" s="26"/>
      <c r="AC475" s="44"/>
    </row>
    <row r="476" spans="1:29" ht="33" hidden="1">
      <c r="A476" s="88">
        <v>466</v>
      </c>
      <c r="B476" s="79" t="s">
        <v>2470</v>
      </c>
      <c r="C476" s="148" t="s">
        <v>8</v>
      </c>
      <c r="D476" s="80" t="s">
        <v>63</v>
      </c>
      <c r="E476" s="27" t="s">
        <v>2465</v>
      </c>
      <c r="F476" s="80" t="s">
        <v>120</v>
      </c>
      <c r="G476" s="81" t="s">
        <v>1562</v>
      </c>
      <c r="H476" s="80" t="s">
        <v>2466</v>
      </c>
      <c r="I476" s="83">
        <v>45562</v>
      </c>
      <c r="J476" s="80" t="s">
        <v>1003</v>
      </c>
      <c r="K476" s="80" t="s">
        <v>99</v>
      </c>
      <c r="L476" s="84" t="s">
        <v>100</v>
      </c>
      <c r="M476" s="84" t="s">
        <v>252</v>
      </c>
      <c r="N476" s="84" t="s">
        <v>72</v>
      </c>
      <c r="O476" s="33" t="s">
        <v>2471</v>
      </c>
      <c r="P476" s="28"/>
      <c r="Q476" s="49" t="s">
        <v>91</v>
      </c>
      <c r="R476" s="25"/>
      <c r="S476" s="26">
        <v>11</v>
      </c>
      <c r="T476" s="26"/>
      <c r="U476" s="61"/>
      <c r="V476" s="66"/>
      <c r="W476" s="106"/>
      <c r="X476" s="106" t="s">
        <v>76</v>
      </c>
      <c r="Y476" s="26" t="s">
        <v>76</v>
      </c>
      <c r="Z476" s="93" t="s">
        <v>193</v>
      </c>
      <c r="AA476" s="30" t="s">
        <v>76</v>
      </c>
      <c r="AB476" s="26"/>
      <c r="AC476" s="44"/>
    </row>
    <row r="477" spans="1:29" ht="33" hidden="1">
      <c r="A477" s="88">
        <v>467</v>
      </c>
      <c r="B477" s="79" t="s">
        <v>2472</v>
      </c>
      <c r="C477" s="148" t="s">
        <v>8</v>
      </c>
      <c r="D477" s="80" t="s">
        <v>63</v>
      </c>
      <c r="E477" s="27" t="s">
        <v>2473</v>
      </c>
      <c r="F477" s="80" t="s">
        <v>65</v>
      </c>
      <c r="G477" s="81" t="s">
        <v>2474</v>
      </c>
      <c r="H477" s="80" t="s">
        <v>2475</v>
      </c>
      <c r="I477" s="83">
        <v>45562</v>
      </c>
      <c r="J477" s="80" t="s">
        <v>1003</v>
      </c>
      <c r="K477" s="80" t="s">
        <v>69</v>
      </c>
      <c r="L477" s="84" t="s">
        <v>100</v>
      </c>
      <c r="M477" s="84" t="s">
        <v>252</v>
      </c>
      <c r="N477" s="84" t="s">
        <v>72</v>
      </c>
      <c r="O477" s="33" t="s">
        <v>2476</v>
      </c>
      <c r="P477" s="28"/>
      <c r="Q477" s="49" t="s">
        <v>75</v>
      </c>
      <c r="R477" s="25" t="s">
        <v>91</v>
      </c>
      <c r="S477" s="26">
        <v>18</v>
      </c>
      <c r="T477" s="26">
        <v>51</v>
      </c>
      <c r="U477" s="61" t="s">
        <v>2477</v>
      </c>
      <c r="V477" s="66"/>
      <c r="W477" s="106"/>
      <c r="X477" s="106" t="s">
        <v>369</v>
      </c>
      <c r="Y477" s="26" t="s">
        <v>76</v>
      </c>
      <c r="Z477" s="75" t="s">
        <v>93</v>
      </c>
      <c r="AA477" s="30" t="s">
        <v>76</v>
      </c>
      <c r="AB477" s="26"/>
      <c r="AC477" s="44"/>
    </row>
    <row r="478" spans="1:29" ht="49.5" hidden="1">
      <c r="A478" s="88">
        <v>468</v>
      </c>
      <c r="B478" s="79" t="s">
        <v>2478</v>
      </c>
      <c r="C478" s="148" t="s">
        <v>8</v>
      </c>
      <c r="D478" s="80" t="s">
        <v>63</v>
      </c>
      <c r="E478" s="27" t="s">
        <v>2473</v>
      </c>
      <c r="F478" s="80" t="s">
        <v>65</v>
      </c>
      <c r="G478" s="81" t="s">
        <v>2474</v>
      </c>
      <c r="H478" s="80" t="s">
        <v>2475</v>
      </c>
      <c r="I478" s="83">
        <v>45562</v>
      </c>
      <c r="J478" s="80" t="s">
        <v>1003</v>
      </c>
      <c r="K478" s="80" t="s">
        <v>69</v>
      </c>
      <c r="L478" s="84" t="s">
        <v>100</v>
      </c>
      <c r="M478" s="84" t="s">
        <v>252</v>
      </c>
      <c r="N478" s="84" t="s">
        <v>72</v>
      </c>
      <c r="O478" s="33" t="s">
        <v>2479</v>
      </c>
      <c r="P478" s="28"/>
      <c r="Q478" s="49" t="s">
        <v>75</v>
      </c>
      <c r="R478" s="25" t="s">
        <v>91</v>
      </c>
      <c r="S478" s="114">
        <v>18</v>
      </c>
      <c r="T478" s="26">
        <v>42</v>
      </c>
      <c r="U478" s="61" t="s">
        <v>2480</v>
      </c>
      <c r="V478" s="66"/>
      <c r="W478" s="106"/>
      <c r="X478" s="106" t="s">
        <v>369</v>
      </c>
      <c r="Y478" s="26" t="s">
        <v>76</v>
      </c>
      <c r="Z478" s="75" t="s">
        <v>93</v>
      </c>
      <c r="AA478" s="30" t="s">
        <v>76</v>
      </c>
      <c r="AB478" s="26"/>
      <c r="AC478" s="44"/>
    </row>
    <row r="479" spans="1:29" ht="33" hidden="1">
      <c r="A479" s="88">
        <v>469</v>
      </c>
      <c r="B479" s="79" t="s">
        <v>2481</v>
      </c>
      <c r="C479" s="148" t="s">
        <v>8</v>
      </c>
      <c r="D479" s="80" t="s">
        <v>63</v>
      </c>
      <c r="E479" s="27" t="s">
        <v>2482</v>
      </c>
      <c r="F479" s="80" t="s">
        <v>109</v>
      </c>
      <c r="G479" s="81" t="s">
        <v>1562</v>
      </c>
      <c r="H479" s="80" t="s">
        <v>670</v>
      </c>
      <c r="I479" s="83">
        <v>45562</v>
      </c>
      <c r="J479" s="80" t="s">
        <v>250</v>
      </c>
      <c r="K479" s="80" t="s">
        <v>491</v>
      </c>
      <c r="L479" s="84" t="s">
        <v>251</v>
      </c>
      <c r="M479" s="84" t="s">
        <v>252</v>
      </c>
      <c r="N479" s="84" t="s">
        <v>72</v>
      </c>
      <c r="O479" s="33" t="s">
        <v>2483</v>
      </c>
      <c r="P479" s="28"/>
      <c r="Q479" s="49" t="s">
        <v>75</v>
      </c>
      <c r="R479" s="25" t="s">
        <v>91</v>
      </c>
      <c r="S479" s="114">
        <v>18</v>
      </c>
      <c r="T479" s="26"/>
      <c r="U479" s="61" t="s">
        <v>2439</v>
      </c>
      <c r="V479" s="66"/>
      <c r="W479" s="106"/>
      <c r="X479" s="106" t="s">
        <v>369</v>
      </c>
      <c r="Y479" s="26" t="s">
        <v>76</v>
      </c>
      <c r="Z479" s="75" t="s">
        <v>93</v>
      </c>
      <c r="AA479" s="30" t="s">
        <v>76</v>
      </c>
      <c r="AB479" s="26"/>
      <c r="AC479" s="44"/>
    </row>
    <row r="480" spans="1:29" ht="33" hidden="1">
      <c r="A480" s="88">
        <v>470</v>
      </c>
      <c r="B480" s="79" t="s">
        <v>2484</v>
      </c>
      <c r="C480" s="148" t="s">
        <v>8</v>
      </c>
      <c r="D480" s="80" t="s">
        <v>63</v>
      </c>
      <c r="E480" s="27" t="s">
        <v>2482</v>
      </c>
      <c r="F480" s="80" t="s">
        <v>109</v>
      </c>
      <c r="G480" s="81" t="s">
        <v>1562</v>
      </c>
      <c r="H480" s="80" t="s">
        <v>670</v>
      </c>
      <c r="I480" s="83">
        <v>45562</v>
      </c>
      <c r="J480" s="80" t="s">
        <v>250</v>
      </c>
      <c r="K480" s="80" t="s">
        <v>491</v>
      </c>
      <c r="L480" s="84" t="s">
        <v>251</v>
      </c>
      <c r="M480" s="84" t="s">
        <v>252</v>
      </c>
      <c r="N480" s="84" t="s">
        <v>72</v>
      </c>
      <c r="O480" s="33" t="s">
        <v>2485</v>
      </c>
      <c r="P480" s="28"/>
      <c r="Q480" s="49" t="s">
        <v>75</v>
      </c>
      <c r="R480" s="25" t="s">
        <v>91</v>
      </c>
      <c r="S480" s="114">
        <v>18</v>
      </c>
      <c r="T480" s="26"/>
      <c r="U480" s="61" t="s">
        <v>2486</v>
      </c>
      <c r="V480" s="66"/>
      <c r="W480" s="106"/>
      <c r="X480" s="106" t="s">
        <v>369</v>
      </c>
      <c r="Y480" s="26" t="s">
        <v>76</v>
      </c>
      <c r="Z480" s="75" t="s">
        <v>93</v>
      </c>
      <c r="AA480" s="30" t="s">
        <v>76</v>
      </c>
      <c r="AB480" s="26"/>
      <c r="AC480" s="44"/>
    </row>
    <row r="481" spans="1:29" ht="33" hidden="1">
      <c r="A481" s="88">
        <v>471</v>
      </c>
      <c r="B481" s="79" t="s">
        <v>2487</v>
      </c>
      <c r="C481" s="148" t="s">
        <v>8</v>
      </c>
      <c r="D481" s="80" t="s">
        <v>63</v>
      </c>
      <c r="E481" s="27" t="s">
        <v>2488</v>
      </c>
      <c r="F481" s="80" t="s">
        <v>65</v>
      </c>
      <c r="G481" s="81" t="s">
        <v>2474</v>
      </c>
      <c r="H481" s="80" t="s">
        <v>2489</v>
      </c>
      <c r="I481" s="83">
        <v>45562</v>
      </c>
      <c r="J481" s="80" t="s">
        <v>1400</v>
      </c>
      <c r="K481" s="80" t="s">
        <v>188</v>
      </c>
      <c r="L481" s="84" t="s">
        <v>189</v>
      </c>
      <c r="M481" s="84" t="s">
        <v>601</v>
      </c>
      <c r="N481" s="84" t="s">
        <v>72</v>
      </c>
      <c r="O481" s="33" t="s">
        <v>2490</v>
      </c>
      <c r="P481" s="28"/>
      <c r="Q481" s="49" t="s">
        <v>75</v>
      </c>
      <c r="R481" s="25" t="s">
        <v>91</v>
      </c>
      <c r="S481" s="26">
        <v>18</v>
      </c>
      <c r="T481" s="26">
        <v>61</v>
      </c>
      <c r="U481" s="61"/>
      <c r="V481" s="66"/>
      <c r="W481" s="106"/>
      <c r="X481" s="106" t="s">
        <v>369</v>
      </c>
      <c r="Y481" s="26" t="s">
        <v>76</v>
      </c>
      <c r="Z481" s="75" t="s">
        <v>93</v>
      </c>
      <c r="AA481" s="30" t="s">
        <v>76</v>
      </c>
      <c r="AB481" s="26"/>
      <c r="AC481" s="44"/>
    </row>
    <row r="482" spans="1:29" ht="33" hidden="1">
      <c r="A482" s="88">
        <v>472</v>
      </c>
      <c r="B482" s="79" t="s">
        <v>2491</v>
      </c>
      <c r="C482" s="148" t="s">
        <v>8</v>
      </c>
      <c r="D482" s="80" t="s">
        <v>63</v>
      </c>
      <c r="E482" s="27" t="s">
        <v>2492</v>
      </c>
      <c r="F482" s="80" t="s">
        <v>2493</v>
      </c>
      <c r="G482" s="81" t="s">
        <v>2474</v>
      </c>
      <c r="H482" s="80" t="s">
        <v>2494</v>
      </c>
      <c r="I482" s="83">
        <v>45562</v>
      </c>
      <c r="J482" s="80" t="s">
        <v>250</v>
      </c>
      <c r="K482" s="80" t="s">
        <v>491</v>
      </c>
      <c r="L482" s="84" t="s">
        <v>251</v>
      </c>
      <c r="M482" s="84" t="s">
        <v>252</v>
      </c>
      <c r="N482" s="84" t="s">
        <v>72</v>
      </c>
      <c r="O482" s="33" t="s">
        <v>2495</v>
      </c>
      <c r="P482" s="28"/>
      <c r="Q482" s="49" t="s">
        <v>91</v>
      </c>
      <c r="R482" s="25"/>
      <c r="S482" s="26"/>
      <c r="T482" s="26"/>
      <c r="U482" s="61" t="s">
        <v>2496</v>
      </c>
      <c r="V482" s="66"/>
      <c r="W482" s="106"/>
      <c r="X482" s="106" t="s">
        <v>76</v>
      </c>
      <c r="Y482" s="26" t="s">
        <v>76</v>
      </c>
      <c r="Z482" s="75" t="s">
        <v>193</v>
      </c>
      <c r="AA482" s="30" t="s">
        <v>76</v>
      </c>
      <c r="AB482" s="26" t="s">
        <v>75</v>
      </c>
      <c r="AC482" s="44"/>
    </row>
    <row r="483" spans="1:29" ht="49.5" hidden="1">
      <c r="A483" s="88">
        <v>473</v>
      </c>
      <c r="B483" s="79" t="s">
        <v>2497</v>
      </c>
      <c r="C483" s="148" t="s">
        <v>8</v>
      </c>
      <c r="D483" s="80" t="s">
        <v>63</v>
      </c>
      <c r="E483" s="27" t="s">
        <v>2498</v>
      </c>
      <c r="F483" s="80" t="s">
        <v>338</v>
      </c>
      <c r="G483" s="81" t="s">
        <v>1562</v>
      </c>
      <c r="H483" s="80" t="s">
        <v>2499</v>
      </c>
      <c r="I483" s="83">
        <v>45562</v>
      </c>
      <c r="J483" s="80" t="s">
        <v>1003</v>
      </c>
      <c r="K483" s="80" t="s">
        <v>99</v>
      </c>
      <c r="L483" s="84" t="s">
        <v>100</v>
      </c>
      <c r="M483" s="84" t="s">
        <v>252</v>
      </c>
      <c r="N483" s="84" t="s">
        <v>72</v>
      </c>
      <c r="O483" s="33" t="s">
        <v>2500</v>
      </c>
      <c r="P483" s="28"/>
      <c r="Q483" s="49" t="s">
        <v>91</v>
      </c>
      <c r="R483" s="25"/>
      <c r="S483" s="55" t="s">
        <v>2501</v>
      </c>
      <c r="T483" s="26"/>
      <c r="U483" s="61" t="s">
        <v>2502</v>
      </c>
      <c r="V483" s="66"/>
      <c r="W483" s="106"/>
      <c r="X483" s="106" t="s">
        <v>76</v>
      </c>
      <c r="Y483" s="26" t="s">
        <v>76</v>
      </c>
      <c r="Z483" s="93" t="s">
        <v>193</v>
      </c>
      <c r="AA483" s="30" t="s">
        <v>76</v>
      </c>
      <c r="AB483" s="26" t="s">
        <v>75</v>
      </c>
      <c r="AC483" s="44"/>
    </row>
    <row r="484" spans="1:29" ht="33" hidden="1">
      <c r="A484" s="88">
        <v>474</v>
      </c>
      <c r="B484" s="79" t="s">
        <v>2503</v>
      </c>
      <c r="C484" s="148" t="s">
        <v>8</v>
      </c>
      <c r="D484" s="80" t="s">
        <v>83</v>
      </c>
      <c r="E484" s="27" t="s">
        <v>378</v>
      </c>
      <c r="F484" s="80" t="s">
        <v>109</v>
      </c>
      <c r="G484" s="81" t="s">
        <v>339</v>
      </c>
      <c r="H484" s="80" t="s">
        <v>379</v>
      </c>
      <c r="I484" s="83">
        <v>45562</v>
      </c>
      <c r="J484" s="80" t="s">
        <v>241</v>
      </c>
      <c r="K484" s="80" t="s">
        <v>198</v>
      </c>
      <c r="L484" s="84" t="s">
        <v>199</v>
      </c>
      <c r="M484" s="84" t="s">
        <v>221</v>
      </c>
      <c r="N484" s="84" t="s">
        <v>72</v>
      </c>
      <c r="O484" s="33" t="s">
        <v>2504</v>
      </c>
      <c r="P484" s="28"/>
      <c r="Q484" s="49" t="s">
        <v>91</v>
      </c>
      <c r="R484" s="25"/>
      <c r="S484" s="26">
        <v>16</v>
      </c>
      <c r="T484" s="26"/>
      <c r="U484" s="61" t="s">
        <v>2505</v>
      </c>
      <c r="V484" s="66"/>
      <c r="W484" s="106"/>
      <c r="X484" s="106" t="s">
        <v>76</v>
      </c>
      <c r="Y484" s="26" t="s">
        <v>76</v>
      </c>
      <c r="Z484" s="111" t="s">
        <v>193</v>
      </c>
      <c r="AA484" s="30" t="s">
        <v>76</v>
      </c>
      <c r="AB484" s="26"/>
      <c r="AC484" s="44"/>
    </row>
    <row r="485" spans="1:29" ht="33" hidden="1">
      <c r="A485" s="88">
        <v>475</v>
      </c>
      <c r="B485" s="79" t="s">
        <v>2506</v>
      </c>
      <c r="C485" s="148" t="s">
        <v>8</v>
      </c>
      <c r="D485" s="80" t="s">
        <v>83</v>
      </c>
      <c r="E485" s="27" t="s">
        <v>378</v>
      </c>
      <c r="F485" s="80" t="s">
        <v>109</v>
      </c>
      <c r="G485" s="81" t="s">
        <v>339</v>
      </c>
      <c r="H485" s="80" t="s">
        <v>379</v>
      </c>
      <c r="I485" s="83">
        <v>45562</v>
      </c>
      <c r="J485" s="80" t="s">
        <v>241</v>
      </c>
      <c r="K485" s="80" t="s">
        <v>198</v>
      </c>
      <c r="L485" s="84" t="s">
        <v>199</v>
      </c>
      <c r="M485" s="84" t="s">
        <v>221</v>
      </c>
      <c r="N485" s="84" t="s">
        <v>72</v>
      </c>
      <c r="O485" s="33" t="s">
        <v>2507</v>
      </c>
      <c r="P485" s="28"/>
      <c r="Q485" s="49" t="s">
        <v>75</v>
      </c>
      <c r="R485" s="25" t="s">
        <v>91</v>
      </c>
      <c r="S485" s="26">
        <v>27</v>
      </c>
      <c r="T485" s="26">
        <v>61</v>
      </c>
      <c r="U485" s="61" t="s">
        <v>2508</v>
      </c>
      <c r="V485" s="66"/>
      <c r="W485" s="106"/>
      <c r="X485" s="135" t="s">
        <v>369</v>
      </c>
      <c r="Y485" s="106" t="s">
        <v>76</v>
      </c>
      <c r="Z485" s="111" t="s">
        <v>93</v>
      </c>
      <c r="AA485" s="30" t="s">
        <v>76</v>
      </c>
      <c r="AB485" s="26"/>
      <c r="AC485" s="44"/>
    </row>
    <row r="486" spans="1:29" ht="82.5" hidden="1">
      <c r="A486" s="88">
        <v>476</v>
      </c>
      <c r="B486" s="79" t="s">
        <v>2509</v>
      </c>
      <c r="C486" s="148" t="s">
        <v>8</v>
      </c>
      <c r="D486" s="80" t="s">
        <v>63</v>
      </c>
      <c r="E486" s="27" t="s">
        <v>2510</v>
      </c>
      <c r="F486" s="80" t="s">
        <v>65</v>
      </c>
      <c r="G486" s="81" t="s">
        <v>1701</v>
      </c>
      <c r="H486" s="80" t="s">
        <v>2511</v>
      </c>
      <c r="I486" s="83">
        <v>45562</v>
      </c>
      <c r="J486" s="80" t="s">
        <v>241</v>
      </c>
      <c r="K486" s="80" t="s">
        <v>198</v>
      </c>
      <c r="L486" s="84" t="s">
        <v>199</v>
      </c>
      <c r="M486" s="84" t="s">
        <v>221</v>
      </c>
      <c r="N486" s="84" t="s">
        <v>72</v>
      </c>
      <c r="O486" s="33" t="s">
        <v>2512</v>
      </c>
      <c r="P486" s="28" t="s">
        <v>2513</v>
      </c>
      <c r="Q486" s="49" t="s">
        <v>75</v>
      </c>
      <c r="R486" s="25" t="s">
        <v>91</v>
      </c>
      <c r="S486" s="26">
        <v>18</v>
      </c>
      <c r="T486" s="26">
        <v>52</v>
      </c>
      <c r="U486" s="61" t="s">
        <v>2514</v>
      </c>
      <c r="V486" s="66"/>
      <c r="W486" s="106"/>
      <c r="X486" s="106" t="s">
        <v>369</v>
      </c>
      <c r="Y486" s="106" t="s">
        <v>76</v>
      </c>
      <c r="Z486" s="75" t="s">
        <v>93</v>
      </c>
      <c r="AA486" s="30" t="s">
        <v>76</v>
      </c>
      <c r="AB486" s="26"/>
      <c r="AC486" s="44"/>
    </row>
    <row r="487" spans="1:29" ht="49.5" hidden="1">
      <c r="A487" s="88">
        <v>477</v>
      </c>
      <c r="B487" s="79" t="s">
        <v>2515</v>
      </c>
      <c r="C487" s="148" t="s">
        <v>8</v>
      </c>
      <c r="D487" s="80" t="s">
        <v>63</v>
      </c>
      <c r="E487" s="27" t="s">
        <v>1591</v>
      </c>
      <c r="F487" s="80" t="s">
        <v>109</v>
      </c>
      <c r="G487" s="81" t="s">
        <v>1132</v>
      </c>
      <c r="H487" s="80" t="s">
        <v>1592</v>
      </c>
      <c r="I487" s="83">
        <v>45562</v>
      </c>
      <c r="J487" s="80" t="s">
        <v>241</v>
      </c>
      <c r="K487" s="80" t="s">
        <v>198</v>
      </c>
      <c r="L487" s="84" t="s">
        <v>199</v>
      </c>
      <c r="M487" s="84" t="s">
        <v>221</v>
      </c>
      <c r="N487" s="84" t="s">
        <v>72</v>
      </c>
      <c r="O487" s="33" t="s">
        <v>2516</v>
      </c>
      <c r="P487" s="28"/>
      <c r="Q487" s="49" t="s">
        <v>75</v>
      </c>
      <c r="R487" s="25" t="s">
        <v>91</v>
      </c>
      <c r="S487" s="26">
        <v>18</v>
      </c>
      <c r="T487" s="26">
        <v>52</v>
      </c>
      <c r="U487" s="61" t="s">
        <v>1560</v>
      </c>
      <c r="V487" s="66"/>
      <c r="W487" s="106"/>
      <c r="X487" s="106" t="s">
        <v>369</v>
      </c>
      <c r="Y487" s="106" t="s">
        <v>76</v>
      </c>
      <c r="Z487" s="75" t="s">
        <v>93</v>
      </c>
      <c r="AA487" s="30" t="s">
        <v>76</v>
      </c>
      <c r="AB487" s="26"/>
      <c r="AC487" s="44"/>
    </row>
    <row r="488" spans="1:29" ht="33" hidden="1">
      <c r="A488" s="88">
        <v>478</v>
      </c>
      <c r="B488" s="79" t="s">
        <v>2517</v>
      </c>
      <c r="C488" s="148" t="s">
        <v>8</v>
      </c>
      <c r="D488" s="80" t="s">
        <v>63</v>
      </c>
      <c r="E488" s="27" t="s">
        <v>2389</v>
      </c>
      <c r="F488" s="80" t="s">
        <v>120</v>
      </c>
      <c r="G488" s="81" t="s">
        <v>757</v>
      </c>
      <c r="H488" s="80" t="s">
        <v>2390</v>
      </c>
      <c r="I488" s="83">
        <v>45562</v>
      </c>
      <c r="J488" s="80" t="s">
        <v>241</v>
      </c>
      <c r="K488" s="80" t="s">
        <v>198</v>
      </c>
      <c r="L488" s="84" t="s">
        <v>199</v>
      </c>
      <c r="M488" s="84" t="s">
        <v>221</v>
      </c>
      <c r="N488" s="84" t="s">
        <v>72</v>
      </c>
      <c r="O488" s="33" t="s">
        <v>2518</v>
      </c>
      <c r="P488" s="28"/>
      <c r="Q488" s="49" t="s">
        <v>75</v>
      </c>
      <c r="R488" s="25" t="s">
        <v>91</v>
      </c>
      <c r="S488" s="26">
        <v>18</v>
      </c>
      <c r="T488" s="26">
        <v>52</v>
      </c>
      <c r="U488" s="61" t="s">
        <v>2519</v>
      </c>
      <c r="V488" s="66"/>
      <c r="W488" s="106"/>
      <c r="X488" s="106" t="s">
        <v>369</v>
      </c>
      <c r="Y488" s="106" t="s">
        <v>76</v>
      </c>
      <c r="Z488" s="75" t="s">
        <v>93</v>
      </c>
      <c r="AA488" s="30" t="s">
        <v>76</v>
      </c>
      <c r="AB488" s="26"/>
      <c r="AC488" s="44"/>
    </row>
    <row r="489" spans="1:29" ht="33" hidden="1">
      <c r="A489" s="88">
        <v>479</v>
      </c>
      <c r="B489" s="79" t="s">
        <v>2520</v>
      </c>
      <c r="C489" s="148" t="s">
        <v>8</v>
      </c>
      <c r="D489" s="80" t="s">
        <v>63</v>
      </c>
      <c r="E489" s="27" t="s">
        <v>2521</v>
      </c>
      <c r="F489" s="80" t="s">
        <v>120</v>
      </c>
      <c r="G489" s="81" t="s">
        <v>1562</v>
      </c>
      <c r="H489" s="80" t="s">
        <v>2522</v>
      </c>
      <c r="I489" s="83">
        <v>45562</v>
      </c>
      <c r="J489" s="80" t="s">
        <v>187</v>
      </c>
      <c r="K489" s="80" t="s">
        <v>112</v>
      </c>
      <c r="L489" s="84" t="s">
        <v>189</v>
      </c>
      <c r="M489" s="84" t="s">
        <v>114</v>
      </c>
      <c r="N489" s="84" t="s">
        <v>72</v>
      </c>
      <c r="O489" s="33" t="s">
        <v>2523</v>
      </c>
      <c r="P489" s="28"/>
      <c r="Q489" s="49" t="s">
        <v>75</v>
      </c>
      <c r="R489" s="25" t="s">
        <v>91</v>
      </c>
      <c r="S489" s="26">
        <v>18</v>
      </c>
      <c r="T489" s="26">
        <v>63</v>
      </c>
      <c r="U489" s="61" t="s">
        <v>2277</v>
      </c>
      <c r="V489" s="66"/>
      <c r="W489" s="106"/>
      <c r="X489" s="106" t="s">
        <v>369</v>
      </c>
      <c r="Y489" s="26" t="s">
        <v>76</v>
      </c>
      <c r="Z489" s="75" t="s">
        <v>93</v>
      </c>
      <c r="AA489" s="30" t="s">
        <v>76</v>
      </c>
      <c r="AB489" s="26"/>
      <c r="AC489" s="44"/>
    </row>
    <row r="490" spans="1:29" ht="33" hidden="1">
      <c r="A490" s="88">
        <v>480</v>
      </c>
      <c r="B490" s="79" t="s">
        <v>2524</v>
      </c>
      <c r="C490" s="148" t="s">
        <v>8</v>
      </c>
      <c r="D490" s="80" t="s">
        <v>63</v>
      </c>
      <c r="E490" s="27" t="s">
        <v>2521</v>
      </c>
      <c r="F490" s="80" t="s">
        <v>120</v>
      </c>
      <c r="G490" s="81" t="s">
        <v>1562</v>
      </c>
      <c r="H490" s="80" t="s">
        <v>2522</v>
      </c>
      <c r="I490" s="83">
        <v>45562</v>
      </c>
      <c r="J490" s="80" t="s">
        <v>187</v>
      </c>
      <c r="K490" s="80" t="s">
        <v>188</v>
      </c>
      <c r="L490" s="84" t="s">
        <v>189</v>
      </c>
      <c r="M490" s="84" t="s">
        <v>114</v>
      </c>
      <c r="N490" s="84" t="s">
        <v>72</v>
      </c>
      <c r="O490" s="33" t="s">
        <v>2525</v>
      </c>
      <c r="P490" s="28"/>
      <c r="Q490" s="49" t="s">
        <v>75</v>
      </c>
      <c r="R490" s="25" t="s">
        <v>91</v>
      </c>
      <c r="S490" s="26">
        <v>21</v>
      </c>
      <c r="T490" s="26">
        <v>67</v>
      </c>
      <c r="U490" s="61"/>
      <c r="V490" s="66"/>
      <c r="W490" s="106"/>
      <c r="X490" s="106" t="s">
        <v>369</v>
      </c>
      <c r="Y490" s="26" t="s">
        <v>76</v>
      </c>
      <c r="Z490" s="75" t="s">
        <v>93</v>
      </c>
      <c r="AA490" s="30" t="s">
        <v>76</v>
      </c>
      <c r="AB490" s="26"/>
      <c r="AC490" s="44"/>
    </row>
    <row r="491" spans="1:29" ht="49.5" hidden="1">
      <c r="A491" s="88">
        <v>481</v>
      </c>
      <c r="B491" s="79" t="s">
        <v>2526</v>
      </c>
      <c r="C491" s="148" t="s">
        <v>8</v>
      </c>
      <c r="D491" s="80" t="s">
        <v>63</v>
      </c>
      <c r="E491" s="27" t="s">
        <v>2527</v>
      </c>
      <c r="F491" s="80" t="s">
        <v>65</v>
      </c>
      <c r="G491" s="81" t="s">
        <v>1701</v>
      </c>
      <c r="H491" s="80" t="s">
        <v>2528</v>
      </c>
      <c r="I491" s="83">
        <v>45562</v>
      </c>
      <c r="J491" s="80" t="s">
        <v>241</v>
      </c>
      <c r="K491" s="80" t="s">
        <v>198</v>
      </c>
      <c r="L491" s="84" t="s">
        <v>199</v>
      </c>
      <c r="M491" s="84" t="s">
        <v>221</v>
      </c>
      <c r="N491" s="84" t="s">
        <v>72</v>
      </c>
      <c r="O491" s="33" t="s">
        <v>2529</v>
      </c>
      <c r="P491" s="28"/>
      <c r="Q491" s="49" t="s">
        <v>75</v>
      </c>
      <c r="R491" s="25" t="s">
        <v>91</v>
      </c>
      <c r="S491" s="26">
        <v>18</v>
      </c>
      <c r="T491" s="26">
        <v>52</v>
      </c>
      <c r="U491" s="61" t="s">
        <v>2530</v>
      </c>
      <c r="V491" s="66"/>
      <c r="W491" s="106"/>
      <c r="X491" s="106" t="s">
        <v>369</v>
      </c>
      <c r="Y491" s="106" t="s">
        <v>76</v>
      </c>
      <c r="Z491" s="75" t="s">
        <v>93</v>
      </c>
      <c r="AA491" s="30" t="s">
        <v>76</v>
      </c>
      <c r="AB491" s="26"/>
      <c r="AC491" s="44"/>
    </row>
    <row r="492" spans="1:29" ht="66" hidden="1">
      <c r="A492" s="88">
        <v>482</v>
      </c>
      <c r="B492" s="79" t="s">
        <v>2531</v>
      </c>
      <c r="C492" s="148" t="s">
        <v>8</v>
      </c>
      <c r="D492" s="80" t="s">
        <v>83</v>
      </c>
      <c r="E492" s="27" t="s">
        <v>2532</v>
      </c>
      <c r="F492" s="80" t="s">
        <v>120</v>
      </c>
      <c r="G492" s="81" t="s">
        <v>339</v>
      </c>
      <c r="H492" s="80" t="s">
        <v>2533</v>
      </c>
      <c r="I492" s="83">
        <v>45562</v>
      </c>
      <c r="J492" s="80" t="s">
        <v>241</v>
      </c>
      <c r="K492" s="80" t="s">
        <v>198</v>
      </c>
      <c r="L492" s="84" t="s">
        <v>199</v>
      </c>
      <c r="M492" s="84" t="s">
        <v>221</v>
      </c>
      <c r="N492" s="84" t="s">
        <v>72</v>
      </c>
      <c r="O492" s="33" t="s">
        <v>2534</v>
      </c>
      <c r="P492" s="28" t="s">
        <v>2535</v>
      </c>
      <c r="Q492" s="49" t="s">
        <v>75</v>
      </c>
      <c r="R492" s="25" t="s">
        <v>91</v>
      </c>
      <c r="S492" s="26">
        <v>18</v>
      </c>
      <c r="T492" s="26">
        <v>52</v>
      </c>
      <c r="U492" s="61" t="s">
        <v>1560</v>
      </c>
      <c r="V492" s="66"/>
      <c r="W492" s="106"/>
      <c r="X492" s="106" t="s">
        <v>369</v>
      </c>
      <c r="Y492" s="106" t="s">
        <v>76</v>
      </c>
      <c r="Z492" s="75" t="s">
        <v>93</v>
      </c>
      <c r="AA492" s="30" t="s">
        <v>76</v>
      </c>
      <c r="AB492" s="26"/>
      <c r="AC492" s="44"/>
    </row>
    <row r="493" spans="1:29" ht="49.5" hidden="1">
      <c r="A493" s="88">
        <v>483</v>
      </c>
      <c r="B493" s="79" t="s">
        <v>2536</v>
      </c>
      <c r="C493" s="148" t="s">
        <v>8</v>
      </c>
      <c r="D493" s="80" t="s">
        <v>178</v>
      </c>
      <c r="E493" s="27" t="s">
        <v>2537</v>
      </c>
      <c r="F493" s="80" t="s">
        <v>109</v>
      </c>
      <c r="G493" s="81" t="s">
        <v>180</v>
      </c>
      <c r="H493" s="80" t="s">
        <v>2538</v>
      </c>
      <c r="I493" s="83">
        <v>45562</v>
      </c>
      <c r="J493" s="80" t="s">
        <v>1954</v>
      </c>
      <c r="K493" s="80" t="s">
        <v>156</v>
      </c>
      <c r="L493" s="84" t="s">
        <v>171</v>
      </c>
      <c r="M493" s="84" t="s">
        <v>114</v>
      </c>
      <c r="N493" s="84" t="s">
        <v>72</v>
      </c>
      <c r="O493" s="33" t="s">
        <v>2539</v>
      </c>
      <c r="P493" s="28"/>
      <c r="Q493" s="49" t="s">
        <v>91</v>
      </c>
      <c r="R493" s="25"/>
      <c r="S493" s="26">
        <v>17</v>
      </c>
      <c r="T493" s="26"/>
      <c r="U493" s="61" t="s">
        <v>2540</v>
      </c>
      <c r="V493" s="66"/>
      <c r="W493" s="106"/>
      <c r="X493" s="106" t="s">
        <v>76</v>
      </c>
      <c r="Y493" s="26" t="s">
        <v>76</v>
      </c>
      <c r="Z493" s="75" t="s">
        <v>193</v>
      </c>
      <c r="AA493" s="30" t="s">
        <v>76</v>
      </c>
      <c r="AB493" s="26"/>
      <c r="AC493" s="44"/>
    </row>
    <row r="494" spans="1:29" ht="33" hidden="1">
      <c r="A494" s="88">
        <v>484</v>
      </c>
      <c r="B494" s="79" t="s">
        <v>2541</v>
      </c>
      <c r="C494" s="148" t="s">
        <v>8</v>
      </c>
      <c r="D494" s="80" t="s">
        <v>178</v>
      </c>
      <c r="E494" s="27" t="s">
        <v>2537</v>
      </c>
      <c r="F494" s="80" t="s">
        <v>109</v>
      </c>
      <c r="G494" s="81" t="s">
        <v>180</v>
      </c>
      <c r="H494" s="80" t="s">
        <v>2538</v>
      </c>
      <c r="I494" s="83">
        <v>45562</v>
      </c>
      <c r="J494" s="80" t="s">
        <v>1954</v>
      </c>
      <c r="K494" s="80" t="s">
        <v>156</v>
      </c>
      <c r="L494" s="84" t="s">
        <v>171</v>
      </c>
      <c r="M494" s="84" t="s">
        <v>114</v>
      </c>
      <c r="N494" s="84" t="s">
        <v>72</v>
      </c>
      <c r="O494" s="33" t="s">
        <v>2542</v>
      </c>
      <c r="P494" s="28"/>
      <c r="Q494" s="49" t="s">
        <v>75</v>
      </c>
      <c r="R494" s="25" t="s">
        <v>91</v>
      </c>
      <c r="S494" s="26">
        <v>18</v>
      </c>
      <c r="T494" s="26">
        <v>66</v>
      </c>
      <c r="U494" s="61" t="s">
        <v>2543</v>
      </c>
      <c r="V494" s="66"/>
      <c r="W494" s="106"/>
      <c r="X494" s="106" t="s">
        <v>369</v>
      </c>
      <c r="Y494" s="26" t="s">
        <v>76</v>
      </c>
      <c r="Z494" s="75" t="s">
        <v>93</v>
      </c>
      <c r="AA494" s="30" t="s">
        <v>76</v>
      </c>
      <c r="AB494" s="26"/>
      <c r="AC494" s="44"/>
    </row>
    <row r="495" spans="1:29" ht="33" hidden="1">
      <c r="A495" s="88">
        <v>485</v>
      </c>
      <c r="B495" s="79" t="s">
        <v>2544</v>
      </c>
      <c r="C495" s="148" t="s">
        <v>8</v>
      </c>
      <c r="D495" s="80" t="s">
        <v>83</v>
      </c>
      <c r="E495" s="27" t="s">
        <v>668</v>
      </c>
      <c r="F495" s="80" t="s">
        <v>338</v>
      </c>
      <c r="G495" s="81" t="s">
        <v>669</v>
      </c>
      <c r="H495" s="80" t="s">
        <v>670</v>
      </c>
      <c r="I495" s="83">
        <v>45562</v>
      </c>
      <c r="J495" s="80" t="s">
        <v>663</v>
      </c>
      <c r="K495" s="80" t="s">
        <v>69</v>
      </c>
      <c r="L495" s="84" t="s">
        <v>100</v>
      </c>
      <c r="M495" s="84" t="s">
        <v>595</v>
      </c>
      <c r="N495" s="84" t="s">
        <v>253</v>
      </c>
      <c r="O495" s="33" t="s">
        <v>2545</v>
      </c>
      <c r="P495" s="28"/>
      <c r="Q495" s="49" t="s">
        <v>75</v>
      </c>
      <c r="R495" s="25" t="s">
        <v>91</v>
      </c>
      <c r="S495" s="26">
        <v>19</v>
      </c>
      <c r="T495" s="26">
        <v>57</v>
      </c>
      <c r="U495" s="61" t="s">
        <v>2546</v>
      </c>
      <c r="V495" s="66"/>
      <c r="W495" s="106"/>
      <c r="X495" s="135" t="s">
        <v>369</v>
      </c>
      <c r="Y495" s="26" t="s">
        <v>76</v>
      </c>
      <c r="Z495" s="93" t="s">
        <v>106</v>
      </c>
      <c r="AA495" s="30" t="s">
        <v>76</v>
      </c>
      <c r="AB495" s="26"/>
      <c r="AC495" s="44"/>
    </row>
    <row r="496" spans="1:29" ht="66" hidden="1">
      <c r="A496" s="88">
        <v>486</v>
      </c>
      <c r="B496" s="79" t="s">
        <v>2547</v>
      </c>
      <c r="C496" s="148" t="s">
        <v>8</v>
      </c>
      <c r="D496" s="80" t="s">
        <v>63</v>
      </c>
      <c r="E496" s="27" t="s">
        <v>2548</v>
      </c>
      <c r="F496" s="80" t="s">
        <v>120</v>
      </c>
      <c r="G496" s="81" t="s">
        <v>1419</v>
      </c>
      <c r="H496" s="80" t="s">
        <v>2549</v>
      </c>
      <c r="I496" s="83">
        <v>45563</v>
      </c>
      <c r="J496" s="80" t="s">
        <v>197</v>
      </c>
      <c r="K496" s="80" t="s">
        <v>198</v>
      </c>
      <c r="L496" s="84" t="s">
        <v>199</v>
      </c>
      <c r="M496" s="84" t="s">
        <v>200</v>
      </c>
      <c r="N496" s="84" t="s">
        <v>72</v>
      </c>
      <c r="O496" s="33" t="s">
        <v>2550</v>
      </c>
      <c r="P496" s="28" t="s">
        <v>2551</v>
      </c>
      <c r="Q496" s="49" t="s">
        <v>75</v>
      </c>
      <c r="R496" s="25" t="s">
        <v>91</v>
      </c>
      <c r="S496" s="26">
        <v>18</v>
      </c>
      <c r="T496" s="26">
        <v>52</v>
      </c>
      <c r="U496" s="61" t="s">
        <v>1560</v>
      </c>
      <c r="V496" s="66"/>
      <c r="W496" s="106"/>
      <c r="X496" s="106" t="s">
        <v>369</v>
      </c>
      <c r="Y496" s="106" t="s">
        <v>76</v>
      </c>
      <c r="Z496" s="75" t="s">
        <v>93</v>
      </c>
      <c r="AA496" s="30" t="s">
        <v>76</v>
      </c>
      <c r="AB496" s="26"/>
      <c r="AC496" s="44"/>
    </row>
    <row r="497" spans="1:29" ht="33" hidden="1">
      <c r="A497" s="88">
        <v>487</v>
      </c>
      <c r="B497" s="79" t="s">
        <v>2552</v>
      </c>
      <c r="C497" s="148" t="s">
        <v>8</v>
      </c>
      <c r="D497" s="80" t="s">
        <v>178</v>
      </c>
      <c r="E497" s="27" t="s">
        <v>2203</v>
      </c>
      <c r="F497" s="80" t="s">
        <v>120</v>
      </c>
      <c r="G497" s="81" t="s">
        <v>180</v>
      </c>
      <c r="H497" s="80" t="s">
        <v>2204</v>
      </c>
      <c r="I497" s="83">
        <v>45563</v>
      </c>
      <c r="J497" s="80" t="s">
        <v>145</v>
      </c>
      <c r="K497" s="80" t="s">
        <v>146</v>
      </c>
      <c r="L497" s="84" t="s">
        <v>147</v>
      </c>
      <c r="M497" s="84" t="s">
        <v>148</v>
      </c>
      <c r="N497" s="84" t="s">
        <v>72</v>
      </c>
      <c r="O497" s="33" t="s">
        <v>2553</v>
      </c>
      <c r="P497" s="28"/>
      <c r="Q497" s="49" t="s">
        <v>75</v>
      </c>
      <c r="R497" s="25" t="s">
        <v>91</v>
      </c>
      <c r="S497" s="26">
        <v>18</v>
      </c>
      <c r="T497" s="26">
        <v>60</v>
      </c>
      <c r="U497" s="61" t="s">
        <v>2442</v>
      </c>
      <c r="V497" s="66"/>
      <c r="W497" s="106"/>
      <c r="X497" s="106" t="s">
        <v>369</v>
      </c>
      <c r="Y497" s="26" t="s">
        <v>76</v>
      </c>
      <c r="Z497" s="75" t="s">
        <v>93</v>
      </c>
      <c r="AA497" s="30" t="s">
        <v>76</v>
      </c>
      <c r="AB497" s="26"/>
      <c r="AC497" s="44"/>
    </row>
    <row r="498" spans="1:29" ht="49.5" hidden="1">
      <c r="A498" s="88">
        <v>488</v>
      </c>
      <c r="B498" s="79" t="s">
        <v>2554</v>
      </c>
      <c r="C498" s="148" t="s">
        <v>8</v>
      </c>
      <c r="D498" s="80" t="s">
        <v>63</v>
      </c>
      <c r="E498" s="27" t="s">
        <v>2555</v>
      </c>
      <c r="F498" s="80" t="s">
        <v>65</v>
      </c>
      <c r="G498" s="81" t="s">
        <v>1522</v>
      </c>
      <c r="H498" s="80" t="s">
        <v>2556</v>
      </c>
      <c r="I498" s="83">
        <v>45563</v>
      </c>
      <c r="J498" s="80" t="s">
        <v>663</v>
      </c>
      <c r="K498" s="80" t="s">
        <v>69</v>
      </c>
      <c r="L498" s="84" t="s">
        <v>100</v>
      </c>
      <c r="M498" s="84" t="s">
        <v>595</v>
      </c>
      <c r="N498" s="84" t="s">
        <v>72</v>
      </c>
      <c r="O498" s="33" t="s">
        <v>2557</v>
      </c>
      <c r="P498" s="28" t="s">
        <v>2558</v>
      </c>
      <c r="Q498" s="49" t="s">
        <v>75</v>
      </c>
      <c r="R498" s="25" t="s">
        <v>91</v>
      </c>
      <c r="S498" s="26">
        <v>23</v>
      </c>
      <c r="T498" s="26">
        <v>63</v>
      </c>
      <c r="U498" s="61" t="s">
        <v>2559</v>
      </c>
      <c r="V498" s="66"/>
      <c r="W498" s="106"/>
      <c r="X498" s="106" t="s">
        <v>369</v>
      </c>
      <c r="Y498" s="26" t="s">
        <v>76</v>
      </c>
      <c r="Z498" s="75" t="s">
        <v>93</v>
      </c>
      <c r="AA498" s="30" t="s">
        <v>76</v>
      </c>
      <c r="AB498" s="26"/>
      <c r="AC498" s="44"/>
    </row>
    <row r="499" spans="1:29" ht="33" hidden="1">
      <c r="A499" s="88">
        <v>489</v>
      </c>
      <c r="B499" s="79" t="s">
        <v>2560</v>
      </c>
      <c r="C499" s="148" t="s">
        <v>8</v>
      </c>
      <c r="D499" s="80" t="s">
        <v>63</v>
      </c>
      <c r="E499" s="27" t="s">
        <v>2011</v>
      </c>
      <c r="F499" s="80" t="s">
        <v>120</v>
      </c>
      <c r="G499" s="81" t="s">
        <v>1368</v>
      </c>
      <c r="H499" s="80" t="s">
        <v>1856</v>
      </c>
      <c r="I499" s="83">
        <v>45564</v>
      </c>
      <c r="J499" s="80" t="s">
        <v>111</v>
      </c>
      <c r="K499" s="80" t="s">
        <v>112</v>
      </c>
      <c r="L499" s="84" t="s">
        <v>122</v>
      </c>
      <c r="M499" s="84" t="s">
        <v>114</v>
      </c>
      <c r="N499" s="84" t="s">
        <v>72</v>
      </c>
      <c r="O499" s="33" t="s">
        <v>2561</v>
      </c>
      <c r="P499" s="28" t="s">
        <v>2562</v>
      </c>
      <c r="Q499" s="49" t="s">
        <v>75</v>
      </c>
      <c r="R499" s="25" t="s">
        <v>91</v>
      </c>
      <c r="S499" s="26">
        <v>20</v>
      </c>
      <c r="T499" s="26">
        <v>60</v>
      </c>
      <c r="U499" s="61" t="s">
        <v>2563</v>
      </c>
      <c r="V499" s="66"/>
      <c r="W499" s="106"/>
      <c r="X499" s="106" t="s">
        <v>369</v>
      </c>
      <c r="Y499" s="26" t="s">
        <v>76</v>
      </c>
      <c r="Z499" s="75" t="s">
        <v>93</v>
      </c>
      <c r="AA499" s="30" t="s">
        <v>76</v>
      </c>
      <c r="AB499" s="26"/>
      <c r="AC499" s="44"/>
    </row>
    <row r="500" spans="1:29" ht="33" hidden="1">
      <c r="A500" s="88">
        <v>490</v>
      </c>
      <c r="B500" s="79" t="s">
        <v>2564</v>
      </c>
      <c r="C500" s="148" t="s">
        <v>8</v>
      </c>
      <c r="D500" s="80" t="s">
        <v>63</v>
      </c>
      <c r="E500" s="27" t="s">
        <v>2011</v>
      </c>
      <c r="F500" s="80" t="s">
        <v>120</v>
      </c>
      <c r="G500" s="81" t="s">
        <v>1368</v>
      </c>
      <c r="H500" s="80" t="s">
        <v>1856</v>
      </c>
      <c r="I500" s="83">
        <v>45564</v>
      </c>
      <c r="J500" s="80" t="s">
        <v>111</v>
      </c>
      <c r="K500" s="80" t="s">
        <v>112</v>
      </c>
      <c r="L500" s="84" t="s">
        <v>122</v>
      </c>
      <c r="M500" s="84" t="s">
        <v>114</v>
      </c>
      <c r="N500" s="84" t="s">
        <v>72</v>
      </c>
      <c r="O500" s="33" t="s">
        <v>2565</v>
      </c>
      <c r="P500" s="28" t="s">
        <v>2566</v>
      </c>
      <c r="Q500" s="49" t="s">
        <v>75</v>
      </c>
      <c r="R500" s="25" t="s">
        <v>91</v>
      </c>
      <c r="S500" s="26">
        <v>20</v>
      </c>
      <c r="T500" s="26">
        <v>59</v>
      </c>
      <c r="U500" s="61" t="s">
        <v>2567</v>
      </c>
      <c r="V500" s="66"/>
      <c r="W500" s="106"/>
      <c r="X500" s="106" t="s">
        <v>369</v>
      </c>
      <c r="Y500" s="26" t="s">
        <v>76</v>
      </c>
      <c r="Z500" s="75" t="s">
        <v>93</v>
      </c>
      <c r="AA500" s="30" t="s">
        <v>76</v>
      </c>
      <c r="AB500" s="26"/>
      <c r="AC500" s="44"/>
    </row>
    <row r="501" spans="1:29" ht="33" hidden="1">
      <c r="A501" s="88">
        <v>491</v>
      </c>
      <c r="B501" s="79" t="s">
        <v>2568</v>
      </c>
      <c r="C501" s="148" t="s">
        <v>8</v>
      </c>
      <c r="D501" s="80" t="s">
        <v>83</v>
      </c>
      <c r="E501" s="27" t="s">
        <v>231</v>
      </c>
      <c r="F501" s="80" t="s">
        <v>65</v>
      </c>
      <c r="G501" s="81" t="s">
        <v>96</v>
      </c>
      <c r="H501" s="80" t="s">
        <v>232</v>
      </c>
      <c r="I501" s="83">
        <v>45565</v>
      </c>
      <c r="J501" s="80" t="s">
        <v>145</v>
      </c>
      <c r="K501" s="80" t="s">
        <v>146</v>
      </c>
      <c r="L501" s="84" t="s">
        <v>147</v>
      </c>
      <c r="M501" s="84" t="s">
        <v>148</v>
      </c>
      <c r="N501" s="84" t="s">
        <v>72</v>
      </c>
      <c r="O501" s="33" t="s">
        <v>2569</v>
      </c>
      <c r="P501" s="28"/>
      <c r="Q501" s="49" t="s">
        <v>75</v>
      </c>
      <c r="R501" s="25" t="s">
        <v>91</v>
      </c>
      <c r="S501" s="26">
        <v>18</v>
      </c>
      <c r="T501" s="26">
        <v>60</v>
      </c>
      <c r="U501" s="61" t="s">
        <v>2570</v>
      </c>
      <c r="V501" s="66"/>
      <c r="W501" s="106"/>
      <c r="X501" s="106" t="s">
        <v>369</v>
      </c>
      <c r="Y501" s="26" t="s">
        <v>76</v>
      </c>
      <c r="Z501" s="75" t="s">
        <v>93</v>
      </c>
      <c r="AA501" s="30" t="s">
        <v>76</v>
      </c>
      <c r="AB501" s="26"/>
      <c r="AC501" s="44"/>
    </row>
    <row r="502" spans="1:29" ht="49.5" hidden="1">
      <c r="A502" s="88">
        <v>492</v>
      </c>
      <c r="B502" s="79" t="s">
        <v>2571</v>
      </c>
      <c r="C502" s="148" t="s">
        <v>8</v>
      </c>
      <c r="D502" s="80" t="s">
        <v>63</v>
      </c>
      <c r="E502" s="27" t="s">
        <v>2572</v>
      </c>
      <c r="F502" s="80" t="s">
        <v>65</v>
      </c>
      <c r="G502" s="81" t="s">
        <v>2573</v>
      </c>
      <c r="H502" s="80" t="s">
        <v>2574</v>
      </c>
      <c r="I502" s="83">
        <v>45565</v>
      </c>
      <c r="J502" s="80" t="s">
        <v>111</v>
      </c>
      <c r="K502" s="80" t="s">
        <v>112</v>
      </c>
      <c r="L502" s="84" t="s">
        <v>122</v>
      </c>
      <c r="M502" s="84" t="s">
        <v>114</v>
      </c>
      <c r="N502" s="84" t="s">
        <v>72</v>
      </c>
      <c r="O502" s="33" t="s">
        <v>2575</v>
      </c>
      <c r="P502" s="28"/>
      <c r="Q502" s="49" t="s">
        <v>91</v>
      </c>
      <c r="R502" s="25"/>
      <c r="S502" s="26">
        <v>14</v>
      </c>
      <c r="T502" s="26"/>
      <c r="U502" s="61" t="s">
        <v>2576</v>
      </c>
      <c r="V502" s="66"/>
      <c r="W502" s="106"/>
      <c r="X502" s="106" t="s">
        <v>76</v>
      </c>
      <c r="Y502" s="26" t="s">
        <v>76</v>
      </c>
      <c r="Z502" s="75" t="s">
        <v>193</v>
      </c>
      <c r="AA502" s="30" t="s">
        <v>76</v>
      </c>
      <c r="AB502" s="26" t="s">
        <v>75</v>
      </c>
      <c r="AC502" s="44"/>
    </row>
    <row r="503" spans="1:29" ht="33" hidden="1">
      <c r="A503" s="88">
        <v>493</v>
      </c>
      <c r="B503" s="79" t="s">
        <v>2577</v>
      </c>
      <c r="C503" s="148" t="s">
        <v>8</v>
      </c>
      <c r="D503" s="80" t="s">
        <v>63</v>
      </c>
      <c r="E503" s="27" t="s">
        <v>2305</v>
      </c>
      <c r="F503" s="80" t="s">
        <v>120</v>
      </c>
      <c r="G503" s="81" t="s">
        <v>2100</v>
      </c>
      <c r="H503" s="80" t="s">
        <v>2306</v>
      </c>
      <c r="I503" s="83">
        <v>45565</v>
      </c>
      <c r="J503" s="80" t="s">
        <v>111</v>
      </c>
      <c r="K503" s="80" t="s">
        <v>112</v>
      </c>
      <c r="L503" s="84" t="s">
        <v>122</v>
      </c>
      <c r="M503" s="84" t="s">
        <v>114</v>
      </c>
      <c r="N503" s="84" t="s">
        <v>72</v>
      </c>
      <c r="O503" s="33" t="s">
        <v>2578</v>
      </c>
      <c r="P503" s="28" t="s">
        <v>2579</v>
      </c>
      <c r="Q503" s="49" t="s">
        <v>75</v>
      </c>
      <c r="R503" s="25" t="s">
        <v>91</v>
      </c>
      <c r="S503" s="26">
        <v>23</v>
      </c>
      <c r="T503" s="26">
        <v>65</v>
      </c>
      <c r="U503" s="61" t="s">
        <v>2580</v>
      </c>
      <c r="V503" s="66"/>
      <c r="W503" s="106"/>
      <c r="X503" s="106" t="s">
        <v>369</v>
      </c>
      <c r="Y503" s="26" t="s">
        <v>76</v>
      </c>
      <c r="Z503" s="75" t="s">
        <v>93</v>
      </c>
      <c r="AA503" s="30" t="s">
        <v>76</v>
      </c>
      <c r="AB503" s="26"/>
      <c r="AC503" s="44"/>
    </row>
    <row r="504" spans="1:29" ht="33" hidden="1">
      <c r="A504" s="88">
        <v>494</v>
      </c>
      <c r="B504" s="79" t="s">
        <v>2581</v>
      </c>
      <c r="C504" s="148" t="s">
        <v>8</v>
      </c>
      <c r="D504" s="80" t="s">
        <v>63</v>
      </c>
      <c r="E504" s="27" t="s">
        <v>1412</v>
      </c>
      <c r="F504" s="80" t="s">
        <v>109</v>
      </c>
      <c r="G504" s="81" t="s">
        <v>1413</v>
      </c>
      <c r="H504" s="80" t="s">
        <v>1414</v>
      </c>
      <c r="I504" s="83">
        <v>45566</v>
      </c>
      <c r="J504" s="80" t="s">
        <v>111</v>
      </c>
      <c r="K504" s="80" t="s">
        <v>112</v>
      </c>
      <c r="L504" s="84" t="s">
        <v>122</v>
      </c>
      <c r="M504" s="84" t="s">
        <v>114</v>
      </c>
      <c r="N504" s="84" t="s">
        <v>72</v>
      </c>
      <c r="O504" s="33" t="s">
        <v>2582</v>
      </c>
      <c r="P504" s="28" t="s">
        <v>2583</v>
      </c>
      <c r="Q504" s="49" t="s">
        <v>75</v>
      </c>
      <c r="R504" s="25" t="s">
        <v>91</v>
      </c>
      <c r="S504" s="26">
        <v>20</v>
      </c>
      <c r="T504" s="26">
        <v>65</v>
      </c>
      <c r="U504" s="61" t="s">
        <v>2584</v>
      </c>
      <c r="V504" s="66"/>
      <c r="W504" s="106"/>
      <c r="X504" s="106" t="s">
        <v>369</v>
      </c>
      <c r="Y504" s="26" t="s">
        <v>76</v>
      </c>
      <c r="Z504" s="75" t="s">
        <v>93</v>
      </c>
      <c r="AA504" s="30" t="s">
        <v>76</v>
      </c>
      <c r="AB504" s="26"/>
      <c r="AC504" s="44"/>
    </row>
    <row r="505" spans="1:29" ht="33" hidden="1">
      <c r="A505" s="88">
        <v>495</v>
      </c>
      <c r="B505" s="79" t="s">
        <v>2585</v>
      </c>
      <c r="C505" s="148" t="s">
        <v>8</v>
      </c>
      <c r="D505" s="80" t="s">
        <v>63</v>
      </c>
      <c r="E505" s="27" t="s">
        <v>2586</v>
      </c>
      <c r="F505" s="80" t="s">
        <v>120</v>
      </c>
      <c r="G505" s="81" t="s">
        <v>1419</v>
      </c>
      <c r="H505" s="80" t="s">
        <v>2587</v>
      </c>
      <c r="I505" s="83">
        <v>45566</v>
      </c>
      <c r="J505" s="80" t="s">
        <v>170</v>
      </c>
      <c r="K505" s="80" t="s">
        <v>156</v>
      </c>
      <c r="L505" s="84" t="s">
        <v>171</v>
      </c>
      <c r="M505" s="84" t="s">
        <v>71</v>
      </c>
      <c r="N505" s="84" t="s">
        <v>72</v>
      </c>
      <c r="O505" s="33" t="s">
        <v>2588</v>
      </c>
      <c r="P505" s="28"/>
      <c r="Q505" s="49" t="s">
        <v>75</v>
      </c>
      <c r="R505" s="25" t="s">
        <v>91</v>
      </c>
      <c r="S505" s="26">
        <v>18</v>
      </c>
      <c r="T505" s="26">
        <v>66</v>
      </c>
      <c r="U505" s="61" t="s">
        <v>2589</v>
      </c>
      <c r="V505" s="66"/>
      <c r="W505" s="106"/>
      <c r="X505" s="106" t="s">
        <v>369</v>
      </c>
      <c r="Y505" s="26" t="s">
        <v>76</v>
      </c>
      <c r="Z505" s="75" t="s">
        <v>93</v>
      </c>
      <c r="AA505" s="30" t="s">
        <v>76</v>
      </c>
      <c r="AB505" s="26"/>
      <c r="AC505" s="44"/>
    </row>
    <row r="506" spans="1:29" ht="33" hidden="1">
      <c r="A506" s="88">
        <v>496</v>
      </c>
      <c r="B506" s="79" t="s">
        <v>2590</v>
      </c>
      <c r="C506" s="148" t="s">
        <v>8</v>
      </c>
      <c r="D506" s="80" t="s">
        <v>63</v>
      </c>
      <c r="E506" s="27" t="s">
        <v>2591</v>
      </c>
      <c r="F506" s="80" t="s">
        <v>284</v>
      </c>
      <c r="G506" s="81" t="s">
        <v>1419</v>
      </c>
      <c r="H506" s="80" t="s">
        <v>2592</v>
      </c>
      <c r="I506" s="83">
        <v>45566</v>
      </c>
      <c r="J506" s="80" t="s">
        <v>1400</v>
      </c>
      <c r="K506" s="80" t="s">
        <v>188</v>
      </c>
      <c r="L506" s="84" t="s">
        <v>189</v>
      </c>
      <c r="M506" s="84" t="s">
        <v>601</v>
      </c>
      <c r="N506" s="84" t="s">
        <v>72</v>
      </c>
      <c r="O506" s="33" t="s">
        <v>2593</v>
      </c>
      <c r="P506" s="28"/>
      <c r="Q506" s="49" t="s">
        <v>75</v>
      </c>
      <c r="R506" s="25" t="s">
        <v>91</v>
      </c>
      <c r="S506" s="26">
        <v>20</v>
      </c>
      <c r="T506" s="26">
        <v>65</v>
      </c>
      <c r="U506" s="61"/>
      <c r="V506" s="66"/>
      <c r="W506" s="106"/>
      <c r="X506" s="106" t="s">
        <v>369</v>
      </c>
      <c r="Y506" s="26" t="s">
        <v>76</v>
      </c>
      <c r="Z506" s="75" t="s">
        <v>93</v>
      </c>
      <c r="AA506" s="30" t="s">
        <v>76</v>
      </c>
      <c r="AB506" s="26"/>
      <c r="AC506" s="44"/>
    </row>
    <row r="507" spans="1:29" ht="49.5" hidden="1">
      <c r="A507" s="88">
        <v>497</v>
      </c>
      <c r="B507" s="79" t="s">
        <v>2594</v>
      </c>
      <c r="C507" s="148" t="s">
        <v>8</v>
      </c>
      <c r="D507" s="80" t="s">
        <v>63</v>
      </c>
      <c r="E507" s="27" t="s">
        <v>2595</v>
      </c>
      <c r="F507" s="80" t="s">
        <v>65</v>
      </c>
      <c r="G507" s="81" t="s">
        <v>1419</v>
      </c>
      <c r="H507" s="80" t="s">
        <v>2596</v>
      </c>
      <c r="I507" s="83">
        <v>45566</v>
      </c>
      <c r="J507" s="80" t="s">
        <v>1003</v>
      </c>
      <c r="K507" s="80" t="s">
        <v>69</v>
      </c>
      <c r="L507" s="84" t="s">
        <v>100</v>
      </c>
      <c r="M507" s="84" t="s">
        <v>252</v>
      </c>
      <c r="N507" s="84" t="s">
        <v>72</v>
      </c>
      <c r="O507" s="33" t="s">
        <v>2597</v>
      </c>
      <c r="P507" s="28"/>
      <c r="Q507" s="49" t="s">
        <v>75</v>
      </c>
      <c r="R507" s="25" t="s">
        <v>91</v>
      </c>
      <c r="S507" s="55">
        <v>22</v>
      </c>
      <c r="T507" s="55" t="s">
        <v>2468</v>
      </c>
      <c r="U507" s="61" t="s">
        <v>2598</v>
      </c>
      <c r="V507" s="66"/>
      <c r="W507" s="106"/>
      <c r="X507" s="106" t="s">
        <v>369</v>
      </c>
      <c r="Y507" s="26" t="s">
        <v>76</v>
      </c>
      <c r="Z507" s="75" t="s">
        <v>93</v>
      </c>
      <c r="AA507" s="30" t="s">
        <v>76</v>
      </c>
      <c r="AB507" s="26"/>
      <c r="AC507" s="44"/>
    </row>
    <row r="508" spans="1:29" ht="33" hidden="1">
      <c r="A508" s="88">
        <v>498</v>
      </c>
      <c r="B508" s="79" t="s">
        <v>2599</v>
      </c>
      <c r="C508" s="148" t="s">
        <v>8</v>
      </c>
      <c r="D508" s="80" t="s">
        <v>63</v>
      </c>
      <c r="E508" s="27" t="s">
        <v>2600</v>
      </c>
      <c r="F508" s="80" t="s">
        <v>120</v>
      </c>
      <c r="G508" s="81" t="s">
        <v>1413</v>
      </c>
      <c r="H508" s="80" t="s">
        <v>1949</v>
      </c>
      <c r="I508" s="83">
        <v>45566</v>
      </c>
      <c r="J508" s="80" t="s">
        <v>745</v>
      </c>
      <c r="K508" s="80" t="s">
        <v>69</v>
      </c>
      <c r="L508" s="84" t="s">
        <v>100</v>
      </c>
      <c r="M508" s="84" t="s">
        <v>601</v>
      </c>
      <c r="N508" s="84" t="s">
        <v>72</v>
      </c>
      <c r="O508" s="33" t="s">
        <v>2601</v>
      </c>
      <c r="P508" s="28"/>
      <c r="Q508" s="49" t="s">
        <v>75</v>
      </c>
      <c r="R508" s="25" t="s">
        <v>91</v>
      </c>
      <c r="S508" s="26">
        <v>19</v>
      </c>
      <c r="T508" s="26">
        <v>65</v>
      </c>
      <c r="U508" s="61"/>
      <c r="V508" s="66"/>
      <c r="W508" s="106"/>
      <c r="X508" s="106" t="s">
        <v>369</v>
      </c>
      <c r="Y508" s="26" t="s">
        <v>76</v>
      </c>
      <c r="Z508" s="93" t="s">
        <v>93</v>
      </c>
      <c r="AA508" s="30" t="s">
        <v>76</v>
      </c>
      <c r="AB508" s="26"/>
      <c r="AC508" s="44"/>
    </row>
    <row r="509" spans="1:29" ht="33" hidden="1">
      <c r="A509" s="88">
        <v>499</v>
      </c>
      <c r="B509" s="79" t="s">
        <v>2602</v>
      </c>
      <c r="C509" s="148" t="s">
        <v>8</v>
      </c>
      <c r="D509" s="80" t="s">
        <v>63</v>
      </c>
      <c r="E509" s="27" t="s">
        <v>2603</v>
      </c>
      <c r="F509" s="80" t="s">
        <v>284</v>
      </c>
      <c r="G509" s="81" t="s">
        <v>1413</v>
      </c>
      <c r="H509" s="80" t="s">
        <v>2604</v>
      </c>
      <c r="I509" s="83">
        <v>45566</v>
      </c>
      <c r="J509" s="80" t="s">
        <v>745</v>
      </c>
      <c r="K509" s="80" t="s">
        <v>69</v>
      </c>
      <c r="L509" s="84" t="s">
        <v>100</v>
      </c>
      <c r="M509" s="84" t="s">
        <v>601</v>
      </c>
      <c r="N509" s="84" t="s">
        <v>72</v>
      </c>
      <c r="O509" s="33" t="s">
        <v>2605</v>
      </c>
      <c r="P509" s="28"/>
      <c r="Q509" s="49" t="s">
        <v>75</v>
      </c>
      <c r="R509" s="25" t="s">
        <v>91</v>
      </c>
      <c r="S509" s="26">
        <v>18</v>
      </c>
      <c r="T509" s="26">
        <v>56</v>
      </c>
      <c r="U509" s="61"/>
      <c r="V509" s="66"/>
      <c r="W509" s="106"/>
      <c r="X509" s="106" t="s">
        <v>369</v>
      </c>
      <c r="Y509" s="26" t="s">
        <v>76</v>
      </c>
      <c r="Z509" s="93" t="s">
        <v>93</v>
      </c>
      <c r="AA509" s="30" t="s">
        <v>76</v>
      </c>
      <c r="AB509" s="26"/>
      <c r="AC509" s="44"/>
    </row>
    <row r="510" spans="1:29" ht="33" hidden="1">
      <c r="A510" s="88">
        <v>500</v>
      </c>
      <c r="B510" s="79" t="s">
        <v>2606</v>
      </c>
      <c r="C510" s="148" t="s">
        <v>8</v>
      </c>
      <c r="D510" s="80" t="s">
        <v>63</v>
      </c>
      <c r="E510" s="27">
        <v>2203707</v>
      </c>
      <c r="F510" s="80" t="s">
        <v>1652</v>
      </c>
      <c r="G510" s="81" t="s">
        <v>1653</v>
      </c>
      <c r="H510" s="80" t="s">
        <v>2607</v>
      </c>
      <c r="I510" s="83">
        <v>45566</v>
      </c>
      <c r="J510" s="80" t="s">
        <v>111</v>
      </c>
      <c r="K510" s="80" t="s">
        <v>112</v>
      </c>
      <c r="L510" s="84" t="s">
        <v>122</v>
      </c>
      <c r="M510" s="84" t="s">
        <v>114</v>
      </c>
      <c r="N510" s="84" t="s">
        <v>72</v>
      </c>
      <c r="O510" s="33" t="s">
        <v>2608</v>
      </c>
      <c r="P510" s="28" t="s">
        <v>2609</v>
      </c>
      <c r="Q510" s="49" t="s">
        <v>75</v>
      </c>
      <c r="R510" s="25" t="s">
        <v>91</v>
      </c>
      <c r="S510" s="26">
        <v>18</v>
      </c>
      <c r="T510" s="26">
        <v>55</v>
      </c>
      <c r="U510" s="61" t="s">
        <v>2610</v>
      </c>
      <c r="V510" s="66"/>
      <c r="W510" s="106"/>
      <c r="X510" s="106" t="s">
        <v>369</v>
      </c>
      <c r="Y510" s="26" t="s">
        <v>76</v>
      </c>
      <c r="Z510" s="75" t="s">
        <v>93</v>
      </c>
      <c r="AA510" s="30" t="s">
        <v>2611</v>
      </c>
      <c r="AB510" s="26"/>
      <c r="AC510" s="44"/>
    </row>
    <row r="511" spans="1:29" ht="49.5" hidden="1">
      <c r="A511" s="88">
        <v>501</v>
      </c>
      <c r="B511" s="79" t="s">
        <v>2612</v>
      </c>
      <c r="C511" s="148" t="s">
        <v>8</v>
      </c>
      <c r="D511" s="80" t="s">
        <v>63</v>
      </c>
      <c r="E511" s="27" t="s">
        <v>2613</v>
      </c>
      <c r="F511" s="80" t="s">
        <v>109</v>
      </c>
      <c r="G511" s="81" t="s">
        <v>995</v>
      </c>
      <c r="H511" s="80" t="s">
        <v>2614</v>
      </c>
      <c r="I511" s="83">
        <v>45566</v>
      </c>
      <c r="J511" s="80" t="s">
        <v>187</v>
      </c>
      <c r="K511" s="80" t="s">
        <v>188</v>
      </c>
      <c r="L511" s="84" t="s">
        <v>189</v>
      </c>
      <c r="M511" s="84" t="s">
        <v>114</v>
      </c>
      <c r="N511" s="84" t="s">
        <v>72</v>
      </c>
      <c r="O511" s="33" t="s">
        <v>2615</v>
      </c>
      <c r="P511" s="28"/>
      <c r="Q511" s="49" t="s">
        <v>75</v>
      </c>
      <c r="R511" s="25" t="s">
        <v>91</v>
      </c>
      <c r="S511" s="26">
        <v>18</v>
      </c>
      <c r="T511" s="26">
        <v>56</v>
      </c>
      <c r="U511" s="61"/>
      <c r="V511" s="66"/>
      <c r="W511" s="106"/>
      <c r="X511" s="106" t="s">
        <v>369</v>
      </c>
      <c r="Y511" s="26" t="s">
        <v>76</v>
      </c>
      <c r="Z511" s="75" t="s">
        <v>93</v>
      </c>
      <c r="AA511" s="30" t="s">
        <v>76</v>
      </c>
      <c r="AB511" s="26"/>
      <c r="AC511" s="44"/>
    </row>
    <row r="512" spans="1:29" ht="49.5" hidden="1">
      <c r="A512" s="88">
        <v>502</v>
      </c>
      <c r="B512" s="79" t="s">
        <v>2616</v>
      </c>
      <c r="C512" s="148" t="s">
        <v>8</v>
      </c>
      <c r="D512" s="80" t="s">
        <v>63</v>
      </c>
      <c r="E512" s="27" t="s">
        <v>2613</v>
      </c>
      <c r="F512" s="80" t="s">
        <v>109</v>
      </c>
      <c r="G512" s="81" t="s">
        <v>995</v>
      </c>
      <c r="H512" s="80" t="s">
        <v>2614</v>
      </c>
      <c r="I512" s="83">
        <v>45566</v>
      </c>
      <c r="J512" s="80" t="s">
        <v>187</v>
      </c>
      <c r="K512" s="80" t="s">
        <v>188</v>
      </c>
      <c r="L512" s="84" t="s">
        <v>189</v>
      </c>
      <c r="M512" s="84" t="s">
        <v>114</v>
      </c>
      <c r="N512" s="84" t="s">
        <v>72</v>
      </c>
      <c r="O512" s="33" t="s">
        <v>2617</v>
      </c>
      <c r="P512" s="28"/>
      <c r="Q512" s="49" t="s">
        <v>75</v>
      </c>
      <c r="R512" s="25" t="s">
        <v>91</v>
      </c>
      <c r="S512" s="26">
        <v>18</v>
      </c>
      <c r="T512" s="26">
        <v>56</v>
      </c>
      <c r="U512" s="61"/>
      <c r="V512" s="66"/>
      <c r="W512" s="106"/>
      <c r="X512" s="106" t="s">
        <v>369</v>
      </c>
      <c r="Y512" s="26" t="s">
        <v>76</v>
      </c>
      <c r="Z512" s="75" t="s">
        <v>93</v>
      </c>
      <c r="AA512" s="30" t="s">
        <v>76</v>
      </c>
      <c r="AB512" s="26"/>
      <c r="AC512" s="44"/>
    </row>
    <row r="513" spans="1:29" ht="33" hidden="1">
      <c r="A513" s="98">
        <v>503</v>
      </c>
      <c r="B513" s="79" t="s">
        <v>2618</v>
      </c>
      <c r="C513" s="148" t="s">
        <v>8</v>
      </c>
      <c r="D513" s="80" t="s">
        <v>63</v>
      </c>
      <c r="E513" s="27" t="s">
        <v>2619</v>
      </c>
      <c r="F513" s="80" t="s">
        <v>120</v>
      </c>
      <c r="G513" s="81" t="s">
        <v>2076</v>
      </c>
      <c r="H513" s="80" t="s">
        <v>2620</v>
      </c>
      <c r="I513" s="83">
        <v>45566</v>
      </c>
      <c r="J513" s="80" t="s">
        <v>187</v>
      </c>
      <c r="K513" s="80" t="s">
        <v>188</v>
      </c>
      <c r="L513" s="84" t="s">
        <v>189</v>
      </c>
      <c r="M513" s="84" t="s">
        <v>114</v>
      </c>
      <c r="N513" s="84" t="s">
        <v>72</v>
      </c>
      <c r="O513" s="33" t="s">
        <v>2621</v>
      </c>
      <c r="P513" s="28"/>
      <c r="Q513" s="49" t="s">
        <v>75</v>
      </c>
      <c r="R513" s="25" t="s">
        <v>91</v>
      </c>
      <c r="S513" s="26">
        <v>20</v>
      </c>
      <c r="T513" s="26">
        <v>63</v>
      </c>
      <c r="U513" s="61" t="s">
        <v>2622</v>
      </c>
      <c r="V513" s="66"/>
      <c r="W513" s="106"/>
      <c r="X513" s="106" t="s">
        <v>369</v>
      </c>
      <c r="Y513" s="26" t="s">
        <v>76</v>
      </c>
      <c r="Z513" s="75" t="s">
        <v>93</v>
      </c>
      <c r="AA513" s="30" t="s">
        <v>76</v>
      </c>
      <c r="AB513" s="26"/>
      <c r="AC513" s="44"/>
    </row>
    <row r="514" spans="1:29" ht="33" hidden="1">
      <c r="A514" s="98">
        <v>504</v>
      </c>
      <c r="B514" s="79" t="s">
        <v>2623</v>
      </c>
      <c r="C514" s="148" t="s">
        <v>8</v>
      </c>
      <c r="D514" s="80" t="s">
        <v>63</v>
      </c>
      <c r="E514" s="27" t="s">
        <v>2624</v>
      </c>
      <c r="F514" s="80" t="s">
        <v>284</v>
      </c>
      <c r="G514" s="81" t="s">
        <v>2474</v>
      </c>
      <c r="H514" s="80" t="s">
        <v>2625</v>
      </c>
      <c r="I514" s="83">
        <v>45567</v>
      </c>
      <c r="J514" s="80" t="s">
        <v>657</v>
      </c>
      <c r="K514" s="80" t="s">
        <v>188</v>
      </c>
      <c r="L514" s="84" t="s">
        <v>189</v>
      </c>
      <c r="M514" s="84" t="s">
        <v>221</v>
      </c>
      <c r="N514" s="84" t="s">
        <v>72</v>
      </c>
      <c r="O514" s="33" t="s">
        <v>2626</v>
      </c>
      <c r="P514" s="28"/>
      <c r="Q514" s="49" t="s">
        <v>91</v>
      </c>
      <c r="R514" s="25"/>
      <c r="S514" s="26">
        <v>15</v>
      </c>
      <c r="T514" s="26"/>
      <c r="U514" s="61" t="s">
        <v>2627</v>
      </c>
      <c r="V514" s="66"/>
      <c r="W514" s="106"/>
      <c r="X514" s="106" t="s">
        <v>76</v>
      </c>
      <c r="Y514" s="26" t="s">
        <v>76</v>
      </c>
      <c r="Z514" s="75" t="s">
        <v>193</v>
      </c>
      <c r="AA514" s="30" t="s">
        <v>76</v>
      </c>
      <c r="AB514" s="26"/>
      <c r="AC514" s="44"/>
    </row>
    <row r="515" spans="1:29" ht="33" hidden="1">
      <c r="A515" s="98">
        <v>505</v>
      </c>
      <c r="B515" s="79" t="s">
        <v>2628</v>
      </c>
      <c r="C515" s="148" t="s">
        <v>8</v>
      </c>
      <c r="D515" s="80" t="s">
        <v>63</v>
      </c>
      <c r="E515" s="27" t="s">
        <v>2624</v>
      </c>
      <c r="F515" s="80" t="s">
        <v>284</v>
      </c>
      <c r="G515" s="81" t="s">
        <v>2474</v>
      </c>
      <c r="H515" s="80" t="s">
        <v>2625</v>
      </c>
      <c r="I515" s="83">
        <v>45567</v>
      </c>
      <c r="J515" s="80" t="s">
        <v>332</v>
      </c>
      <c r="K515" s="80" t="s">
        <v>188</v>
      </c>
      <c r="L515" s="84" t="s">
        <v>189</v>
      </c>
      <c r="M515" s="84" t="s">
        <v>101</v>
      </c>
      <c r="N515" s="84" t="s">
        <v>72</v>
      </c>
      <c r="O515" s="33" t="s">
        <v>2629</v>
      </c>
      <c r="P515" s="28"/>
      <c r="Q515" s="49" t="s">
        <v>75</v>
      </c>
      <c r="R515" s="25" t="s">
        <v>91</v>
      </c>
      <c r="S515" s="26">
        <v>20</v>
      </c>
      <c r="T515" s="26">
        <v>64</v>
      </c>
      <c r="U515" s="61"/>
      <c r="V515" s="66"/>
      <c r="W515" s="106"/>
      <c r="X515" s="106" t="s">
        <v>369</v>
      </c>
      <c r="Y515" s="26" t="s">
        <v>76</v>
      </c>
      <c r="Z515" s="75" t="s">
        <v>93</v>
      </c>
      <c r="AA515" s="30" t="s">
        <v>76</v>
      </c>
      <c r="AB515" s="26"/>
      <c r="AC515" s="44"/>
    </row>
    <row r="516" spans="1:29" ht="49.5" hidden="1">
      <c r="A516" s="98">
        <v>506</v>
      </c>
      <c r="B516" s="79" t="s">
        <v>2630</v>
      </c>
      <c r="C516" s="148" t="s">
        <v>8</v>
      </c>
      <c r="D516" s="80" t="s">
        <v>63</v>
      </c>
      <c r="E516" s="27" t="s">
        <v>2631</v>
      </c>
      <c r="F516" s="80" t="s">
        <v>109</v>
      </c>
      <c r="G516" s="81" t="s">
        <v>995</v>
      </c>
      <c r="H516" s="80" t="s">
        <v>2632</v>
      </c>
      <c r="I516" s="83">
        <v>45567</v>
      </c>
      <c r="J516" s="80" t="s">
        <v>332</v>
      </c>
      <c r="K516" s="80" t="s">
        <v>156</v>
      </c>
      <c r="L516" s="84" t="s">
        <v>189</v>
      </c>
      <c r="M516" s="84" t="s">
        <v>101</v>
      </c>
      <c r="N516" s="84" t="s">
        <v>72</v>
      </c>
      <c r="O516" s="33" t="s">
        <v>2633</v>
      </c>
      <c r="P516" s="28"/>
      <c r="Q516" s="49" t="s">
        <v>75</v>
      </c>
      <c r="R516" s="25" t="s">
        <v>91</v>
      </c>
      <c r="S516" s="26">
        <v>18</v>
      </c>
      <c r="T516" s="26">
        <v>66</v>
      </c>
      <c r="U516" s="61" t="s">
        <v>2634</v>
      </c>
      <c r="V516" s="66"/>
      <c r="W516" s="106"/>
      <c r="X516" s="106" t="s">
        <v>369</v>
      </c>
      <c r="Y516" s="26" t="s">
        <v>76</v>
      </c>
      <c r="Z516" s="75" t="s">
        <v>93</v>
      </c>
      <c r="AA516" s="30" t="s">
        <v>76</v>
      </c>
      <c r="AB516" s="26"/>
      <c r="AC516" s="44"/>
    </row>
    <row r="517" spans="1:29" ht="49.5" hidden="1">
      <c r="A517" s="98">
        <v>507</v>
      </c>
      <c r="B517" s="79" t="s">
        <v>2635</v>
      </c>
      <c r="C517" s="148" t="s">
        <v>8</v>
      </c>
      <c r="D517" s="80" t="s">
        <v>63</v>
      </c>
      <c r="E517" s="27" t="s">
        <v>2636</v>
      </c>
      <c r="F517" s="80" t="s">
        <v>120</v>
      </c>
      <c r="G517" s="81" t="s">
        <v>995</v>
      </c>
      <c r="H517" s="80" t="s">
        <v>2637</v>
      </c>
      <c r="I517" s="83">
        <v>45567</v>
      </c>
      <c r="J517" s="80" t="s">
        <v>332</v>
      </c>
      <c r="K517" s="80" t="s">
        <v>188</v>
      </c>
      <c r="L517" s="84" t="s">
        <v>189</v>
      </c>
      <c r="M517" s="84" t="s">
        <v>200</v>
      </c>
      <c r="N517" s="84" t="s">
        <v>72</v>
      </c>
      <c r="O517" s="33" t="s">
        <v>2638</v>
      </c>
      <c r="P517" s="28"/>
      <c r="Q517" s="49" t="s">
        <v>75</v>
      </c>
      <c r="R517" s="25" t="s">
        <v>91</v>
      </c>
      <c r="S517" s="26">
        <v>18</v>
      </c>
      <c r="T517" s="26">
        <v>61</v>
      </c>
      <c r="U517" s="61"/>
      <c r="V517" s="66"/>
      <c r="W517" s="106"/>
      <c r="X517" s="106" t="s">
        <v>369</v>
      </c>
      <c r="Y517" s="26" t="s">
        <v>76</v>
      </c>
      <c r="Z517" s="75" t="s">
        <v>93</v>
      </c>
      <c r="AA517" s="30" t="s">
        <v>76</v>
      </c>
      <c r="AB517" s="26"/>
      <c r="AC517" s="44"/>
    </row>
    <row r="518" spans="1:29" ht="66" hidden="1">
      <c r="A518" s="98">
        <v>508</v>
      </c>
      <c r="B518" s="79" t="s">
        <v>2639</v>
      </c>
      <c r="C518" s="148" t="s">
        <v>8</v>
      </c>
      <c r="D518" s="80" t="s">
        <v>63</v>
      </c>
      <c r="E518" s="27" t="s">
        <v>2636</v>
      </c>
      <c r="F518" s="80" t="s">
        <v>120</v>
      </c>
      <c r="G518" s="81" t="s">
        <v>995</v>
      </c>
      <c r="H518" s="80" t="s">
        <v>2637</v>
      </c>
      <c r="I518" s="83">
        <v>45567</v>
      </c>
      <c r="J518" s="80" t="s">
        <v>2293</v>
      </c>
      <c r="K518" s="80" t="s">
        <v>69</v>
      </c>
      <c r="L518" s="84" t="s">
        <v>189</v>
      </c>
      <c r="M518" s="84" t="s">
        <v>2640</v>
      </c>
      <c r="N518" s="84" t="s">
        <v>72</v>
      </c>
      <c r="O518" s="33" t="s">
        <v>2641</v>
      </c>
      <c r="P518" s="28"/>
      <c r="Q518" s="49" t="s">
        <v>75</v>
      </c>
      <c r="R518" s="25" t="s">
        <v>91</v>
      </c>
      <c r="S518" s="26">
        <v>19</v>
      </c>
      <c r="T518" s="26">
        <v>43</v>
      </c>
      <c r="U518" s="61" t="s">
        <v>2642</v>
      </c>
      <c r="V518" s="66"/>
      <c r="W518" s="106"/>
      <c r="X518" s="106" t="s">
        <v>369</v>
      </c>
      <c r="Y518" s="26" t="s">
        <v>76</v>
      </c>
      <c r="Z518" s="75" t="s">
        <v>93</v>
      </c>
      <c r="AA518" s="30" t="s">
        <v>76</v>
      </c>
      <c r="AB518" s="26"/>
      <c r="AC518" s="44"/>
    </row>
    <row r="519" spans="1:29" ht="33" hidden="1">
      <c r="A519" s="98">
        <v>509</v>
      </c>
      <c r="B519" s="79" t="s">
        <v>2643</v>
      </c>
      <c r="C519" s="148" t="s">
        <v>8</v>
      </c>
      <c r="D519" s="80" t="s">
        <v>63</v>
      </c>
      <c r="E519" s="27" t="s">
        <v>2644</v>
      </c>
      <c r="F519" s="80" t="s">
        <v>284</v>
      </c>
      <c r="G519" s="81" t="s">
        <v>1413</v>
      </c>
      <c r="H519" s="80" t="s">
        <v>2645</v>
      </c>
      <c r="I519" s="83">
        <v>45567</v>
      </c>
      <c r="J519" s="80" t="s">
        <v>1765</v>
      </c>
      <c r="K519" s="80" t="s">
        <v>69</v>
      </c>
      <c r="L519" s="84" t="s">
        <v>70</v>
      </c>
      <c r="M519" s="84" t="s">
        <v>221</v>
      </c>
      <c r="N519" s="84" t="s">
        <v>72</v>
      </c>
      <c r="O519" s="33" t="s">
        <v>2646</v>
      </c>
      <c r="P519" s="28"/>
      <c r="Q519" s="49" t="s">
        <v>75</v>
      </c>
      <c r="R519" s="25" t="s">
        <v>91</v>
      </c>
      <c r="S519" s="26">
        <v>18</v>
      </c>
      <c r="T519" s="26">
        <v>52</v>
      </c>
      <c r="U519" s="61" t="s">
        <v>2647</v>
      </c>
      <c r="V519" s="66"/>
      <c r="W519" s="106"/>
      <c r="X519" s="106" t="s">
        <v>369</v>
      </c>
      <c r="Y519" s="26" t="s">
        <v>76</v>
      </c>
      <c r="Z519" s="75" t="s">
        <v>93</v>
      </c>
      <c r="AA519" s="30" t="s">
        <v>76</v>
      </c>
      <c r="AB519" s="26"/>
      <c r="AC519" s="44"/>
    </row>
    <row r="520" spans="1:29" ht="101.25" hidden="1" customHeight="1">
      <c r="A520" s="98">
        <v>510</v>
      </c>
      <c r="B520" s="79" t="s">
        <v>2648</v>
      </c>
      <c r="C520" s="148" t="s">
        <v>8</v>
      </c>
      <c r="D520" s="80" t="s">
        <v>63</v>
      </c>
      <c r="E520" s="27" t="s">
        <v>2099</v>
      </c>
      <c r="F520" s="80" t="s">
        <v>65</v>
      </c>
      <c r="G520" s="81" t="s">
        <v>2100</v>
      </c>
      <c r="H520" s="80" t="s">
        <v>2101</v>
      </c>
      <c r="I520" s="83">
        <v>45567</v>
      </c>
      <c r="J520" s="80" t="s">
        <v>332</v>
      </c>
      <c r="K520" s="80" t="s">
        <v>198</v>
      </c>
      <c r="L520" s="84" t="s">
        <v>189</v>
      </c>
      <c r="M520" s="84" t="s">
        <v>200</v>
      </c>
      <c r="N520" s="84" t="s">
        <v>72</v>
      </c>
      <c r="O520" s="33" t="s">
        <v>2649</v>
      </c>
      <c r="P520" s="28" t="s">
        <v>2650</v>
      </c>
      <c r="Q520" s="49" t="s">
        <v>75</v>
      </c>
      <c r="R520" s="25" t="s">
        <v>91</v>
      </c>
      <c r="S520" s="26">
        <v>18</v>
      </c>
      <c r="T520" s="26">
        <v>52</v>
      </c>
      <c r="U520" s="61" t="s">
        <v>2651</v>
      </c>
      <c r="V520" s="66"/>
      <c r="W520" s="106"/>
      <c r="X520" s="106" t="s">
        <v>369</v>
      </c>
      <c r="Y520" s="106" t="s">
        <v>76</v>
      </c>
      <c r="Z520" s="75" t="s">
        <v>93</v>
      </c>
      <c r="AA520" s="30" t="s">
        <v>76</v>
      </c>
      <c r="AB520" s="26"/>
      <c r="AC520" s="44"/>
    </row>
    <row r="521" spans="1:29" ht="33" hidden="1">
      <c r="A521" s="98">
        <v>511</v>
      </c>
      <c r="B521" s="79" t="s">
        <v>2652</v>
      </c>
      <c r="C521" s="148" t="s">
        <v>8</v>
      </c>
      <c r="D521" s="80" t="s">
        <v>63</v>
      </c>
      <c r="E521" s="27" t="s">
        <v>1412</v>
      </c>
      <c r="F521" s="80" t="s">
        <v>109</v>
      </c>
      <c r="G521" s="81" t="s">
        <v>1413</v>
      </c>
      <c r="H521" s="80" t="s">
        <v>1414</v>
      </c>
      <c r="I521" s="83">
        <v>45567</v>
      </c>
      <c r="J521" s="80" t="s">
        <v>187</v>
      </c>
      <c r="K521" s="80" t="s">
        <v>188</v>
      </c>
      <c r="L521" s="84" t="s">
        <v>189</v>
      </c>
      <c r="M521" s="84" t="s">
        <v>114</v>
      </c>
      <c r="N521" s="84" t="s">
        <v>72</v>
      </c>
      <c r="O521" s="33" t="s">
        <v>2653</v>
      </c>
      <c r="P521" s="28"/>
      <c r="Q521" s="49" t="s">
        <v>75</v>
      </c>
      <c r="R521" s="25" t="s">
        <v>91</v>
      </c>
      <c r="S521" s="26">
        <v>19</v>
      </c>
      <c r="T521" s="55">
        <v>66</v>
      </c>
      <c r="U521" s="61" t="s">
        <v>2654</v>
      </c>
      <c r="V521" s="66"/>
      <c r="W521" s="106"/>
      <c r="X521" s="106" t="s">
        <v>369</v>
      </c>
      <c r="Y521" s="26" t="s">
        <v>76</v>
      </c>
      <c r="Z521" s="75" t="s">
        <v>106</v>
      </c>
      <c r="AA521" s="30" t="s">
        <v>76</v>
      </c>
      <c r="AB521" s="26"/>
      <c r="AC521" s="44"/>
    </row>
    <row r="522" spans="1:29" ht="33" hidden="1">
      <c r="A522" s="98">
        <v>512</v>
      </c>
      <c r="B522" s="79" t="s">
        <v>2655</v>
      </c>
      <c r="C522" s="148" t="s">
        <v>8</v>
      </c>
      <c r="D522" s="80" t="s">
        <v>63</v>
      </c>
      <c r="E522" s="27" t="s">
        <v>2656</v>
      </c>
      <c r="F522" s="80" t="s">
        <v>109</v>
      </c>
      <c r="G522" s="81" t="s">
        <v>1419</v>
      </c>
      <c r="H522" s="80" t="s">
        <v>2657</v>
      </c>
      <c r="I522" s="83">
        <v>45567</v>
      </c>
      <c r="J522" s="80" t="s">
        <v>187</v>
      </c>
      <c r="K522" s="80" t="s">
        <v>188</v>
      </c>
      <c r="L522" s="84" t="s">
        <v>189</v>
      </c>
      <c r="M522" s="84" t="s">
        <v>114</v>
      </c>
      <c r="N522" s="84" t="s">
        <v>72</v>
      </c>
      <c r="O522" s="33" t="s">
        <v>2653</v>
      </c>
      <c r="P522" s="28"/>
      <c r="Q522" s="49" t="s">
        <v>91</v>
      </c>
      <c r="R522" s="25"/>
      <c r="S522" s="26">
        <v>8</v>
      </c>
      <c r="T522" s="26"/>
      <c r="U522" s="61" t="s">
        <v>2658</v>
      </c>
      <c r="V522" s="66"/>
      <c r="W522" s="106"/>
      <c r="X522" s="106" t="s">
        <v>76</v>
      </c>
      <c r="Y522" s="26" t="s">
        <v>76</v>
      </c>
      <c r="Z522" s="75" t="s">
        <v>193</v>
      </c>
      <c r="AA522" s="30" t="s">
        <v>76</v>
      </c>
      <c r="AB522" s="26" t="s">
        <v>75</v>
      </c>
      <c r="AC522" s="44"/>
    </row>
    <row r="523" spans="1:29" ht="33" hidden="1">
      <c r="A523" s="98">
        <v>513</v>
      </c>
      <c r="B523" s="79" t="s">
        <v>2659</v>
      </c>
      <c r="C523" s="148" t="s">
        <v>8</v>
      </c>
      <c r="D523" s="80" t="s">
        <v>63</v>
      </c>
      <c r="E523" s="27" t="s">
        <v>2656</v>
      </c>
      <c r="F523" s="80" t="s">
        <v>109</v>
      </c>
      <c r="G523" s="81" t="s">
        <v>1419</v>
      </c>
      <c r="H523" s="80" t="s">
        <v>2657</v>
      </c>
      <c r="I523" s="83">
        <v>45567</v>
      </c>
      <c r="J523" s="80" t="s">
        <v>187</v>
      </c>
      <c r="K523" s="80" t="s">
        <v>188</v>
      </c>
      <c r="L523" s="84" t="s">
        <v>189</v>
      </c>
      <c r="M523" s="84" t="s">
        <v>114</v>
      </c>
      <c r="N523" s="84" t="s">
        <v>72</v>
      </c>
      <c r="O523" s="33" t="s">
        <v>2660</v>
      </c>
      <c r="P523" s="28"/>
      <c r="Q523" s="49" t="s">
        <v>91</v>
      </c>
      <c r="R523" s="25"/>
      <c r="S523" s="26">
        <v>8</v>
      </c>
      <c r="T523" s="26"/>
      <c r="U523" s="61" t="s">
        <v>2661</v>
      </c>
      <c r="V523" s="66"/>
      <c r="W523" s="106"/>
      <c r="X523" s="106" t="s">
        <v>76</v>
      </c>
      <c r="Y523" s="26" t="s">
        <v>76</v>
      </c>
      <c r="Z523" s="75" t="s">
        <v>193</v>
      </c>
      <c r="AA523" s="30" t="s">
        <v>76</v>
      </c>
      <c r="AB523" s="26" t="s">
        <v>75</v>
      </c>
      <c r="AC523" s="44"/>
    </row>
    <row r="524" spans="1:29" ht="33" hidden="1">
      <c r="A524" s="98">
        <v>514</v>
      </c>
      <c r="B524" s="79" t="s">
        <v>2662</v>
      </c>
      <c r="C524" s="148" t="s">
        <v>8</v>
      </c>
      <c r="D524" s="80" t="s">
        <v>83</v>
      </c>
      <c r="E524" s="27" t="s">
        <v>350</v>
      </c>
      <c r="F524" s="80" t="s">
        <v>109</v>
      </c>
      <c r="G524" s="81" t="s">
        <v>339</v>
      </c>
      <c r="H524" s="80" t="s">
        <v>351</v>
      </c>
      <c r="I524" s="83">
        <v>45567</v>
      </c>
      <c r="J524" s="80" t="s">
        <v>111</v>
      </c>
      <c r="K524" s="80" t="s">
        <v>198</v>
      </c>
      <c r="L524" s="84" t="s">
        <v>122</v>
      </c>
      <c r="M524" s="84" t="s">
        <v>114</v>
      </c>
      <c r="N524" s="84" t="s">
        <v>72</v>
      </c>
      <c r="O524" s="33" t="s">
        <v>2663</v>
      </c>
      <c r="P524" s="28" t="s">
        <v>2664</v>
      </c>
      <c r="Q524" s="49" t="s">
        <v>75</v>
      </c>
      <c r="R524" s="25" t="s">
        <v>75</v>
      </c>
      <c r="S524" s="26">
        <v>24</v>
      </c>
      <c r="T524" s="55">
        <v>78</v>
      </c>
      <c r="U524" s="61" t="s">
        <v>2665</v>
      </c>
      <c r="V524" s="66" t="s">
        <v>75</v>
      </c>
      <c r="W524" s="106" t="s">
        <v>175</v>
      </c>
      <c r="X524" s="106" t="s">
        <v>369</v>
      </c>
      <c r="Y524" s="106" t="s">
        <v>176</v>
      </c>
      <c r="Z524" s="75" t="s">
        <v>93</v>
      </c>
      <c r="AA524" s="30" t="s">
        <v>2666</v>
      </c>
      <c r="AB524" s="26"/>
      <c r="AC524" s="44"/>
    </row>
    <row r="525" spans="1:29" ht="33" hidden="1">
      <c r="A525" s="98">
        <v>515</v>
      </c>
      <c r="B525" s="79" t="s">
        <v>2667</v>
      </c>
      <c r="C525" s="148" t="s">
        <v>8</v>
      </c>
      <c r="D525" s="80" t="s">
        <v>83</v>
      </c>
      <c r="E525" s="27" t="s">
        <v>350</v>
      </c>
      <c r="F525" s="80" t="s">
        <v>109</v>
      </c>
      <c r="G525" s="81" t="s">
        <v>339</v>
      </c>
      <c r="H525" s="80" t="s">
        <v>351</v>
      </c>
      <c r="I525" s="83">
        <v>45567</v>
      </c>
      <c r="J525" s="80" t="s">
        <v>187</v>
      </c>
      <c r="K525" s="80" t="s">
        <v>188</v>
      </c>
      <c r="L525" s="84" t="s">
        <v>189</v>
      </c>
      <c r="M525" s="84" t="s">
        <v>114</v>
      </c>
      <c r="N525" s="84" t="s">
        <v>72</v>
      </c>
      <c r="O525" s="33" t="s">
        <v>2668</v>
      </c>
      <c r="P525" s="28"/>
      <c r="Q525" s="49" t="s">
        <v>75</v>
      </c>
      <c r="R525" s="25" t="s">
        <v>91</v>
      </c>
      <c r="S525" s="26">
        <v>20</v>
      </c>
      <c r="T525" s="26">
        <v>64</v>
      </c>
      <c r="U525" s="61" t="s">
        <v>2439</v>
      </c>
      <c r="V525" s="66"/>
      <c r="W525" s="106"/>
      <c r="X525" s="106" t="s">
        <v>369</v>
      </c>
      <c r="Y525" s="26" t="s">
        <v>76</v>
      </c>
      <c r="Z525" s="75" t="s">
        <v>93</v>
      </c>
      <c r="AA525" s="30" t="s">
        <v>76</v>
      </c>
      <c r="AB525" s="26"/>
      <c r="AC525" s="44"/>
    </row>
    <row r="526" spans="1:29" ht="33" hidden="1">
      <c r="A526" s="98">
        <v>516</v>
      </c>
      <c r="B526" s="79" t="s">
        <v>2669</v>
      </c>
      <c r="C526" s="268" t="s">
        <v>8</v>
      </c>
      <c r="D526" s="80" t="s">
        <v>63</v>
      </c>
      <c r="E526" s="27">
        <v>2401126</v>
      </c>
      <c r="F526" s="80" t="s">
        <v>2670</v>
      </c>
      <c r="G526" s="81" t="s">
        <v>1413</v>
      </c>
      <c r="H526" s="80" t="s">
        <v>2671</v>
      </c>
      <c r="I526" s="83">
        <v>45567</v>
      </c>
      <c r="J526" s="80" t="s">
        <v>1400</v>
      </c>
      <c r="K526" s="80" t="s">
        <v>188</v>
      </c>
      <c r="L526" s="84" t="s">
        <v>189</v>
      </c>
      <c r="M526" s="84" t="s">
        <v>601</v>
      </c>
      <c r="N526" s="84" t="s">
        <v>72</v>
      </c>
      <c r="O526" s="33" t="s">
        <v>2672</v>
      </c>
      <c r="P526" s="28"/>
      <c r="Q526" s="49" t="s">
        <v>75</v>
      </c>
      <c r="R526" s="25" t="s">
        <v>91</v>
      </c>
      <c r="S526" s="26">
        <v>20</v>
      </c>
      <c r="T526" s="26">
        <v>67</v>
      </c>
      <c r="U526" s="61" t="s">
        <v>2439</v>
      </c>
      <c r="V526" s="66"/>
      <c r="W526" s="106"/>
      <c r="X526" s="106" t="s">
        <v>369</v>
      </c>
      <c r="Y526" s="26" t="s">
        <v>76</v>
      </c>
      <c r="Z526" s="75" t="s">
        <v>93</v>
      </c>
      <c r="AA526" s="30" t="s">
        <v>76</v>
      </c>
      <c r="AB526" s="26"/>
      <c r="AC526" s="44"/>
    </row>
    <row r="527" spans="1:29" ht="49.5" hidden="1">
      <c r="A527" s="98">
        <v>517</v>
      </c>
      <c r="B527" s="79" t="s">
        <v>2673</v>
      </c>
      <c r="C527" s="268" t="s">
        <v>8</v>
      </c>
      <c r="D527" s="80" t="s">
        <v>63</v>
      </c>
      <c r="E527" s="27">
        <v>2401126</v>
      </c>
      <c r="F527" s="80" t="s">
        <v>2670</v>
      </c>
      <c r="G527" s="81" t="s">
        <v>1413</v>
      </c>
      <c r="H527" s="219" t="s">
        <v>2671</v>
      </c>
      <c r="I527" s="83">
        <v>45567</v>
      </c>
      <c r="J527" s="80" t="s">
        <v>2050</v>
      </c>
      <c r="K527" s="80" t="s">
        <v>69</v>
      </c>
      <c r="L527" s="84" t="s">
        <v>70</v>
      </c>
      <c r="M527" s="84" t="s">
        <v>601</v>
      </c>
      <c r="N527" s="84" t="s">
        <v>72</v>
      </c>
      <c r="O527" s="33" t="s">
        <v>2674</v>
      </c>
      <c r="P527" s="28"/>
      <c r="Q527" s="49" t="s">
        <v>75</v>
      </c>
      <c r="R527" s="25" t="s">
        <v>91</v>
      </c>
      <c r="S527" s="26">
        <v>18</v>
      </c>
      <c r="T527" s="26">
        <v>48</v>
      </c>
      <c r="U527" s="61" t="s">
        <v>2675</v>
      </c>
      <c r="V527" s="66"/>
      <c r="W527" s="106"/>
      <c r="X527" s="106" t="s">
        <v>369</v>
      </c>
      <c r="Y527" s="26" t="s">
        <v>76</v>
      </c>
      <c r="Z527" s="75" t="s">
        <v>93</v>
      </c>
      <c r="AA527" s="30" t="s">
        <v>76</v>
      </c>
      <c r="AB527" s="26"/>
      <c r="AC527" s="44"/>
    </row>
    <row r="528" spans="1:29" ht="49.5" hidden="1">
      <c r="A528" s="98">
        <v>519</v>
      </c>
      <c r="B528" s="79" t="s">
        <v>2676</v>
      </c>
      <c r="C528" s="148" t="s">
        <v>8</v>
      </c>
      <c r="D528" s="80" t="s">
        <v>63</v>
      </c>
      <c r="E528" s="27" t="s">
        <v>2677</v>
      </c>
      <c r="F528" s="80" t="s">
        <v>120</v>
      </c>
      <c r="G528" s="81" t="s">
        <v>651</v>
      </c>
      <c r="H528" s="80" t="s">
        <v>2678</v>
      </c>
      <c r="I528" s="83">
        <v>45568</v>
      </c>
      <c r="J528" s="80" t="s">
        <v>298</v>
      </c>
      <c r="K528" s="80" t="s">
        <v>299</v>
      </c>
      <c r="L528" s="84" t="s">
        <v>300</v>
      </c>
      <c r="M528" s="84" t="s">
        <v>252</v>
      </c>
      <c r="N528" s="84" t="s">
        <v>72</v>
      </c>
      <c r="O528" s="33" t="s">
        <v>2679</v>
      </c>
      <c r="P528" s="28" t="s">
        <v>2680</v>
      </c>
      <c r="Q528" s="49" t="s">
        <v>75</v>
      </c>
      <c r="R528" s="25" t="s">
        <v>91</v>
      </c>
      <c r="S528" s="26">
        <v>21</v>
      </c>
      <c r="T528" s="26">
        <v>63</v>
      </c>
      <c r="U528" s="61" t="s">
        <v>2681</v>
      </c>
      <c r="V528" s="66"/>
      <c r="W528" s="106"/>
      <c r="X528" s="106" t="s">
        <v>369</v>
      </c>
      <c r="Y528" s="26" t="s">
        <v>76</v>
      </c>
      <c r="Z528" s="93" t="s">
        <v>93</v>
      </c>
      <c r="AA528" s="30" t="s">
        <v>76</v>
      </c>
      <c r="AB528" s="26"/>
      <c r="AC528" s="44"/>
    </row>
    <row r="529" spans="1:29" ht="82.5" hidden="1">
      <c r="A529" s="98">
        <v>518</v>
      </c>
      <c r="B529" s="79" t="s">
        <v>2682</v>
      </c>
      <c r="C529" s="148" t="s">
        <v>8</v>
      </c>
      <c r="D529" s="80" t="s">
        <v>63</v>
      </c>
      <c r="E529" s="27" t="s">
        <v>2683</v>
      </c>
      <c r="F529" s="80" t="s">
        <v>65</v>
      </c>
      <c r="G529" s="81" t="s">
        <v>2299</v>
      </c>
      <c r="H529" s="80" t="s">
        <v>2684</v>
      </c>
      <c r="I529" s="83">
        <v>45567</v>
      </c>
      <c r="J529" s="80" t="s">
        <v>2685</v>
      </c>
      <c r="K529" s="80" t="s">
        <v>188</v>
      </c>
      <c r="L529" s="84" t="s">
        <v>300</v>
      </c>
      <c r="M529" s="84" t="s">
        <v>101</v>
      </c>
      <c r="N529" s="84" t="s">
        <v>72</v>
      </c>
      <c r="O529" s="33" t="s">
        <v>2686</v>
      </c>
      <c r="P529" s="28" t="s">
        <v>2687</v>
      </c>
      <c r="Q529" s="49" t="s">
        <v>75</v>
      </c>
      <c r="R529" s="25" t="s">
        <v>75</v>
      </c>
      <c r="S529" s="26">
        <v>24</v>
      </c>
      <c r="T529" s="26">
        <v>73</v>
      </c>
      <c r="U529" s="61" t="s">
        <v>2688</v>
      </c>
      <c r="V529" s="66" t="s">
        <v>75</v>
      </c>
      <c r="W529" s="106" t="s">
        <v>104</v>
      </c>
      <c r="X529" s="106" t="s">
        <v>369</v>
      </c>
      <c r="Y529" s="135" t="s">
        <v>516</v>
      </c>
      <c r="Z529" s="75" t="s">
        <v>106</v>
      </c>
      <c r="AA529" s="30" t="s">
        <v>2689</v>
      </c>
      <c r="AB529" s="26"/>
      <c r="AC529" s="44"/>
    </row>
    <row r="530" spans="1:29" ht="33" hidden="1">
      <c r="A530" s="98">
        <v>520</v>
      </c>
      <c r="B530" s="79" t="s">
        <v>2690</v>
      </c>
      <c r="C530" s="148" t="s">
        <v>8</v>
      </c>
      <c r="D530" s="80" t="s">
        <v>63</v>
      </c>
      <c r="E530" s="27" t="s">
        <v>2691</v>
      </c>
      <c r="F530" s="80" t="s">
        <v>65</v>
      </c>
      <c r="G530" s="81" t="s">
        <v>1419</v>
      </c>
      <c r="H530" s="80" t="s">
        <v>2692</v>
      </c>
      <c r="I530" s="83">
        <v>45568</v>
      </c>
      <c r="J530" s="80" t="s">
        <v>657</v>
      </c>
      <c r="K530" s="80" t="s">
        <v>188</v>
      </c>
      <c r="L530" s="84" t="s">
        <v>189</v>
      </c>
      <c r="M530" s="84" t="s">
        <v>221</v>
      </c>
      <c r="N530" s="84" t="s">
        <v>72</v>
      </c>
      <c r="O530" s="33" t="s">
        <v>2693</v>
      </c>
      <c r="P530" s="28"/>
      <c r="Q530" s="49" t="s">
        <v>75</v>
      </c>
      <c r="R530" s="25" t="s">
        <v>91</v>
      </c>
      <c r="S530" s="26">
        <v>18</v>
      </c>
      <c r="T530" s="26">
        <v>54</v>
      </c>
      <c r="U530" s="61" t="s">
        <v>2439</v>
      </c>
      <c r="V530" s="66"/>
      <c r="W530" s="106"/>
      <c r="X530" s="106" t="s">
        <v>369</v>
      </c>
      <c r="Y530" s="26" t="s">
        <v>76</v>
      </c>
      <c r="Z530" s="75" t="s">
        <v>93</v>
      </c>
      <c r="AA530" s="30" t="s">
        <v>76</v>
      </c>
      <c r="AB530" s="26"/>
      <c r="AC530" s="44"/>
    </row>
    <row r="531" spans="1:29" ht="33" hidden="1">
      <c r="A531" s="98">
        <v>521</v>
      </c>
      <c r="B531" s="79" t="s">
        <v>2694</v>
      </c>
      <c r="C531" s="148" t="s">
        <v>8</v>
      </c>
      <c r="D531" s="80" t="s">
        <v>63</v>
      </c>
      <c r="E531" s="27" t="s">
        <v>2695</v>
      </c>
      <c r="F531" s="80" t="s">
        <v>109</v>
      </c>
      <c r="G531" s="81" t="s">
        <v>2076</v>
      </c>
      <c r="H531" s="80" t="s">
        <v>2696</v>
      </c>
      <c r="I531" s="83">
        <v>45568</v>
      </c>
      <c r="J531" s="80" t="s">
        <v>657</v>
      </c>
      <c r="K531" s="80" t="s">
        <v>188</v>
      </c>
      <c r="L531" s="84" t="s">
        <v>189</v>
      </c>
      <c r="M531" s="84" t="s">
        <v>221</v>
      </c>
      <c r="N531" s="84" t="s">
        <v>72</v>
      </c>
      <c r="O531" s="33" t="s">
        <v>2697</v>
      </c>
      <c r="P531" s="28"/>
      <c r="Q531" s="49" t="s">
        <v>91</v>
      </c>
      <c r="R531" s="25"/>
      <c r="S531" s="26">
        <v>4</v>
      </c>
      <c r="T531" s="26"/>
      <c r="U531" s="61" t="s">
        <v>2661</v>
      </c>
      <c r="V531" s="66"/>
      <c r="W531" s="106"/>
      <c r="X531" s="106" t="s">
        <v>76</v>
      </c>
      <c r="Y531" s="26" t="s">
        <v>76</v>
      </c>
      <c r="Z531" s="75" t="s">
        <v>193</v>
      </c>
      <c r="AA531" s="30" t="s">
        <v>76</v>
      </c>
      <c r="AB531" s="26" t="s">
        <v>75</v>
      </c>
      <c r="AC531" s="44"/>
    </row>
    <row r="532" spans="1:29" ht="49.5" hidden="1">
      <c r="A532" s="98">
        <v>522</v>
      </c>
      <c r="B532" s="79" t="s">
        <v>2698</v>
      </c>
      <c r="C532" s="148" t="s">
        <v>8</v>
      </c>
      <c r="D532" s="80" t="s">
        <v>63</v>
      </c>
      <c r="E532" s="27" t="s">
        <v>2695</v>
      </c>
      <c r="F532" s="80" t="s">
        <v>109</v>
      </c>
      <c r="G532" s="81" t="s">
        <v>2076</v>
      </c>
      <c r="H532" s="80" t="s">
        <v>2696</v>
      </c>
      <c r="I532" s="83">
        <v>45568</v>
      </c>
      <c r="J532" s="80" t="s">
        <v>111</v>
      </c>
      <c r="K532" s="80" t="s">
        <v>112</v>
      </c>
      <c r="L532" s="84" t="s">
        <v>122</v>
      </c>
      <c r="M532" s="84" t="s">
        <v>114</v>
      </c>
      <c r="N532" s="84" t="s">
        <v>72</v>
      </c>
      <c r="O532" s="33" t="s">
        <v>2699</v>
      </c>
      <c r="P532" s="28" t="s">
        <v>2700</v>
      </c>
      <c r="Q532" s="49" t="s">
        <v>75</v>
      </c>
      <c r="R532" s="25" t="s">
        <v>91</v>
      </c>
      <c r="S532" s="26">
        <v>23</v>
      </c>
      <c r="T532" s="26">
        <v>69</v>
      </c>
      <c r="U532" s="61" t="s">
        <v>2701</v>
      </c>
      <c r="V532" s="66"/>
      <c r="W532" s="106"/>
      <c r="X532" s="106" t="s">
        <v>369</v>
      </c>
      <c r="Y532" s="26" t="s">
        <v>76</v>
      </c>
      <c r="Z532" s="75" t="s">
        <v>93</v>
      </c>
      <c r="AA532" s="30" t="s">
        <v>76</v>
      </c>
      <c r="AB532" s="26"/>
      <c r="AC532" s="44"/>
    </row>
    <row r="533" spans="1:29" ht="33" hidden="1">
      <c r="A533" s="98">
        <v>523</v>
      </c>
      <c r="B533" s="79" t="s">
        <v>2702</v>
      </c>
      <c r="C533" s="148" t="s">
        <v>8</v>
      </c>
      <c r="D533" s="80" t="s">
        <v>63</v>
      </c>
      <c r="E533" s="27" t="s">
        <v>2703</v>
      </c>
      <c r="F533" s="80" t="s">
        <v>65</v>
      </c>
      <c r="G533" s="81" t="s">
        <v>2076</v>
      </c>
      <c r="H533" s="80" t="s">
        <v>2704</v>
      </c>
      <c r="I533" s="83">
        <v>45568</v>
      </c>
      <c r="J533" s="80" t="s">
        <v>187</v>
      </c>
      <c r="K533" s="80" t="s">
        <v>188</v>
      </c>
      <c r="L533" s="84" t="s">
        <v>189</v>
      </c>
      <c r="M533" s="84" t="s">
        <v>114</v>
      </c>
      <c r="N533" s="84" t="s">
        <v>72</v>
      </c>
      <c r="O533" s="33" t="s">
        <v>2705</v>
      </c>
      <c r="P533" s="28"/>
      <c r="Q533" s="49" t="s">
        <v>75</v>
      </c>
      <c r="R533" s="25" t="s">
        <v>91</v>
      </c>
      <c r="S533" s="26">
        <v>18</v>
      </c>
      <c r="T533" s="26">
        <v>54</v>
      </c>
      <c r="U533" s="61" t="s">
        <v>2439</v>
      </c>
      <c r="V533" s="66"/>
      <c r="W533" s="106"/>
      <c r="X533" s="106" t="s">
        <v>369</v>
      </c>
      <c r="Y533" s="26" t="s">
        <v>76</v>
      </c>
      <c r="Z533" s="75" t="s">
        <v>93</v>
      </c>
      <c r="AA533" s="30" t="s">
        <v>76</v>
      </c>
      <c r="AB533" s="26"/>
      <c r="AC533" s="44"/>
    </row>
    <row r="534" spans="1:29" ht="66" hidden="1">
      <c r="A534" s="98">
        <v>524</v>
      </c>
      <c r="B534" s="79" t="s">
        <v>2706</v>
      </c>
      <c r="C534" s="148" t="s">
        <v>8</v>
      </c>
      <c r="D534" s="80" t="s">
        <v>63</v>
      </c>
      <c r="E534" s="27" t="s">
        <v>2707</v>
      </c>
      <c r="F534" s="80" t="s">
        <v>2493</v>
      </c>
      <c r="G534" s="81" t="s">
        <v>2076</v>
      </c>
      <c r="H534" s="80" t="s">
        <v>2708</v>
      </c>
      <c r="I534" s="83">
        <v>45568</v>
      </c>
      <c r="J534" s="80" t="s">
        <v>657</v>
      </c>
      <c r="K534" s="80" t="s">
        <v>69</v>
      </c>
      <c r="L534" s="84" t="s">
        <v>189</v>
      </c>
      <c r="M534" s="84" t="s">
        <v>221</v>
      </c>
      <c r="N534" s="84" t="s">
        <v>72</v>
      </c>
      <c r="O534" s="33" t="s">
        <v>2709</v>
      </c>
      <c r="P534" s="28" t="s">
        <v>2710</v>
      </c>
      <c r="Q534" s="49" t="s">
        <v>75</v>
      </c>
      <c r="R534" s="25" t="s">
        <v>91</v>
      </c>
      <c r="S534" s="26">
        <v>20</v>
      </c>
      <c r="T534" s="26" t="s">
        <v>313</v>
      </c>
      <c r="U534" s="61" t="s">
        <v>2711</v>
      </c>
      <c r="V534" s="66"/>
      <c r="W534" s="106"/>
      <c r="X534" s="106" t="s">
        <v>369</v>
      </c>
      <c r="Y534" s="26" t="s">
        <v>76</v>
      </c>
      <c r="Z534" s="75" t="s">
        <v>93</v>
      </c>
      <c r="AA534" s="30" t="s">
        <v>76</v>
      </c>
      <c r="AB534" s="26" t="s">
        <v>2712</v>
      </c>
      <c r="AC534" s="44"/>
    </row>
    <row r="535" spans="1:29" ht="33" hidden="1">
      <c r="A535" s="98">
        <v>525</v>
      </c>
      <c r="B535" s="79" t="s">
        <v>2713</v>
      </c>
      <c r="C535" s="148" t="s">
        <v>8</v>
      </c>
      <c r="D535" s="80" t="s">
        <v>63</v>
      </c>
      <c r="E535" s="27" t="s">
        <v>2714</v>
      </c>
      <c r="F535" s="80" t="s">
        <v>109</v>
      </c>
      <c r="G535" s="81" t="s">
        <v>2076</v>
      </c>
      <c r="H535" s="80" t="s">
        <v>2715</v>
      </c>
      <c r="I535" s="83">
        <v>45568</v>
      </c>
      <c r="J535" s="80" t="s">
        <v>657</v>
      </c>
      <c r="K535" s="80" t="s">
        <v>146</v>
      </c>
      <c r="L535" s="84" t="s">
        <v>189</v>
      </c>
      <c r="M535" s="84" t="s">
        <v>221</v>
      </c>
      <c r="N535" s="84" t="s">
        <v>72</v>
      </c>
      <c r="O535" s="33" t="s">
        <v>2716</v>
      </c>
      <c r="P535" s="28"/>
      <c r="Q535" s="49" t="s">
        <v>75</v>
      </c>
      <c r="R535" s="25" t="s">
        <v>91</v>
      </c>
      <c r="S535" s="26">
        <v>18</v>
      </c>
      <c r="T535" s="26">
        <v>66</v>
      </c>
      <c r="U535" s="61" t="s">
        <v>2717</v>
      </c>
      <c r="V535" s="66"/>
      <c r="W535" s="106"/>
      <c r="X535" s="106" t="s">
        <v>369</v>
      </c>
      <c r="Y535" s="26" t="s">
        <v>76</v>
      </c>
      <c r="Z535" s="75" t="s">
        <v>93</v>
      </c>
      <c r="AA535" s="30" t="s">
        <v>76</v>
      </c>
      <c r="AB535" s="26"/>
      <c r="AC535" s="44"/>
    </row>
    <row r="536" spans="1:29" ht="33" hidden="1">
      <c r="A536" s="98">
        <v>526</v>
      </c>
      <c r="B536" s="79" t="s">
        <v>2718</v>
      </c>
      <c r="C536" s="148" t="s">
        <v>8</v>
      </c>
      <c r="D536" s="80" t="s">
        <v>63</v>
      </c>
      <c r="E536" s="27" t="s">
        <v>2719</v>
      </c>
      <c r="F536" s="80" t="s">
        <v>109</v>
      </c>
      <c r="G536" s="81" t="s">
        <v>2076</v>
      </c>
      <c r="H536" s="80" t="s">
        <v>2720</v>
      </c>
      <c r="I536" s="83">
        <v>45568</v>
      </c>
      <c r="J536" s="80" t="s">
        <v>187</v>
      </c>
      <c r="K536" s="80" t="s">
        <v>188</v>
      </c>
      <c r="L536" s="84" t="s">
        <v>189</v>
      </c>
      <c r="M536" s="84" t="s">
        <v>114</v>
      </c>
      <c r="N536" s="84" t="s">
        <v>72</v>
      </c>
      <c r="O536" s="33" t="s">
        <v>2721</v>
      </c>
      <c r="P536" s="28"/>
      <c r="Q536" s="49" t="s">
        <v>75</v>
      </c>
      <c r="R536" s="25" t="s">
        <v>91</v>
      </c>
      <c r="S536" s="26">
        <v>18</v>
      </c>
      <c r="T536" s="26">
        <v>54</v>
      </c>
      <c r="U536" s="61" t="s">
        <v>2439</v>
      </c>
      <c r="V536" s="66"/>
      <c r="W536" s="106"/>
      <c r="X536" s="106" t="s">
        <v>369</v>
      </c>
      <c r="Y536" s="26" t="s">
        <v>76</v>
      </c>
      <c r="Z536" s="75" t="s">
        <v>93</v>
      </c>
      <c r="AA536" s="30" t="s">
        <v>76</v>
      </c>
      <c r="AB536" s="26"/>
      <c r="AC536" s="44"/>
    </row>
    <row r="537" spans="1:29" ht="33" hidden="1">
      <c r="A537" s="98">
        <v>527</v>
      </c>
      <c r="B537" s="79" t="s">
        <v>2722</v>
      </c>
      <c r="C537" s="148" t="s">
        <v>8</v>
      </c>
      <c r="D537" s="80" t="s">
        <v>63</v>
      </c>
      <c r="E537" s="27" t="s">
        <v>2085</v>
      </c>
      <c r="F537" s="80" t="s">
        <v>109</v>
      </c>
      <c r="G537" s="81" t="s">
        <v>2076</v>
      </c>
      <c r="H537" s="80" t="s">
        <v>2086</v>
      </c>
      <c r="I537" s="83">
        <v>45568</v>
      </c>
      <c r="J537" s="80" t="s">
        <v>250</v>
      </c>
      <c r="K537" s="80" t="s">
        <v>69</v>
      </c>
      <c r="L537" s="84" t="s">
        <v>251</v>
      </c>
      <c r="M537" s="84" t="s">
        <v>252</v>
      </c>
      <c r="N537" s="84" t="s">
        <v>920</v>
      </c>
      <c r="O537" s="33" t="s">
        <v>2723</v>
      </c>
      <c r="P537" s="28"/>
      <c r="Q537" s="49" t="s">
        <v>91</v>
      </c>
      <c r="R537" s="25"/>
      <c r="S537" s="26">
        <v>11</v>
      </c>
      <c r="T537" s="26"/>
      <c r="U537" s="61" t="s">
        <v>2724</v>
      </c>
      <c r="V537" s="66"/>
      <c r="W537" s="106"/>
      <c r="X537" s="106"/>
      <c r="Y537" s="26" t="s">
        <v>76</v>
      </c>
      <c r="Z537" s="75" t="s">
        <v>193</v>
      </c>
      <c r="AA537" s="30" t="s">
        <v>76</v>
      </c>
      <c r="AB537" s="26"/>
      <c r="AC537" s="44"/>
    </row>
    <row r="538" spans="1:29" ht="33" hidden="1">
      <c r="A538" s="98">
        <v>528</v>
      </c>
      <c r="B538" s="79" t="s">
        <v>2725</v>
      </c>
      <c r="C538" s="148" t="s">
        <v>8</v>
      </c>
      <c r="D538" s="80" t="s">
        <v>63</v>
      </c>
      <c r="E538" s="27" t="s">
        <v>2085</v>
      </c>
      <c r="F538" s="80" t="s">
        <v>109</v>
      </c>
      <c r="G538" s="81" t="s">
        <v>2076</v>
      </c>
      <c r="H538" s="80" t="s">
        <v>2086</v>
      </c>
      <c r="I538" s="83">
        <v>45568</v>
      </c>
      <c r="J538" s="80" t="s">
        <v>187</v>
      </c>
      <c r="K538" s="80" t="s">
        <v>834</v>
      </c>
      <c r="L538" s="84" t="s">
        <v>189</v>
      </c>
      <c r="M538" s="84" t="s">
        <v>114</v>
      </c>
      <c r="N538" s="84" t="s">
        <v>72</v>
      </c>
      <c r="O538" s="33" t="s">
        <v>2726</v>
      </c>
      <c r="P538" s="28"/>
      <c r="Q538" s="49" t="s">
        <v>75</v>
      </c>
      <c r="R538" s="25" t="s">
        <v>91</v>
      </c>
      <c r="S538" s="26"/>
      <c r="T538" s="26"/>
      <c r="U538" s="61"/>
      <c r="V538" s="66"/>
      <c r="W538" s="106"/>
      <c r="X538" s="106" t="s">
        <v>369</v>
      </c>
      <c r="Y538" s="26" t="s">
        <v>76</v>
      </c>
      <c r="Z538" s="75" t="s">
        <v>76</v>
      </c>
      <c r="AA538" s="30" t="s">
        <v>76</v>
      </c>
      <c r="AB538" s="26"/>
      <c r="AC538" s="44"/>
    </row>
    <row r="539" spans="1:29" ht="33" hidden="1">
      <c r="A539" s="98">
        <v>529</v>
      </c>
      <c r="B539" s="79" t="s">
        <v>2727</v>
      </c>
      <c r="C539" s="148" t="s">
        <v>8</v>
      </c>
      <c r="D539" s="80" t="s">
        <v>63</v>
      </c>
      <c r="E539" s="27" t="s">
        <v>2728</v>
      </c>
      <c r="F539" s="80" t="s">
        <v>120</v>
      </c>
      <c r="G539" s="81" t="s">
        <v>2076</v>
      </c>
      <c r="H539" s="80" t="s">
        <v>2729</v>
      </c>
      <c r="I539" s="83">
        <v>45568</v>
      </c>
      <c r="J539" s="80" t="s">
        <v>811</v>
      </c>
      <c r="K539" s="80" t="s">
        <v>299</v>
      </c>
      <c r="L539" s="84" t="s">
        <v>300</v>
      </c>
      <c r="M539" s="84" t="s">
        <v>114</v>
      </c>
      <c r="N539" s="84" t="s">
        <v>72</v>
      </c>
      <c r="O539" s="33" t="s">
        <v>2730</v>
      </c>
      <c r="P539" s="28" t="s">
        <v>2731</v>
      </c>
      <c r="Q539" s="49" t="s">
        <v>75</v>
      </c>
      <c r="R539" s="25" t="s">
        <v>91</v>
      </c>
      <c r="S539" s="26">
        <v>22</v>
      </c>
      <c r="T539" s="26">
        <v>61</v>
      </c>
      <c r="U539" s="61" t="s">
        <v>2732</v>
      </c>
      <c r="V539" s="66"/>
      <c r="W539" s="106"/>
      <c r="X539" s="106" t="s">
        <v>369</v>
      </c>
      <c r="Y539" s="26" t="s">
        <v>76</v>
      </c>
      <c r="Z539" s="93" t="s">
        <v>93</v>
      </c>
      <c r="AA539" s="30" t="s">
        <v>76</v>
      </c>
      <c r="AB539" s="26"/>
      <c r="AC539" s="44"/>
    </row>
    <row r="540" spans="1:29" ht="33" hidden="1">
      <c r="A540" s="98">
        <v>530</v>
      </c>
      <c r="B540" s="79" t="s">
        <v>2733</v>
      </c>
      <c r="C540" s="148" t="s">
        <v>8</v>
      </c>
      <c r="D540" s="80" t="s">
        <v>63</v>
      </c>
      <c r="E540" s="27" t="s">
        <v>2734</v>
      </c>
      <c r="F540" s="80" t="s">
        <v>65</v>
      </c>
      <c r="G540" s="81" t="s">
        <v>2076</v>
      </c>
      <c r="H540" s="80" t="s">
        <v>2735</v>
      </c>
      <c r="I540" s="83">
        <v>45568</v>
      </c>
      <c r="J540" s="80" t="s">
        <v>1400</v>
      </c>
      <c r="K540" s="80" t="s">
        <v>188</v>
      </c>
      <c r="L540" s="84" t="s">
        <v>189</v>
      </c>
      <c r="M540" s="84" t="s">
        <v>601</v>
      </c>
      <c r="N540" s="84" t="s">
        <v>72</v>
      </c>
      <c r="O540" s="33" t="s">
        <v>2736</v>
      </c>
      <c r="P540" s="28"/>
      <c r="Q540" s="49" t="s">
        <v>75</v>
      </c>
      <c r="R540" s="25" t="s">
        <v>91</v>
      </c>
      <c r="S540" s="26">
        <v>18</v>
      </c>
      <c r="T540" s="26">
        <v>54</v>
      </c>
      <c r="U540" s="61" t="s">
        <v>2439</v>
      </c>
      <c r="V540" s="66"/>
      <c r="W540" s="106"/>
      <c r="X540" s="106" t="s">
        <v>369</v>
      </c>
      <c r="Y540" s="26" t="s">
        <v>76</v>
      </c>
      <c r="Z540" s="75" t="s">
        <v>93</v>
      </c>
      <c r="AA540" s="30" t="s">
        <v>76</v>
      </c>
      <c r="AB540" s="26"/>
      <c r="AC540" s="44"/>
    </row>
    <row r="541" spans="1:29" ht="33" hidden="1">
      <c r="A541" s="98">
        <v>531</v>
      </c>
      <c r="B541" s="79" t="s">
        <v>2737</v>
      </c>
      <c r="C541" s="148" t="s">
        <v>8</v>
      </c>
      <c r="D541" s="80" t="s">
        <v>63</v>
      </c>
      <c r="E541" s="27" t="s">
        <v>2738</v>
      </c>
      <c r="F541" s="80" t="s">
        <v>65</v>
      </c>
      <c r="G541" s="81" t="s">
        <v>1413</v>
      </c>
      <c r="H541" s="80" t="s">
        <v>2739</v>
      </c>
      <c r="I541" s="83">
        <v>45569</v>
      </c>
      <c r="J541" s="80" t="s">
        <v>187</v>
      </c>
      <c r="K541" s="80" t="s">
        <v>188</v>
      </c>
      <c r="L541" s="84" t="s">
        <v>189</v>
      </c>
      <c r="M541" s="84" t="s">
        <v>114</v>
      </c>
      <c r="N541" s="84" t="s">
        <v>72</v>
      </c>
      <c r="O541" s="33" t="s">
        <v>2740</v>
      </c>
      <c r="P541" s="28"/>
      <c r="Q541" s="49" t="s">
        <v>75</v>
      </c>
      <c r="R541" s="25" t="s">
        <v>91</v>
      </c>
      <c r="S541" s="26">
        <v>18</v>
      </c>
      <c r="T541" s="26">
        <v>54</v>
      </c>
      <c r="U541" s="61" t="s">
        <v>2439</v>
      </c>
      <c r="V541" s="66"/>
      <c r="W541" s="106"/>
      <c r="X541" s="106" t="s">
        <v>369</v>
      </c>
      <c r="Y541" s="26" t="s">
        <v>76</v>
      </c>
      <c r="Z541" s="75" t="s">
        <v>93</v>
      </c>
      <c r="AA541" s="30" t="s">
        <v>76</v>
      </c>
      <c r="AB541" s="26"/>
      <c r="AC541" s="44"/>
    </row>
    <row r="542" spans="1:29" ht="33" hidden="1">
      <c r="A542" s="98">
        <v>532</v>
      </c>
      <c r="B542" s="79" t="s">
        <v>2741</v>
      </c>
      <c r="C542" s="148" t="s">
        <v>8</v>
      </c>
      <c r="D542" s="80" t="s">
        <v>63</v>
      </c>
      <c r="E542" s="27" t="s">
        <v>2738</v>
      </c>
      <c r="F542" s="80" t="s">
        <v>65</v>
      </c>
      <c r="G542" s="81" t="s">
        <v>1413</v>
      </c>
      <c r="H542" s="80" t="s">
        <v>2739</v>
      </c>
      <c r="I542" s="83">
        <v>45569</v>
      </c>
      <c r="J542" s="80" t="s">
        <v>187</v>
      </c>
      <c r="K542" s="80" t="s">
        <v>188</v>
      </c>
      <c r="L542" s="84" t="s">
        <v>189</v>
      </c>
      <c r="M542" s="84" t="s">
        <v>114</v>
      </c>
      <c r="N542" s="84" t="s">
        <v>72</v>
      </c>
      <c r="O542" s="33" t="s">
        <v>2742</v>
      </c>
      <c r="P542" s="28"/>
      <c r="Q542" s="49" t="s">
        <v>75</v>
      </c>
      <c r="R542" s="25" t="s">
        <v>91</v>
      </c>
      <c r="S542" s="26">
        <v>18</v>
      </c>
      <c r="T542" s="26">
        <v>54</v>
      </c>
      <c r="U542" s="61" t="s">
        <v>2439</v>
      </c>
      <c r="V542" s="66"/>
      <c r="W542" s="106"/>
      <c r="X542" s="106" t="s">
        <v>369</v>
      </c>
      <c r="Y542" s="26" t="s">
        <v>76</v>
      </c>
      <c r="Z542" s="75" t="s">
        <v>93</v>
      </c>
      <c r="AA542" s="30" t="s">
        <v>76</v>
      </c>
      <c r="AB542" s="26"/>
      <c r="AC542" s="44"/>
    </row>
    <row r="543" spans="1:29" ht="79.5" hidden="1" customHeight="1">
      <c r="A543" s="98">
        <v>533</v>
      </c>
      <c r="B543" s="79" t="s">
        <v>2743</v>
      </c>
      <c r="C543" s="148" t="s">
        <v>8</v>
      </c>
      <c r="D543" s="80" t="s">
        <v>63</v>
      </c>
      <c r="E543" s="27" t="s">
        <v>1992</v>
      </c>
      <c r="F543" s="80" t="s">
        <v>338</v>
      </c>
      <c r="G543" s="81" t="s">
        <v>995</v>
      </c>
      <c r="H543" s="80" t="s">
        <v>1993</v>
      </c>
      <c r="I543" s="83">
        <v>45569</v>
      </c>
      <c r="J543" s="80" t="s">
        <v>332</v>
      </c>
      <c r="K543" s="80" t="s">
        <v>156</v>
      </c>
      <c r="L543" s="84" t="s">
        <v>189</v>
      </c>
      <c r="M543" s="84" t="s">
        <v>101</v>
      </c>
      <c r="N543" s="84" t="s">
        <v>72</v>
      </c>
      <c r="O543" s="33" t="s">
        <v>2744</v>
      </c>
      <c r="P543" s="28"/>
      <c r="Q543" s="49" t="s">
        <v>75</v>
      </c>
      <c r="R543" s="25" t="s">
        <v>91</v>
      </c>
      <c r="S543" s="26">
        <v>18</v>
      </c>
      <c r="T543" s="26">
        <v>66</v>
      </c>
      <c r="U543" s="61" t="s">
        <v>2745</v>
      </c>
      <c r="V543" s="66"/>
      <c r="W543" s="106"/>
      <c r="X543" s="106" t="s">
        <v>369</v>
      </c>
      <c r="Y543" s="26" t="s">
        <v>76</v>
      </c>
      <c r="Z543" s="75" t="s">
        <v>93</v>
      </c>
      <c r="AA543" s="30" t="s">
        <v>76</v>
      </c>
      <c r="AB543" s="26"/>
      <c r="AC543" s="44"/>
    </row>
    <row r="544" spans="1:29" ht="115.5" hidden="1">
      <c r="A544" s="98">
        <v>534</v>
      </c>
      <c r="B544" s="79" t="s">
        <v>2746</v>
      </c>
      <c r="C544" s="148" t="s">
        <v>8</v>
      </c>
      <c r="D544" s="80" t="s">
        <v>63</v>
      </c>
      <c r="E544" s="27" t="s">
        <v>2747</v>
      </c>
      <c r="F544" s="80" t="s">
        <v>338</v>
      </c>
      <c r="G544" s="81" t="s">
        <v>2076</v>
      </c>
      <c r="H544" s="80" t="s">
        <v>2748</v>
      </c>
      <c r="I544" s="83">
        <v>45569</v>
      </c>
      <c r="J544" s="80" t="s">
        <v>1003</v>
      </c>
      <c r="K544" s="80" t="s">
        <v>198</v>
      </c>
      <c r="L544" s="84" t="s">
        <v>100</v>
      </c>
      <c r="M544" s="84" t="s">
        <v>252</v>
      </c>
      <c r="N544" s="84" t="s">
        <v>72</v>
      </c>
      <c r="O544" s="33" t="s">
        <v>2749</v>
      </c>
      <c r="P544" s="28" t="s">
        <v>2750</v>
      </c>
      <c r="Q544" s="49" t="s">
        <v>75</v>
      </c>
      <c r="R544" s="25" t="s">
        <v>91</v>
      </c>
      <c r="S544" s="26">
        <v>18</v>
      </c>
      <c r="T544" s="26">
        <v>52</v>
      </c>
      <c r="U544" s="61" t="s">
        <v>2751</v>
      </c>
      <c r="V544" s="66"/>
      <c r="W544" s="106"/>
      <c r="X544" s="106" t="s">
        <v>369</v>
      </c>
      <c r="Y544" s="106" t="s">
        <v>76</v>
      </c>
      <c r="Z544" s="75" t="s">
        <v>93</v>
      </c>
      <c r="AA544" s="30" t="s">
        <v>76</v>
      </c>
      <c r="AB544" s="26"/>
      <c r="AC544" s="44"/>
    </row>
    <row r="545" spans="1:29" ht="33" hidden="1">
      <c r="A545" s="98">
        <v>535</v>
      </c>
      <c r="B545" s="79" t="s">
        <v>2752</v>
      </c>
      <c r="C545" s="148" t="s">
        <v>8</v>
      </c>
      <c r="D545" s="80" t="s">
        <v>63</v>
      </c>
      <c r="E545" s="27" t="s">
        <v>2619</v>
      </c>
      <c r="F545" s="80" t="s">
        <v>120</v>
      </c>
      <c r="G545" s="81" t="s">
        <v>2076</v>
      </c>
      <c r="H545" s="80" t="s">
        <v>2620</v>
      </c>
      <c r="I545" s="83">
        <v>45569</v>
      </c>
      <c r="J545" s="80" t="s">
        <v>250</v>
      </c>
      <c r="K545" s="80" t="s">
        <v>491</v>
      </c>
      <c r="L545" s="84" t="s">
        <v>251</v>
      </c>
      <c r="M545" s="84" t="s">
        <v>252</v>
      </c>
      <c r="N545" s="84" t="s">
        <v>72</v>
      </c>
      <c r="O545" s="33" t="s">
        <v>2753</v>
      </c>
      <c r="P545" s="28"/>
      <c r="Q545" s="49" t="s">
        <v>75</v>
      </c>
      <c r="R545" s="196" t="s">
        <v>91</v>
      </c>
      <c r="S545" s="26">
        <v>19</v>
      </c>
      <c r="T545" s="26"/>
      <c r="U545" s="61" t="s">
        <v>2754</v>
      </c>
      <c r="V545" s="66"/>
      <c r="W545" s="106"/>
      <c r="X545" s="106" t="s">
        <v>369</v>
      </c>
      <c r="Y545" s="26" t="s">
        <v>76</v>
      </c>
      <c r="Z545" s="75" t="s">
        <v>106</v>
      </c>
      <c r="AA545" s="30" t="s">
        <v>76</v>
      </c>
      <c r="AB545" s="26"/>
      <c r="AC545" s="44"/>
    </row>
    <row r="546" spans="1:29" ht="33" hidden="1">
      <c r="A546" s="98">
        <v>536</v>
      </c>
      <c r="B546" s="79" t="s">
        <v>2755</v>
      </c>
      <c r="C546" s="148" t="s">
        <v>8</v>
      </c>
      <c r="D546" s="80" t="s">
        <v>63</v>
      </c>
      <c r="E546" s="27" t="s">
        <v>2756</v>
      </c>
      <c r="F546" s="80" t="s">
        <v>65</v>
      </c>
      <c r="G546" s="81" t="s">
        <v>1889</v>
      </c>
      <c r="H546" s="80" t="s">
        <v>2757</v>
      </c>
      <c r="I546" s="83">
        <v>45569</v>
      </c>
      <c r="J546" s="80" t="s">
        <v>145</v>
      </c>
      <c r="K546" s="80" t="s">
        <v>146</v>
      </c>
      <c r="L546" s="84" t="s">
        <v>147</v>
      </c>
      <c r="M546" s="84" t="s">
        <v>148</v>
      </c>
      <c r="N546" s="84" t="s">
        <v>72</v>
      </c>
      <c r="O546" s="33" t="s">
        <v>2758</v>
      </c>
      <c r="P546" s="28"/>
      <c r="Q546" s="49" t="s">
        <v>75</v>
      </c>
      <c r="R546" s="25" t="s">
        <v>91</v>
      </c>
      <c r="S546" s="26">
        <v>18</v>
      </c>
      <c r="T546" s="26">
        <v>60</v>
      </c>
      <c r="U546" s="61" t="s">
        <v>2759</v>
      </c>
      <c r="V546" s="66"/>
      <c r="W546" s="106"/>
      <c r="X546" s="106" t="s">
        <v>369</v>
      </c>
      <c r="Y546" s="26" t="s">
        <v>76</v>
      </c>
      <c r="Z546" s="75" t="s">
        <v>93</v>
      </c>
      <c r="AA546" s="30" t="s">
        <v>76</v>
      </c>
      <c r="AB546" s="26"/>
      <c r="AC546" s="44"/>
    </row>
    <row r="547" spans="1:29" ht="33" hidden="1">
      <c r="A547" s="98">
        <v>537</v>
      </c>
      <c r="B547" s="79" t="s">
        <v>2760</v>
      </c>
      <c r="C547" s="148" t="s">
        <v>8</v>
      </c>
      <c r="D547" s="80" t="s">
        <v>63</v>
      </c>
      <c r="E547" s="27" t="s">
        <v>2761</v>
      </c>
      <c r="F547" s="80" t="s">
        <v>284</v>
      </c>
      <c r="G547" s="81" t="s">
        <v>2762</v>
      </c>
      <c r="H547" s="80" t="s">
        <v>2763</v>
      </c>
      <c r="I547" s="83">
        <v>45570</v>
      </c>
      <c r="J547" s="80" t="s">
        <v>250</v>
      </c>
      <c r="K547" s="80" t="s">
        <v>69</v>
      </c>
      <c r="L547" s="84" t="s">
        <v>251</v>
      </c>
      <c r="M547" s="84" t="s">
        <v>252</v>
      </c>
      <c r="N547" s="84" t="s">
        <v>72</v>
      </c>
      <c r="O547" s="33" t="s">
        <v>2764</v>
      </c>
      <c r="P547" s="28"/>
      <c r="Q547" s="49" t="s">
        <v>75</v>
      </c>
      <c r="R547" s="25" t="s">
        <v>91</v>
      </c>
      <c r="S547" s="26">
        <v>20</v>
      </c>
      <c r="T547" s="26" t="s">
        <v>313</v>
      </c>
      <c r="U547" s="61" t="s">
        <v>2765</v>
      </c>
      <c r="V547" s="66"/>
      <c r="W547" s="106"/>
      <c r="X547" s="106" t="s">
        <v>369</v>
      </c>
      <c r="Y547" s="26" t="s">
        <v>76</v>
      </c>
      <c r="Z547" s="75" t="s">
        <v>93</v>
      </c>
      <c r="AA547" s="30" t="s">
        <v>76</v>
      </c>
      <c r="AB547" s="26"/>
      <c r="AC547" s="44"/>
    </row>
    <row r="548" spans="1:29" ht="49.5" hidden="1">
      <c r="A548" s="98">
        <v>538</v>
      </c>
      <c r="B548" s="79" t="s">
        <v>2766</v>
      </c>
      <c r="C548" s="148" t="s">
        <v>8</v>
      </c>
      <c r="D548" s="80" t="s">
        <v>63</v>
      </c>
      <c r="E548" s="27" t="s">
        <v>2767</v>
      </c>
      <c r="F548" s="80" t="s">
        <v>65</v>
      </c>
      <c r="G548" s="81" t="s">
        <v>995</v>
      </c>
      <c r="H548" s="80" t="s">
        <v>2768</v>
      </c>
      <c r="I548" s="83">
        <v>45570</v>
      </c>
      <c r="J548" s="80" t="s">
        <v>250</v>
      </c>
      <c r="K548" s="80" t="s">
        <v>69</v>
      </c>
      <c r="L548" s="84" t="s">
        <v>251</v>
      </c>
      <c r="M548" s="84" t="s">
        <v>252</v>
      </c>
      <c r="N548" s="84" t="s">
        <v>72</v>
      </c>
      <c r="O548" s="33" t="s">
        <v>2769</v>
      </c>
      <c r="P548" s="28" t="s">
        <v>2770</v>
      </c>
      <c r="Q548" s="49" t="s">
        <v>75</v>
      </c>
      <c r="R548" s="25" t="s">
        <v>91</v>
      </c>
      <c r="S548" s="26">
        <v>18</v>
      </c>
      <c r="T548" s="26">
        <v>44</v>
      </c>
      <c r="U548" s="61" t="s">
        <v>2771</v>
      </c>
      <c r="V548" s="66"/>
      <c r="W548" s="106"/>
      <c r="X548" s="106" t="s">
        <v>369</v>
      </c>
      <c r="Y548" s="26" t="s">
        <v>76</v>
      </c>
      <c r="Z548" s="75" t="s">
        <v>93</v>
      </c>
      <c r="AA548" s="30" t="s">
        <v>76</v>
      </c>
      <c r="AB548" s="26"/>
      <c r="AC548" s="44"/>
    </row>
    <row r="549" spans="1:29" ht="33" hidden="1">
      <c r="A549" s="98">
        <v>539</v>
      </c>
      <c r="B549" s="79" t="s">
        <v>2772</v>
      </c>
      <c r="C549" s="148" t="s">
        <v>8</v>
      </c>
      <c r="D549" s="80" t="s">
        <v>83</v>
      </c>
      <c r="E549" s="27" t="s">
        <v>337</v>
      </c>
      <c r="F549" s="80" t="s">
        <v>338</v>
      </c>
      <c r="G549" s="81" t="s">
        <v>339</v>
      </c>
      <c r="H549" s="80" t="s">
        <v>340</v>
      </c>
      <c r="I549" s="83">
        <v>45572</v>
      </c>
      <c r="J549" s="80" t="s">
        <v>657</v>
      </c>
      <c r="K549" s="80" t="s">
        <v>198</v>
      </c>
      <c r="L549" s="84" t="s">
        <v>189</v>
      </c>
      <c r="M549" s="84" t="s">
        <v>221</v>
      </c>
      <c r="N549" s="84" t="s">
        <v>72</v>
      </c>
      <c r="O549" s="33" t="s">
        <v>2773</v>
      </c>
      <c r="P549" s="28"/>
      <c r="Q549" s="49" t="s">
        <v>91</v>
      </c>
      <c r="R549" s="25"/>
      <c r="S549" s="26">
        <v>16</v>
      </c>
      <c r="T549" s="26"/>
      <c r="U549" s="61" t="s">
        <v>2505</v>
      </c>
      <c r="V549" s="66"/>
      <c r="W549" s="106"/>
      <c r="X549" s="106" t="s">
        <v>76</v>
      </c>
      <c r="Y549" s="26" t="s">
        <v>76</v>
      </c>
      <c r="Z549" s="75" t="s">
        <v>193</v>
      </c>
      <c r="AA549" s="30" t="s">
        <v>76</v>
      </c>
      <c r="AB549" s="26"/>
      <c r="AC549" s="44"/>
    </row>
    <row r="550" spans="1:29" ht="33" hidden="1">
      <c r="A550" s="98">
        <v>540</v>
      </c>
      <c r="B550" s="79" t="s">
        <v>2774</v>
      </c>
      <c r="C550" s="148" t="s">
        <v>8</v>
      </c>
      <c r="D550" s="80" t="s">
        <v>83</v>
      </c>
      <c r="E550" s="27" t="s">
        <v>337</v>
      </c>
      <c r="F550" s="80" t="s">
        <v>338</v>
      </c>
      <c r="G550" s="81" t="s">
        <v>339</v>
      </c>
      <c r="H550" s="80" t="s">
        <v>340</v>
      </c>
      <c r="I550" s="83">
        <v>45572</v>
      </c>
      <c r="J550" s="80" t="s">
        <v>657</v>
      </c>
      <c r="K550" s="80" t="s">
        <v>198</v>
      </c>
      <c r="L550" s="84" t="s">
        <v>189</v>
      </c>
      <c r="M550" s="84" t="s">
        <v>221</v>
      </c>
      <c r="N550" s="84" t="s">
        <v>72</v>
      </c>
      <c r="O550" s="33" t="s">
        <v>2775</v>
      </c>
      <c r="P550" s="28"/>
      <c r="Q550" s="49" t="s">
        <v>91</v>
      </c>
      <c r="R550" s="25"/>
      <c r="S550" s="26">
        <v>16</v>
      </c>
      <c r="T550" s="26"/>
      <c r="U550" s="61" t="s">
        <v>2505</v>
      </c>
      <c r="V550" s="66"/>
      <c r="W550" s="106"/>
      <c r="X550" s="106" t="s">
        <v>76</v>
      </c>
      <c r="Y550" s="26" t="s">
        <v>76</v>
      </c>
      <c r="Z550" s="75" t="s">
        <v>193</v>
      </c>
      <c r="AA550" s="30" t="s">
        <v>76</v>
      </c>
      <c r="AB550" s="26"/>
      <c r="AC550" s="44"/>
    </row>
    <row r="551" spans="1:29" ht="33" hidden="1">
      <c r="A551" s="98">
        <v>541</v>
      </c>
      <c r="B551" s="79" t="s">
        <v>2776</v>
      </c>
      <c r="C551" s="148" t="s">
        <v>8</v>
      </c>
      <c r="D551" s="80" t="s">
        <v>83</v>
      </c>
      <c r="E551" s="27" t="s">
        <v>337</v>
      </c>
      <c r="F551" s="80" t="s">
        <v>338</v>
      </c>
      <c r="G551" s="81" t="s">
        <v>339</v>
      </c>
      <c r="H551" s="80" t="s">
        <v>340</v>
      </c>
      <c r="I551" s="83">
        <v>45572</v>
      </c>
      <c r="J551" s="80" t="s">
        <v>657</v>
      </c>
      <c r="K551" s="80" t="s">
        <v>198</v>
      </c>
      <c r="L551" s="84" t="s">
        <v>189</v>
      </c>
      <c r="M551" s="84" t="s">
        <v>221</v>
      </c>
      <c r="N551" s="84" t="s">
        <v>72</v>
      </c>
      <c r="O551" s="33" t="s">
        <v>2777</v>
      </c>
      <c r="P551" s="28"/>
      <c r="Q551" s="49" t="s">
        <v>91</v>
      </c>
      <c r="R551" s="25"/>
      <c r="S551" s="26">
        <v>16</v>
      </c>
      <c r="T551" s="26"/>
      <c r="U551" s="61" t="s">
        <v>2505</v>
      </c>
      <c r="V551" s="66"/>
      <c r="W551" s="106"/>
      <c r="X551" s="106" t="s">
        <v>76</v>
      </c>
      <c r="Y551" s="26" t="s">
        <v>76</v>
      </c>
      <c r="Z551" s="75" t="s">
        <v>193</v>
      </c>
      <c r="AA551" s="30" t="s">
        <v>76</v>
      </c>
      <c r="AB551" s="26"/>
      <c r="AC551" s="44"/>
    </row>
    <row r="552" spans="1:29" ht="49.5" hidden="1">
      <c r="A552" s="98">
        <v>542</v>
      </c>
      <c r="B552" s="79" t="s">
        <v>2778</v>
      </c>
      <c r="C552" s="148" t="s">
        <v>8</v>
      </c>
      <c r="D552" s="80" t="s">
        <v>63</v>
      </c>
      <c r="E552" s="27" t="s">
        <v>2779</v>
      </c>
      <c r="F552" s="80" t="s">
        <v>109</v>
      </c>
      <c r="G552" s="81" t="s">
        <v>1522</v>
      </c>
      <c r="H552" s="80" t="s">
        <v>2780</v>
      </c>
      <c r="I552" s="83">
        <v>45572</v>
      </c>
      <c r="J552" s="80" t="s">
        <v>241</v>
      </c>
      <c r="K552" s="80" t="s">
        <v>198</v>
      </c>
      <c r="L552" s="84" t="s">
        <v>199</v>
      </c>
      <c r="M552" s="84" t="s">
        <v>221</v>
      </c>
      <c r="N552" s="84" t="s">
        <v>72</v>
      </c>
      <c r="O552" s="33" t="s">
        <v>2781</v>
      </c>
      <c r="P552" s="28"/>
      <c r="Q552" s="49" t="s">
        <v>75</v>
      </c>
      <c r="R552" s="26" t="s">
        <v>91</v>
      </c>
      <c r="S552" s="26">
        <v>18</v>
      </c>
      <c r="T552" s="26">
        <v>52</v>
      </c>
      <c r="U552" s="61" t="s">
        <v>2782</v>
      </c>
      <c r="V552" s="66"/>
      <c r="W552" s="106"/>
      <c r="X552" s="106" t="s">
        <v>369</v>
      </c>
      <c r="Y552" s="106" t="s">
        <v>76</v>
      </c>
      <c r="Z552" s="75" t="s">
        <v>93</v>
      </c>
      <c r="AA552" s="30" t="s">
        <v>76</v>
      </c>
      <c r="AB552" s="26"/>
      <c r="AC552" s="44"/>
    </row>
    <row r="553" spans="1:29" ht="66" hidden="1">
      <c r="A553" s="98">
        <v>543</v>
      </c>
      <c r="B553" s="79" t="s">
        <v>2783</v>
      </c>
      <c r="C553" s="148" t="s">
        <v>8</v>
      </c>
      <c r="D553" s="80" t="s">
        <v>178</v>
      </c>
      <c r="E553" s="27" t="s">
        <v>2784</v>
      </c>
      <c r="F553" s="80" t="s">
        <v>338</v>
      </c>
      <c r="G553" s="81" t="s">
        <v>180</v>
      </c>
      <c r="H553" s="80" t="s">
        <v>2785</v>
      </c>
      <c r="I553" s="83">
        <v>45572</v>
      </c>
      <c r="J553" s="80" t="s">
        <v>170</v>
      </c>
      <c r="K553" s="80" t="s">
        <v>156</v>
      </c>
      <c r="L553" s="84" t="s">
        <v>171</v>
      </c>
      <c r="M553" s="84" t="s">
        <v>71</v>
      </c>
      <c r="N553" s="84" t="s">
        <v>72</v>
      </c>
      <c r="O553" s="33" t="s">
        <v>2786</v>
      </c>
      <c r="P553" s="28"/>
      <c r="Q553" s="49" t="s">
        <v>75</v>
      </c>
      <c r="R553" s="25" t="s">
        <v>75</v>
      </c>
      <c r="S553" s="26">
        <v>25</v>
      </c>
      <c r="T553" s="26">
        <v>80</v>
      </c>
      <c r="U553" s="61" t="s">
        <v>2787</v>
      </c>
      <c r="V553" s="66" t="s">
        <v>75</v>
      </c>
      <c r="W553" s="106" t="s">
        <v>425</v>
      </c>
      <c r="X553" s="106" t="s">
        <v>369</v>
      </c>
      <c r="Y553" s="106" t="s">
        <v>516</v>
      </c>
      <c r="Z553" s="93" t="s">
        <v>79</v>
      </c>
      <c r="AA553" s="30" t="s">
        <v>2788</v>
      </c>
      <c r="AB553" s="26"/>
      <c r="AC553" s="44"/>
    </row>
    <row r="554" spans="1:29" ht="49.5" hidden="1">
      <c r="A554" s="98">
        <v>544</v>
      </c>
      <c r="B554" s="79" t="s">
        <v>2789</v>
      </c>
      <c r="C554" s="148" t="s">
        <v>8</v>
      </c>
      <c r="D554" s="80" t="s">
        <v>63</v>
      </c>
      <c r="E554" s="27" t="s">
        <v>2790</v>
      </c>
      <c r="F554" s="80" t="s">
        <v>338</v>
      </c>
      <c r="G554" s="81" t="s">
        <v>995</v>
      </c>
      <c r="H554" s="80" t="s">
        <v>2791</v>
      </c>
      <c r="I554" s="83">
        <v>45572</v>
      </c>
      <c r="J554" s="80" t="s">
        <v>170</v>
      </c>
      <c r="K554" s="80" t="s">
        <v>156</v>
      </c>
      <c r="L554" s="84" t="s">
        <v>171</v>
      </c>
      <c r="M554" s="84" t="s">
        <v>71</v>
      </c>
      <c r="N554" s="84" t="s">
        <v>72</v>
      </c>
      <c r="O554" s="33" t="s">
        <v>2792</v>
      </c>
      <c r="P554" s="28"/>
      <c r="Q554" s="49" t="s">
        <v>75</v>
      </c>
      <c r="R554" s="25" t="s">
        <v>91</v>
      </c>
      <c r="S554" s="26">
        <v>18</v>
      </c>
      <c r="T554" s="26">
        <v>66</v>
      </c>
      <c r="U554" s="61" t="s">
        <v>2793</v>
      </c>
      <c r="V554" s="66"/>
      <c r="W554" s="106"/>
      <c r="X554" s="106" t="s">
        <v>369</v>
      </c>
      <c r="Y554" s="26" t="s">
        <v>76</v>
      </c>
      <c r="Z554" s="75" t="s">
        <v>93</v>
      </c>
      <c r="AA554" s="30" t="s">
        <v>76</v>
      </c>
      <c r="AB554" s="26"/>
      <c r="AC554" s="44"/>
    </row>
    <row r="555" spans="1:29" ht="49.5" hidden="1">
      <c r="A555" s="98">
        <v>545</v>
      </c>
      <c r="B555" s="79" t="s">
        <v>2794</v>
      </c>
      <c r="C555" s="148" t="s">
        <v>8</v>
      </c>
      <c r="D555" s="80" t="s">
        <v>63</v>
      </c>
      <c r="E555" s="27" t="s">
        <v>2795</v>
      </c>
      <c r="F555" s="80" t="s">
        <v>120</v>
      </c>
      <c r="G555" s="81" t="s">
        <v>2054</v>
      </c>
      <c r="H555" s="80" t="s">
        <v>2796</v>
      </c>
      <c r="I555" s="83">
        <v>45572</v>
      </c>
      <c r="J555" s="80" t="s">
        <v>111</v>
      </c>
      <c r="K555" s="80" t="s">
        <v>112</v>
      </c>
      <c r="L555" s="84" t="s">
        <v>122</v>
      </c>
      <c r="M555" s="84" t="s">
        <v>114</v>
      </c>
      <c r="N555" s="84" t="s">
        <v>72</v>
      </c>
      <c r="O555" s="33" t="s">
        <v>2797</v>
      </c>
      <c r="P555" s="28" t="s">
        <v>2798</v>
      </c>
      <c r="Q555" s="49" t="s">
        <v>75</v>
      </c>
      <c r="R555" s="25" t="s">
        <v>91</v>
      </c>
      <c r="S555" s="26">
        <v>24</v>
      </c>
      <c r="T555" s="55" t="s">
        <v>2799</v>
      </c>
      <c r="U555" s="61" t="s">
        <v>2800</v>
      </c>
      <c r="V555" s="66"/>
      <c r="W555" s="106"/>
      <c r="X555" s="106" t="s">
        <v>369</v>
      </c>
      <c r="Y555" s="106"/>
      <c r="Z555" s="75" t="s">
        <v>93</v>
      </c>
      <c r="AA555" s="30" t="s">
        <v>2799</v>
      </c>
      <c r="AB555" s="26"/>
      <c r="AC555" s="44"/>
    </row>
    <row r="556" spans="1:29" ht="49.5" hidden="1">
      <c r="A556" s="98">
        <v>546</v>
      </c>
      <c r="B556" s="79" t="s">
        <v>2801</v>
      </c>
      <c r="C556" s="148" t="s">
        <v>8</v>
      </c>
      <c r="D556" s="80" t="s">
        <v>63</v>
      </c>
      <c r="E556" s="27" t="s">
        <v>2802</v>
      </c>
      <c r="F556" s="80" t="s">
        <v>109</v>
      </c>
      <c r="G556" s="81" t="s">
        <v>2054</v>
      </c>
      <c r="H556" s="80" t="s">
        <v>2803</v>
      </c>
      <c r="I556" s="83">
        <v>45572</v>
      </c>
      <c r="J556" s="80" t="s">
        <v>298</v>
      </c>
      <c r="K556" s="80" t="s">
        <v>299</v>
      </c>
      <c r="L556" s="84" t="s">
        <v>300</v>
      </c>
      <c r="M556" s="84" t="s">
        <v>252</v>
      </c>
      <c r="N556" s="84" t="s">
        <v>72</v>
      </c>
      <c r="O556" s="33" t="s">
        <v>2804</v>
      </c>
      <c r="P556" s="28" t="s">
        <v>2805</v>
      </c>
      <c r="Q556" s="49" t="s">
        <v>75</v>
      </c>
      <c r="R556" s="180" t="s">
        <v>504</v>
      </c>
      <c r="S556" s="26">
        <v>23</v>
      </c>
      <c r="T556" s="26">
        <v>74</v>
      </c>
      <c r="U556" s="61" t="s">
        <v>2806</v>
      </c>
      <c r="V556" s="66"/>
      <c r="W556" s="106"/>
      <c r="X556" s="106" t="s">
        <v>369</v>
      </c>
      <c r="Y556" s="26" t="s">
        <v>76</v>
      </c>
      <c r="Z556" s="93" t="s">
        <v>106</v>
      </c>
      <c r="AA556" s="30" t="s">
        <v>76</v>
      </c>
      <c r="AB556" s="26"/>
      <c r="AC556" s="44"/>
    </row>
    <row r="557" spans="1:29" ht="33" hidden="1">
      <c r="A557" s="98">
        <v>547</v>
      </c>
      <c r="B557" s="79" t="s">
        <v>2807</v>
      </c>
      <c r="C557" s="148" t="s">
        <v>8</v>
      </c>
      <c r="D557" s="80" t="s">
        <v>83</v>
      </c>
      <c r="E557" s="27" t="s">
        <v>2808</v>
      </c>
      <c r="F557" s="80" t="s">
        <v>120</v>
      </c>
      <c r="G557" s="81" t="s">
        <v>669</v>
      </c>
      <c r="H557" s="80" t="s">
        <v>2809</v>
      </c>
      <c r="I557" s="83">
        <v>45572</v>
      </c>
      <c r="J557" s="80" t="s">
        <v>220</v>
      </c>
      <c r="K557" s="80" t="s">
        <v>112</v>
      </c>
      <c r="L557" s="84" t="s">
        <v>122</v>
      </c>
      <c r="M557" s="84" t="s">
        <v>221</v>
      </c>
      <c r="N557" s="84" t="s">
        <v>72</v>
      </c>
      <c r="O557" s="33" t="s">
        <v>2810</v>
      </c>
      <c r="P557" s="28"/>
      <c r="Q557" s="49" t="s">
        <v>75</v>
      </c>
      <c r="R557" s="25" t="s">
        <v>91</v>
      </c>
      <c r="S557" s="26">
        <v>21</v>
      </c>
      <c r="T557" s="26">
        <v>59</v>
      </c>
      <c r="U557" s="61" t="s">
        <v>2811</v>
      </c>
      <c r="V557" s="66"/>
      <c r="W557" s="106"/>
      <c r="X557" s="106" t="s">
        <v>369</v>
      </c>
      <c r="Y557" s="26" t="s">
        <v>76</v>
      </c>
      <c r="Z557" s="75" t="s">
        <v>93</v>
      </c>
      <c r="AA557" s="30" t="s">
        <v>76</v>
      </c>
      <c r="AB557" s="26"/>
      <c r="AC557" s="44"/>
    </row>
    <row r="558" spans="1:29" ht="33" hidden="1">
      <c r="A558" s="98">
        <v>548</v>
      </c>
      <c r="B558" s="79" t="s">
        <v>2812</v>
      </c>
      <c r="C558" s="148" t="s">
        <v>8</v>
      </c>
      <c r="D558" s="80" t="s">
        <v>83</v>
      </c>
      <c r="E558" s="27" t="s">
        <v>2813</v>
      </c>
      <c r="F558" s="80" t="s">
        <v>65</v>
      </c>
      <c r="G558" s="81" t="s">
        <v>918</v>
      </c>
      <c r="H558" s="80" t="s">
        <v>2814</v>
      </c>
      <c r="I558" s="83">
        <v>45572</v>
      </c>
      <c r="J558" s="80" t="s">
        <v>482</v>
      </c>
      <c r="K558" s="80" t="s">
        <v>156</v>
      </c>
      <c r="L558" s="84" t="s">
        <v>189</v>
      </c>
      <c r="M558" s="84" t="s">
        <v>71</v>
      </c>
      <c r="N558" s="84" t="s">
        <v>72</v>
      </c>
      <c r="O558" s="33" t="s">
        <v>2815</v>
      </c>
      <c r="P558" s="28"/>
      <c r="Q558" s="49" t="s">
        <v>75</v>
      </c>
      <c r="R558" s="25" t="s">
        <v>91</v>
      </c>
      <c r="S558" s="26">
        <v>18</v>
      </c>
      <c r="T558" s="26">
        <v>66</v>
      </c>
      <c r="U558" s="61" t="s">
        <v>2816</v>
      </c>
      <c r="V558" s="66"/>
      <c r="W558" s="106"/>
      <c r="X558" s="106" t="s">
        <v>369</v>
      </c>
      <c r="Y558" s="26" t="s">
        <v>76</v>
      </c>
      <c r="Z558" s="75" t="s">
        <v>93</v>
      </c>
      <c r="AA558" s="30" t="s">
        <v>76</v>
      </c>
      <c r="AB558" s="26"/>
      <c r="AC558" s="44"/>
    </row>
    <row r="559" spans="1:29" ht="49.5" hidden="1">
      <c r="A559" s="98">
        <v>549</v>
      </c>
      <c r="B559" s="79" t="s">
        <v>2817</v>
      </c>
      <c r="C559" s="148" t="s">
        <v>8</v>
      </c>
      <c r="D559" s="80" t="s">
        <v>63</v>
      </c>
      <c r="E559" s="27" t="s">
        <v>2818</v>
      </c>
      <c r="F559" s="80" t="s">
        <v>120</v>
      </c>
      <c r="G559" s="81" t="s">
        <v>2054</v>
      </c>
      <c r="H559" s="80" t="s">
        <v>2819</v>
      </c>
      <c r="I559" s="83">
        <v>45572</v>
      </c>
      <c r="J559" s="80" t="s">
        <v>220</v>
      </c>
      <c r="K559" s="80" t="s">
        <v>112</v>
      </c>
      <c r="L559" s="84" t="s">
        <v>113</v>
      </c>
      <c r="M559" s="84" t="s">
        <v>221</v>
      </c>
      <c r="N559" s="84" t="s">
        <v>72</v>
      </c>
      <c r="O559" s="33" t="s">
        <v>2820</v>
      </c>
      <c r="P559" s="28" t="s">
        <v>2821</v>
      </c>
      <c r="Q559" s="49" t="s">
        <v>75</v>
      </c>
      <c r="R559" s="25" t="s">
        <v>91</v>
      </c>
      <c r="S559" s="26">
        <v>22</v>
      </c>
      <c r="T559" s="55" t="s">
        <v>2822</v>
      </c>
      <c r="U559" s="61" t="s">
        <v>2823</v>
      </c>
      <c r="V559" s="66"/>
      <c r="W559" s="106"/>
      <c r="X559" s="106" t="s">
        <v>369</v>
      </c>
      <c r="Y559" s="26" t="s">
        <v>76</v>
      </c>
      <c r="Z559" s="75" t="s">
        <v>93</v>
      </c>
      <c r="AA559" s="30" t="s">
        <v>2822</v>
      </c>
      <c r="AB559" s="26"/>
      <c r="AC559" s="44"/>
    </row>
    <row r="560" spans="1:29" ht="33" hidden="1">
      <c r="A560" s="98">
        <v>550</v>
      </c>
      <c r="B560" s="79" t="s">
        <v>2824</v>
      </c>
      <c r="C560" s="148" t="s">
        <v>8</v>
      </c>
      <c r="D560" s="80" t="s">
        <v>63</v>
      </c>
      <c r="E560" s="27" t="s">
        <v>2825</v>
      </c>
      <c r="F560" s="80" t="s">
        <v>65</v>
      </c>
      <c r="G560" s="81" t="s">
        <v>1419</v>
      </c>
      <c r="H560" s="80" t="s">
        <v>2826</v>
      </c>
      <c r="I560" s="83">
        <v>45572</v>
      </c>
      <c r="J560" s="80" t="s">
        <v>1400</v>
      </c>
      <c r="K560" s="80" t="s">
        <v>188</v>
      </c>
      <c r="L560" s="84" t="s">
        <v>189</v>
      </c>
      <c r="M560" s="84" t="s">
        <v>601</v>
      </c>
      <c r="N560" s="84" t="s">
        <v>72</v>
      </c>
      <c r="O560" s="33" t="s">
        <v>2827</v>
      </c>
      <c r="P560" s="28"/>
      <c r="Q560" s="49" t="s">
        <v>75</v>
      </c>
      <c r="R560" s="25" t="s">
        <v>91</v>
      </c>
      <c r="S560" s="26">
        <v>18</v>
      </c>
      <c r="T560" s="26">
        <v>54</v>
      </c>
      <c r="U560" s="61" t="s">
        <v>2439</v>
      </c>
      <c r="V560" s="66"/>
      <c r="W560" s="106"/>
      <c r="X560" s="106" t="s">
        <v>369</v>
      </c>
      <c r="Y560" s="26" t="s">
        <v>76</v>
      </c>
      <c r="Z560" s="75" t="s">
        <v>93</v>
      </c>
      <c r="AA560" s="30" t="s">
        <v>76</v>
      </c>
      <c r="AB560" s="26"/>
      <c r="AC560" s="44"/>
    </row>
    <row r="561" spans="1:29" ht="33" hidden="1">
      <c r="A561" s="98">
        <v>551</v>
      </c>
      <c r="B561" s="79" t="s">
        <v>2828</v>
      </c>
      <c r="C561" s="148" t="s">
        <v>8</v>
      </c>
      <c r="D561" s="80" t="s">
        <v>83</v>
      </c>
      <c r="E561" s="27" t="s">
        <v>2829</v>
      </c>
      <c r="F561" s="80" t="s">
        <v>109</v>
      </c>
      <c r="G561" s="81" t="s">
        <v>639</v>
      </c>
      <c r="H561" s="80" t="s">
        <v>2830</v>
      </c>
      <c r="I561" s="83">
        <v>45572</v>
      </c>
      <c r="J561" s="80" t="s">
        <v>1079</v>
      </c>
      <c r="K561" s="80" t="s">
        <v>112</v>
      </c>
      <c r="L561" s="84" t="s">
        <v>122</v>
      </c>
      <c r="M561" s="84" t="s">
        <v>71</v>
      </c>
      <c r="N561" s="84" t="s">
        <v>72</v>
      </c>
      <c r="O561" s="33" t="s">
        <v>2831</v>
      </c>
      <c r="P561" s="28"/>
      <c r="Q561" s="49" t="s">
        <v>91</v>
      </c>
      <c r="R561" s="25"/>
      <c r="S561" s="26">
        <v>15</v>
      </c>
      <c r="T561" s="26"/>
      <c r="U561" s="61" t="s">
        <v>2832</v>
      </c>
      <c r="V561" s="66"/>
      <c r="W561" s="106"/>
      <c r="X561" s="106" t="s">
        <v>76</v>
      </c>
      <c r="Y561" s="26" t="s">
        <v>76</v>
      </c>
      <c r="Z561" s="75" t="s">
        <v>193</v>
      </c>
      <c r="AA561" s="30" t="s">
        <v>76</v>
      </c>
      <c r="AB561" s="26"/>
      <c r="AC561" s="44"/>
    </row>
    <row r="562" spans="1:29" ht="49.5" hidden="1">
      <c r="A562" s="98">
        <v>552</v>
      </c>
      <c r="B562" s="79" t="s">
        <v>2833</v>
      </c>
      <c r="C562" s="148" t="s">
        <v>8</v>
      </c>
      <c r="D562" s="80" t="s">
        <v>63</v>
      </c>
      <c r="E562" s="27" t="s">
        <v>2834</v>
      </c>
      <c r="F562" s="80" t="s">
        <v>120</v>
      </c>
      <c r="G562" s="81" t="s">
        <v>2054</v>
      </c>
      <c r="H562" s="80" t="s">
        <v>2835</v>
      </c>
      <c r="I562" s="83">
        <v>45572</v>
      </c>
      <c r="J562" s="80" t="s">
        <v>332</v>
      </c>
      <c r="K562" s="80" t="s">
        <v>188</v>
      </c>
      <c r="L562" s="84" t="s">
        <v>189</v>
      </c>
      <c r="M562" s="84" t="s">
        <v>101</v>
      </c>
      <c r="N562" s="84" t="s">
        <v>72</v>
      </c>
      <c r="O562" s="33" t="s">
        <v>2836</v>
      </c>
      <c r="P562" s="28"/>
      <c r="Q562" s="49" t="s">
        <v>75</v>
      </c>
      <c r="R562" s="25" t="s">
        <v>91</v>
      </c>
      <c r="S562" s="26">
        <v>18</v>
      </c>
      <c r="T562" s="26">
        <v>54</v>
      </c>
      <c r="U562" s="61" t="s">
        <v>2439</v>
      </c>
      <c r="V562" s="66"/>
      <c r="W562" s="106"/>
      <c r="X562" s="106" t="s">
        <v>369</v>
      </c>
      <c r="Y562" s="26" t="s">
        <v>76</v>
      </c>
      <c r="Z562" s="75" t="s">
        <v>93</v>
      </c>
      <c r="AA562" s="30" t="s">
        <v>76</v>
      </c>
      <c r="AB562" s="26"/>
      <c r="AC562" s="44"/>
    </row>
    <row r="563" spans="1:29" ht="33" hidden="1">
      <c r="A563" s="98">
        <v>553</v>
      </c>
      <c r="B563" s="79" t="s">
        <v>2837</v>
      </c>
      <c r="C563" s="148" t="s">
        <v>8</v>
      </c>
      <c r="D563" s="80" t="s">
        <v>83</v>
      </c>
      <c r="E563" s="27" t="s">
        <v>2838</v>
      </c>
      <c r="F563" s="80" t="s">
        <v>120</v>
      </c>
      <c r="G563" s="81" t="s">
        <v>639</v>
      </c>
      <c r="H563" s="80" t="s">
        <v>2839</v>
      </c>
      <c r="I563" s="83">
        <v>45572</v>
      </c>
      <c r="J563" s="80" t="s">
        <v>2840</v>
      </c>
      <c r="K563" s="80" t="s">
        <v>69</v>
      </c>
      <c r="L563" s="84" t="s">
        <v>100</v>
      </c>
      <c r="M563" s="84" t="s">
        <v>784</v>
      </c>
      <c r="N563" s="84" t="s">
        <v>72</v>
      </c>
      <c r="O563" s="33" t="s">
        <v>2841</v>
      </c>
      <c r="P563" s="28"/>
      <c r="Q563" s="49" t="s">
        <v>75</v>
      </c>
      <c r="R563" s="25" t="s">
        <v>91</v>
      </c>
      <c r="S563" s="26">
        <v>19</v>
      </c>
      <c r="T563" s="26" t="s">
        <v>313</v>
      </c>
      <c r="U563" s="61" t="s">
        <v>2842</v>
      </c>
      <c r="V563" s="66"/>
      <c r="W563" s="106"/>
      <c r="X563" s="106" t="s">
        <v>369</v>
      </c>
      <c r="Y563" s="26" t="s">
        <v>76</v>
      </c>
      <c r="Z563" s="93" t="s">
        <v>93</v>
      </c>
      <c r="AA563" s="30" t="s">
        <v>76</v>
      </c>
      <c r="AB563" s="26"/>
      <c r="AC563" s="44"/>
    </row>
    <row r="564" spans="1:29" ht="33" hidden="1">
      <c r="A564" s="98">
        <v>554</v>
      </c>
      <c r="B564" s="79" t="s">
        <v>2843</v>
      </c>
      <c r="C564" s="148" t="s">
        <v>8</v>
      </c>
      <c r="D564" s="80" t="s">
        <v>178</v>
      </c>
      <c r="E564" s="27" t="s">
        <v>2844</v>
      </c>
      <c r="F564" s="80" t="s">
        <v>65</v>
      </c>
      <c r="G564" s="81" t="s">
        <v>180</v>
      </c>
      <c r="H564" s="80" t="s">
        <v>2845</v>
      </c>
      <c r="I564" s="83">
        <v>45572</v>
      </c>
      <c r="J564" s="80" t="s">
        <v>111</v>
      </c>
      <c r="K564" s="80" t="s">
        <v>112</v>
      </c>
      <c r="L564" s="84" t="s">
        <v>122</v>
      </c>
      <c r="M564" s="84" t="s">
        <v>114</v>
      </c>
      <c r="N564" s="84" t="s">
        <v>72</v>
      </c>
      <c r="O564" s="33" t="s">
        <v>2846</v>
      </c>
      <c r="P564" s="28"/>
      <c r="Q564" s="49" t="s">
        <v>91</v>
      </c>
      <c r="R564" s="25"/>
      <c r="S564" s="26">
        <v>16</v>
      </c>
      <c r="T564" s="26"/>
      <c r="U564" s="61" t="s">
        <v>2576</v>
      </c>
      <c r="V564" s="66"/>
      <c r="W564" s="106"/>
      <c r="X564" s="106" t="s">
        <v>76</v>
      </c>
      <c r="Y564" s="26" t="s">
        <v>76</v>
      </c>
      <c r="Z564" s="75" t="s">
        <v>193</v>
      </c>
      <c r="AA564" s="30" t="s">
        <v>76</v>
      </c>
      <c r="AB564" s="26" t="s">
        <v>75</v>
      </c>
      <c r="AC564" s="44"/>
    </row>
    <row r="565" spans="1:29" ht="49.5" hidden="1">
      <c r="A565" s="98">
        <v>555</v>
      </c>
      <c r="B565" s="79" t="s">
        <v>2847</v>
      </c>
      <c r="C565" s="148" t="s">
        <v>8</v>
      </c>
      <c r="D565" s="80" t="s">
        <v>63</v>
      </c>
      <c r="E565" s="27" t="s">
        <v>2848</v>
      </c>
      <c r="F565" s="80" t="s">
        <v>284</v>
      </c>
      <c r="G565" s="81" t="s">
        <v>2054</v>
      </c>
      <c r="H565" s="80" t="s">
        <v>2849</v>
      </c>
      <c r="I565" s="83">
        <v>45572</v>
      </c>
      <c r="J565" s="80" t="s">
        <v>1003</v>
      </c>
      <c r="K565" s="80" t="s">
        <v>69</v>
      </c>
      <c r="L565" s="84" t="s">
        <v>100</v>
      </c>
      <c r="M565" s="84" t="s">
        <v>252</v>
      </c>
      <c r="N565" s="84" t="s">
        <v>72</v>
      </c>
      <c r="O565" s="33" t="s">
        <v>2850</v>
      </c>
      <c r="P565" s="28"/>
      <c r="Q565" s="49" t="s">
        <v>75</v>
      </c>
      <c r="R565" s="25" t="s">
        <v>91</v>
      </c>
      <c r="S565" s="26">
        <v>18</v>
      </c>
      <c r="T565" s="26">
        <v>52</v>
      </c>
      <c r="U565" s="61"/>
      <c r="V565" s="66"/>
      <c r="W565" s="106"/>
      <c r="X565" s="106" t="s">
        <v>369</v>
      </c>
      <c r="Y565" s="26" t="s">
        <v>76</v>
      </c>
      <c r="Z565" s="93" t="s">
        <v>93</v>
      </c>
      <c r="AA565" s="30" t="s">
        <v>76</v>
      </c>
      <c r="AB565" s="26"/>
      <c r="AC565" s="44"/>
    </row>
    <row r="566" spans="1:29" ht="49.5" hidden="1">
      <c r="A566" s="98">
        <v>556</v>
      </c>
      <c r="B566" s="79" t="s">
        <v>2851</v>
      </c>
      <c r="C566" s="148" t="s">
        <v>8</v>
      </c>
      <c r="D566" s="80" t="s">
        <v>63</v>
      </c>
      <c r="E566" s="27">
        <v>2200332</v>
      </c>
      <c r="F566" s="80" t="s">
        <v>1652</v>
      </c>
      <c r="G566" s="81" t="s">
        <v>2054</v>
      </c>
      <c r="H566" s="80" t="s">
        <v>2852</v>
      </c>
      <c r="I566" s="83">
        <v>45572</v>
      </c>
      <c r="J566" s="80" t="s">
        <v>2840</v>
      </c>
      <c r="K566" s="80" t="s">
        <v>69</v>
      </c>
      <c r="L566" s="84" t="s">
        <v>100</v>
      </c>
      <c r="M566" s="84" t="s">
        <v>784</v>
      </c>
      <c r="N566" s="84" t="s">
        <v>72</v>
      </c>
      <c r="O566" s="33" t="s">
        <v>2853</v>
      </c>
      <c r="P566" s="28"/>
      <c r="Q566" s="49" t="s">
        <v>91</v>
      </c>
      <c r="R566" s="25"/>
      <c r="S566" s="26">
        <v>12</v>
      </c>
      <c r="T566" s="26"/>
      <c r="U566" s="61"/>
      <c r="V566" s="66"/>
      <c r="W566" s="106"/>
      <c r="X566" s="106" t="s">
        <v>76</v>
      </c>
      <c r="Y566" s="26" t="s">
        <v>76</v>
      </c>
      <c r="Z566" s="93" t="s">
        <v>193</v>
      </c>
      <c r="AA566" s="30" t="s">
        <v>76</v>
      </c>
      <c r="AB566" s="26"/>
      <c r="AC566" s="44"/>
    </row>
    <row r="567" spans="1:29" ht="49.5" hidden="1">
      <c r="A567" s="98">
        <v>557</v>
      </c>
      <c r="B567" s="79" t="s">
        <v>2854</v>
      </c>
      <c r="C567" s="148" t="s">
        <v>8</v>
      </c>
      <c r="D567" s="80" t="s">
        <v>63</v>
      </c>
      <c r="E567" s="27" t="s">
        <v>2855</v>
      </c>
      <c r="F567" s="80" t="s">
        <v>65</v>
      </c>
      <c r="G567" s="81" t="s">
        <v>2054</v>
      </c>
      <c r="H567" s="80" t="s">
        <v>2856</v>
      </c>
      <c r="I567" s="83">
        <v>45572</v>
      </c>
      <c r="J567" s="80" t="s">
        <v>170</v>
      </c>
      <c r="K567" s="80" t="s">
        <v>156</v>
      </c>
      <c r="L567" s="84" t="s">
        <v>171</v>
      </c>
      <c r="M567" s="84" t="s">
        <v>71</v>
      </c>
      <c r="N567" s="84" t="s">
        <v>72</v>
      </c>
      <c r="O567" s="33" t="s">
        <v>2857</v>
      </c>
      <c r="P567" s="28"/>
      <c r="Q567" s="49" t="s">
        <v>75</v>
      </c>
      <c r="R567" s="25" t="s">
        <v>91</v>
      </c>
      <c r="S567" s="26">
        <v>18</v>
      </c>
      <c r="T567" s="26">
        <v>66</v>
      </c>
      <c r="U567" s="61" t="s">
        <v>2858</v>
      </c>
      <c r="V567" s="66"/>
      <c r="W567" s="106"/>
      <c r="X567" s="106" t="s">
        <v>369</v>
      </c>
      <c r="Y567" s="26" t="s">
        <v>76</v>
      </c>
      <c r="Z567" s="75" t="s">
        <v>93</v>
      </c>
      <c r="AA567" s="30" t="s">
        <v>76</v>
      </c>
      <c r="AB567" s="26"/>
      <c r="AC567" s="44"/>
    </row>
    <row r="568" spans="1:29" ht="49.5" hidden="1">
      <c r="A568" s="98">
        <v>558</v>
      </c>
      <c r="B568" s="79" t="s">
        <v>2859</v>
      </c>
      <c r="C568" s="148" t="s">
        <v>8</v>
      </c>
      <c r="D568" s="80" t="s">
        <v>63</v>
      </c>
      <c r="E568" s="27" t="s">
        <v>2860</v>
      </c>
      <c r="F568" s="80" t="s">
        <v>65</v>
      </c>
      <c r="G568" s="81" t="s">
        <v>2054</v>
      </c>
      <c r="H568" s="80" t="s">
        <v>2861</v>
      </c>
      <c r="I568" s="83">
        <v>45572</v>
      </c>
      <c r="J568" s="80" t="s">
        <v>1346</v>
      </c>
      <c r="K568" s="80" t="s">
        <v>69</v>
      </c>
      <c r="L568" s="84" t="s">
        <v>70</v>
      </c>
      <c r="M568" s="84" t="s">
        <v>114</v>
      </c>
      <c r="N568" s="84" t="s">
        <v>72</v>
      </c>
      <c r="O568" s="33" t="s">
        <v>2862</v>
      </c>
      <c r="P568" s="28"/>
      <c r="Q568" s="49" t="s">
        <v>91</v>
      </c>
      <c r="R568" s="25"/>
      <c r="S568" s="26">
        <v>14</v>
      </c>
      <c r="T568" s="26"/>
      <c r="U568" s="61" t="s">
        <v>2863</v>
      </c>
      <c r="V568" s="66"/>
      <c r="W568" s="106"/>
      <c r="X568" s="106" t="s">
        <v>76</v>
      </c>
      <c r="Y568" s="26" t="s">
        <v>76</v>
      </c>
      <c r="Z568" s="75" t="s">
        <v>193</v>
      </c>
      <c r="AA568" s="30" t="s">
        <v>76</v>
      </c>
      <c r="AB568" s="26"/>
      <c r="AC568" s="44"/>
    </row>
    <row r="569" spans="1:29" ht="49.5" hidden="1">
      <c r="A569" s="98">
        <v>559</v>
      </c>
      <c r="B569" s="79" t="s">
        <v>2864</v>
      </c>
      <c r="C569" s="148" t="s">
        <v>8</v>
      </c>
      <c r="D569" s="80" t="s">
        <v>63</v>
      </c>
      <c r="E569" s="27" t="s">
        <v>2865</v>
      </c>
      <c r="F569" s="80" t="s">
        <v>120</v>
      </c>
      <c r="G569" s="81" t="s">
        <v>2054</v>
      </c>
      <c r="H569" s="80" t="s">
        <v>2866</v>
      </c>
      <c r="I569" s="83">
        <v>45572</v>
      </c>
      <c r="J569" s="80" t="s">
        <v>1978</v>
      </c>
      <c r="K569" s="80" t="s">
        <v>112</v>
      </c>
      <c r="L569" s="84" t="s">
        <v>122</v>
      </c>
      <c r="M569" s="84" t="s">
        <v>784</v>
      </c>
      <c r="N569" s="84" t="s">
        <v>1191</v>
      </c>
      <c r="O569" s="33" t="s">
        <v>2867</v>
      </c>
      <c r="P569" s="28" t="s">
        <v>2868</v>
      </c>
      <c r="Q569" s="49" t="s">
        <v>75</v>
      </c>
      <c r="R569" s="25" t="s">
        <v>91</v>
      </c>
      <c r="S569" s="26">
        <v>19</v>
      </c>
      <c r="T569" s="26">
        <v>57</v>
      </c>
      <c r="U569" s="61" t="s">
        <v>2869</v>
      </c>
      <c r="V569" s="66"/>
      <c r="W569" s="106"/>
      <c r="X569" s="106" t="s">
        <v>369</v>
      </c>
      <c r="Y569" s="26" t="s">
        <v>76</v>
      </c>
      <c r="Z569" s="75" t="s">
        <v>93</v>
      </c>
      <c r="AA569" s="30" t="s">
        <v>76</v>
      </c>
      <c r="AB569" s="26"/>
      <c r="AC569" s="44"/>
    </row>
    <row r="570" spans="1:29" ht="49.5" hidden="1">
      <c r="A570" s="98">
        <v>560</v>
      </c>
      <c r="B570" s="79" t="s">
        <v>2870</v>
      </c>
      <c r="C570" s="148" t="s">
        <v>8</v>
      </c>
      <c r="D570" s="80" t="s">
        <v>63</v>
      </c>
      <c r="E570" s="27" t="s">
        <v>2795</v>
      </c>
      <c r="F570" s="80" t="s">
        <v>120</v>
      </c>
      <c r="G570" s="81" t="s">
        <v>2054</v>
      </c>
      <c r="H570" s="80" t="s">
        <v>2796</v>
      </c>
      <c r="I570" s="83">
        <v>45572</v>
      </c>
      <c r="J570" s="80" t="s">
        <v>170</v>
      </c>
      <c r="K570" s="80" t="s">
        <v>156</v>
      </c>
      <c r="L570" s="84" t="s">
        <v>171</v>
      </c>
      <c r="M570" s="84" t="s">
        <v>71</v>
      </c>
      <c r="N570" s="84" t="s">
        <v>72</v>
      </c>
      <c r="O570" s="33" t="s">
        <v>2871</v>
      </c>
      <c r="P570" s="28"/>
      <c r="Q570" s="49" t="s">
        <v>75</v>
      </c>
      <c r="R570" s="25" t="s">
        <v>91</v>
      </c>
      <c r="S570" s="26">
        <v>18</v>
      </c>
      <c r="T570" s="26">
        <v>66</v>
      </c>
      <c r="U570" s="61" t="s">
        <v>2872</v>
      </c>
      <c r="V570" s="66"/>
      <c r="W570" s="106"/>
      <c r="X570" s="106" t="s">
        <v>369</v>
      </c>
      <c r="Y570" s="26" t="s">
        <v>76</v>
      </c>
      <c r="Z570" s="75" t="s">
        <v>93</v>
      </c>
      <c r="AA570" s="30" t="s">
        <v>76</v>
      </c>
      <c r="AB570" s="26"/>
      <c r="AC570" s="44"/>
    </row>
    <row r="571" spans="1:29" ht="49.5" hidden="1">
      <c r="A571" s="98">
        <v>561</v>
      </c>
      <c r="B571" s="79" t="s">
        <v>2873</v>
      </c>
      <c r="C571" s="148" t="s">
        <v>8</v>
      </c>
      <c r="D571" s="80" t="s">
        <v>63</v>
      </c>
      <c r="E571" s="27">
        <v>2203367</v>
      </c>
      <c r="F571" s="80" t="s">
        <v>1652</v>
      </c>
      <c r="G571" s="81" t="s">
        <v>2054</v>
      </c>
      <c r="H571" s="80" t="s">
        <v>2874</v>
      </c>
      <c r="I571" s="83">
        <v>45572</v>
      </c>
      <c r="J571" s="80" t="s">
        <v>111</v>
      </c>
      <c r="K571" s="80" t="s">
        <v>112</v>
      </c>
      <c r="L571" s="84" t="s">
        <v>122</v>
      </c>
      <c r="M571" s="84" t="s">
        <v>114</v>
      </c>
      <c r="N571" s="84" t="s">
        <v>72</v>
      </c>
      <c r="O571" s="33" t="s">
        <v>2875</v>
      </c>
      <c r="P571" s="28" t="s">
        <v>2876</v>
      </c>
      <c r="Q571" s="49" t="s">
        <v>91</v>
      </c>
      <c r="R571" s="25"/>
      <c r="S571" s="26">
        <v>7</v>
      </c>
      <c r="T571" s="26"/>
      <c r="U571" s="61" t="s">
        <v>2877</v>
      </c>
      <c r="V571" s="66"/>
      <c r="W571" s="106"/>
      <c r="X571" s="106" t="s">
        <v>76</v>
      </c>
      <c r="Y571" s="26" t="s">
        <v>76</v>
      </c>
      <c r="Z571" s="75" t="s">
        <v>193</v>
      </c>
      <c r="AA571" s="30" t="s">
        <v>76</v>
      </c>
      <c r="AB571" s="26"/>
      <c r="AC571" s="44"/>
    </row>
    <row r="572" spans="1:29" ht="33" hidden="1">
      <c r="A572" s="98">
        <v>562</v>
      </c>
      <c r="B572" s="79" t="s">
        <v>2878</v>
      </c>
      <c r="C572" s="148" t="s">
        <v>8</v>
      </c>
      <c r="D572" s="80" t="s">
        <v>63</v>
      </c>
      <c r="E572" s="27" t="s">
        <v>2879</v>
      </c>
      <c r="F572" s="80" t="s">
        <v>338</v>
      </c>
      <c r="G572" s="81" t="s">
        <v>1368</v>
      </c>
      <c r="H572" s="80" t="s">
        <v>2880</v>
      </c>
      <c r="I572" s="83">
        <v>45572</v>
      </c>
      <c r="J572" s="80" t="s">
        <v>1346</v>
      </c>
      <c r="K572" s="80" t="s">
        <v>69</v>
      </c>
      <c r="L572" s="84" t="s">
        <v>70</v>
      </c>
      <c r="M572" s="84" t="s">
        <v>114</v>
      </c>
      <c r="N572" s="84" t="s">
        <v>72</v>
      </c>
      <c r="O572" s="33" t="s">
        <v>2881</v>
      </c>
      <c r="P572" s="28"/>
      <c r="Q572" s="49" t="s">
        <v>91</v>
      </c>
      <c r="R572" s="25"/>
      <c r="S572" s="26">
        <v>14</v>
      </c>
      <c r="T572" s="26"/>
      <c r="U572" s="61" t="s">
        <v>2882</v>
      </c>
      <c r="V572" s="66"/>
      <c r="W572" s="106"/>
      <c r="X572" s="106" t="s">
        <v>76</v>
      </c>
      <c r="Y572" s="26" t="s">
        <v>76</v>
      </c>
      <c r="Z572" s="75" t="s">
        <v>193</v>
      </c>
      <c r="AA572" s="30" t="s">
        <v>76</v>
      </c>
      <c r="AB572" s="26"/>
      <c r="AC572" s="44"/>
    </row>
    <row r="573" spans="1:29" ht="246.75" hidden="1">
      <c r="A573" s="98">
        <v>563</v>
      </c>
      <c r="B573" s="79" t="s">
        <v>2883</v>
      </c>
      <c r="C573" s="148" t="s">
        <v>8</v>
      </c>
      <c r="D573" s="80" t="s">
        <v>63</v>
      </c>
      <c r="E573" s="27" t="s">
        <v>2884</v>
      </c>
      <c r="F573" s="80" t="s">
        <v>65</v>
      </c>
      <c r="G573" s="81" t="s">
        <v>2054</v>
      </c>
      <c r="H573" s="80" t="s">
        <v>2885</v>
      </c>
      <c r="I573" s="83">
        <v>45572</v>
      </c>
      <c r="J573" s="80" t="s">
        <v>2886</v>
      </c>
      <c r="K573" s="80" t="s">
        <v>198</v>
      </c>
      <c r="L573" s="84" t="s">
        <v>199</v>
      </c>
      <c r="M573" s="84" t="s">
        <v>252</v>
      </c>
      <c r="N573" s="84" t="s">
        <v>72</v>
      </c>
      <c r="O573" s="115" t="s">
        <v>2887</v>
      </c>
      <c r="P573" s="28" t="s">
        <v>2888</v>
      </c>
      <c r="Q573" s="49" t="s">
        <v>75</v>
      </c>
      <c r="R573" s="195" t="s">
        <v>91</v>
      </c>
      <c r="S573" s="114">
        <v>18</v>
      </c>
      <c r="T573" s="26"/>
      <c r="U573" s="110" t="s">
        <v>2889</v>
      </c>
      <c r="V573" s="66"/>
      <c r="W573" s="106"/>
      <c r="X573" s="106" t="s">
        <v>369</v>
      </c>
      <c r="Y573" s="106" t="s">
        <v>76</v>
      </c>
      <c r="Z573" s="75" t="s">
        <v>106</v>
      </c>
      <c r="AA573" s="30" t="s">
        <v>2890</v>
      </c>
      <c r="AB573" s="26"/>
      <c r="AC573" s="44"/>
    </row>
    <row r="574" spans="1:29" ht="49.5" hidden="1">
      <c r="A574" s="98">
        <v>564</v>
      </c>
      <c r="B574" s="79" t="s">
        <v>2891</v>
      </c>
      <c r="C574" s="148" t="s">
        <v>8</v>
      </c>
      <c r="D574" s="80" t="s">
        <v>63</v>
      </c>
      <c r="E574" s="27" t="s">
        <v>2892</v>
      </c>
      <c r="F574" s="80" t="s">
        <v>120</v>
      </c>
      <c r="G574" s="81" t="s">
        <v>686</v>
      </c>
      <c r="H574" s="80" t="s">
        <v>2893</v>
      </c>
      <c r="I574" s="83">
        <v>45572</v>
      </c>
      <c r="J574" s="80" t="s">
        <v>482</v>
      </c>
      <c r="K574" s="80" t="s">
        <v>188</v>
      </c>
      <c r="L574" s="84" t="s">
        <v>189</v>
      </c>
      <c r="M574" s="84" t="s">
        <v>71</v>
      </c>
      <c r="N574" s="84" t="s">
        <v>72</v>
      </c>
      <c r="O574" s="33" t="s">
        <v>2894</v>
      </c>
      <c r="P574" s="28"/>
      <c r="Q574" s="49" t="s">
        <v>91</v>
      </c>
      <c r="R574" s="25"/>
      <c r="S574" s="26">
        <v>4</v>
      </c>
      <c r="T574" s="26"/>
      <c r="U574" s="61" t="s">
        <v>2661</v>
      </c>
      <c r="V574" s="66"/>
      <c r="W574" s="106"/>
      <c r="X574" s="106" t="s">
        <v>76</v>
      </c>
      <c r="Y574" s="26" t="s">
        <v>76</v>
      </c>
      <c r="Z574" s="75" t="s">
        <v>193</v>
      </c>
      <c r="AA574" s="30" t="s">
        <v>76</v>
      </c>
      <c r="AB574" s="26"/>
      <c r="AC574" s="44"/>
    </row>
    <row r="575" spans="1:29" ht="33" hidden="1">
      <c r="A575" s="98">
        <v>565</v>
      </c>
      <c r="B575" s="79" t="s">
        <v>2895</v>
      </c>
      <c r="C575" s="148" t="s">
        <v>8</v>
      </c>
      <c r="D575" s="80" t="s">
        <v>63</v>
      </c>
      <c r="E575" s="27">
        <v>2203939</v>
      </c>
      <c r="F575" s="80" t="s">
        <v>2896</v>
      </c>
      <c r="G575" s="81" t="s">
        <v>2076</v>
      </c>
      <c r="H575" s="80" t="s">
        <v>2897</v>
      </c>
      <c r="I575" s="83">
        <v>45572</v>
      </c>
      <c r="J575" s="80" t="s">
        <v>1003</v>
      </c>
      <c r="K575" s="80" t="s">
        <v>69</v>
      </c>
      <c r="L575" s="84" t="s">
        <v>100</v>
      </c>
      <c r="M575" s="84" t="s">
        <v>252</v>
      </c>
      <c r="N575" s="84" t="s">
        <v>72</v>
      </c>
      <c r="O575" s="33" t="s">
        <v>2898</v>
      </c>
      <c r="P575" s="28"/>
      <c r="Q575" s="49" t="s">
        <v>75</v>
      </c>
      <c r="R575" s="25" t="s">
        <v>91</v>
      </c>
      <c r="S575" s="26">
        <v>23</v>
      </c>
      <c r="T575" s="26" t="s">
        <v>313</v>
      </c>
      <c r="U575" s="61" t="s">
        <v>2899</v>
      </c>
      <c r="V575" s="66"/>
      <c r="W575" s="106"/>
      <c r="X575" s="106" t="s">
        <v>369</v>
      </c>
      <c r="Y575" s="26" t="s">
        <v>76</v>
      </c>
      <c r="Z575" s="93" t="s">
        <v>106</v>
      </c>
      <c r="AA575" s="30" t="s">
        <v>76</v>
      </c>
      <c r="AB575" s="26"/>
      <c r="AC575" s="44"/>
    </row>
    <row r="576" spans="1:29" ht="49.5" hidden="1">
      <c r="A576" s="98">
        <v>567</v>
      </c>
      <c r="B576" s="79" t="s">
        <v>2900</v>
      </c>
      <c r="C576" s="148" t="s">
        <v>8</v>
      </c>
      <c r="D576" s="80" t="s">
        <v>63</v>
      </c>
      <c r="E576" s="27" t="s">
        <v>2779</v>
      </c>
      <c r="F576" s="80" t="s">
        <v>109</v>
      </c>
      <c r="G576" s="81" t="s">
        <v>1522</v>
      </c>
      <c r="H576" s="80" t="s">
        <v>2780</v>
      </c>
      <c r="I576" s="83">
        <v>45572</v>
      </c>
      <c r="J576" s="80" t="s">
        <v>170</v>
      </c>
      <c r="K576" s="80" t="s">
        <v>156</v>
      </c>
      <c r="L576" s="84" t="s">
        <v>171</v>
      </c>
      <c r="M576" s="84" t="s">
        <v>71</v>
      </c>
      <c r="N576" s="84" t="s">
        <v>72</v>
      </c>
      <c r="O576" s="33" t="s">
        <v>2901</v>
      </c>
      <c r="P576" s="28"/>
      <c r="Q576" s="49" t="s">
        <v>75</v>
      </c>
      <c r="R576" s="25" t="s">
        <v>91</v>
      </c>
      <c r="S576" s="26">
        <v>18</v>
      </c>
      <c r="T576" s="26">
        <v>66</v>
      </c>
      <c r="U576" s="61" t="s">
        <v>2902</v>
      </c>
      <c r="V576" s="66"/>
      <c r="W576" s="106"/>
      <c r="X576" s="106" t="s">
        <v>369</v>
      </c>
      <c r="Y576" s="26" t="s">
        <v>76</v>
      </c>
      <c r="Z576" s="75" t="s">
        <v>93</v>
      </c>
      <c r="AA576" s="30" t="s">
        <v>76</v>
      </c>
      <c r="AB576" s="26"/>
      <c r="AC576" s="44"/>
    </row>
    <row r="577" spans="1:29" ht="33" hidden="1">
      <c r="A577" s="98">
        <v>568</v>
      </c>
      <c r="B577" s="79" t="s">
        <v>2903</v>
      </c>
      <c r="C577" s="148" t="s">
        <v>8</v>
      </c>
      <c r="D577" s="80" t="s">
        <v>63</v>
      </c>
      <c r="E577" s="27" t="s">
        <v>2367</v>
      </c>
      <c r="F577" s="80" t="s">
        <v>65</v>
      </c>
      <c r="G577" s="81" t="s">
        <v>2076</v>
      </c>
      <c r="H577" s="80" t="s">
        <v>2368</v>
      </c>
      <c r="I577" s="83">
        <v>45572</v>
      </c>
      <c r="J577" s="80" t="s">
        <v>833</v>
      </c>
      <c r="K577" s="80" t="s">
        <v>188</v>
      </c>
      <c r="L577" s="84" t="s">
        <v>189</v>
      </c>
      <c r="M577" s="84" t="s">
        <v>252</v>
      </c>
      <c r="N577" s="84" t="s">
        <v>72</v>
      </c>
      <c r="O577" s="33" t="s">
        <v>2904</v>
      </c>
      <c r="P577" s="28"/>
      <c r="Q577" s="49" t="s">
        <v>75</v>
      </c>
      <c r="R577" s="25" t="s">
        <v>91</v>
      </c>
      <c r="S577" s="26">
        <v>18</v>
      </c>
      <c r="T577" s="26">
        <v>54</v>
      </c>
      <c r="U577" s="61" t="s">
        <v>2439</v>
      </c>
      <c r="V577" s="66"/>
      <c r="W577" s="106"/>
      <c r="X577" s="106" t="s">
        <v>369</v>
      </c>
      <c r="Y577" s="26" t="s">
        <v>76</v>
      </c>
      <c r="Z577" s="75" t="s">
        <v>93</v>
      </c>
      <c r="AA577" s="30" t="s">
        <v>76</v>
      </c>
      <c r="AB577" s="26"/>
      <c r="AC577" s="44"/>
    </row>
    <row r="578" spans="1:29" ht="33" hidden="1">
      <c r="A578" s="98">
        <v>569</v>
      </c>
      <c r="B578" s="79" t="s">
        <v>2905</v>
      </c>
      <c r="C578" s="148" t="s">
        <v>8</v>
      </c>
      <c r="D578" s="80" t="s">
        <v>63</v>
      </c>
      <c r="E578" s="27" t="s">
        <v>2367</v>
      </c>
      <c r="F578" s="80" t="s">
        <v>65</v>
      </c>
      <c r="G578" s="81" t="s">
        <v>2076</v>
      </c>
      <c r="H578" s="80" t="s">
        <v>2368</v>
      </c>
      <c r="I578" s="83">
        <v>45572</v>
      </c>
      <c r="J578" s="80" t="s">
        <v>298</v>
      </c>
      <c r="K578" s="80" t="s">
        <v>69</v>
      </c>
      <c r="L578" s="84" t="s">
        <v>300</v>
      </c>
      <c r="M578" s="84" t="s">
        <v>252</v>
      </c>
      <c r="N578" s="84" t="s">
        <v>72</v>
      </c>
      <c r="O578" s="33" t="s">
        <v>2906</v>
      </c>
      <c r="P578" s="28"/>
      <c r="Q578" s="49" t="s">
        <v>75</v>
      </c>
      <c r="R578" s="25" t="s">
        <v>91</v>
      </c>
      <c r="S578" s="26">
        <v>18</v>
      </c>
      <c r="T578" s="26">
        <v>50</v>
      </c>
      <c r="U578" s="61" t="s">
        <v>2907</v>
      </c>
      <c r="V578" s="66"/>
      <c r="W578" s="106"/>
      <c r="X578" s="106" t="s">
        <v>369</v>
      </c>
      <c r="Y578" s="26" t="s">
        <v>76</v>
      </c>
      <c r="Z578" s="75" t="s">
        <v>93</v>
      </c>
      <c r="AA578" s="30" t="s">
        <v>76</v>
      </c>
      <c r="AB578" s="26"/>
      <c r="AC578" s="44"/>
    </row>
    <row r="579" spans="1:29" ht="33" hidden="1">
      <c r="A579" s="98">
        <v>570</v>
      </c>
      <c r="B579" s="79" t="s">
        <v>2908</v>
      </c>
      <c r="C579" s="148" t="s">
        <v>8</v>
      </c>
      <c r="D579" s="80" t="s">
        <v>63</v>
      </c>
      <c r="E579" s="27" t="s">
        <v>2603</v>
      </c>
      <c r="F579" s="80" t="s">
        <v>284</v>
      </c>
      <c r="G579" s="81" t="s">
        <v>1413</v>
      </c>
      <c r="H579" s="80" t="s">
        <v>2604</v>
      </c>
      <c r="I579" s="83">
        <v>45572</v>
      </c>
      <c r="J579" s="80" t="s">
        <v>250</v>
      </c>
      <c r="K579" s="80" t="s">
        <v>491</v>
      </c>
      <c r="L579" s="84" t="s">
        <v>251</v>
      </c>
      <c r="M579" s="84" t="s">
        <v>252</v>
      </c>
      <c r="N579" s="84" t="s">
        <v>72</v>
      </c>
      <c r="O579" s="33" t="s">
        <v>2909</v>
      </c>
      <c r="P579" s="28"/>
      <c r="Q579" s="49" t="s">
        <v>75</v>
      </c>
      <c r="R579" s="25" t="s">
        <v>91</v>
      </c>
      <c r="S579" s="26">
        <v>18</v>
      </c>
      <c r="T579" s="26"/>
      <c r="U579" s="61" t="s">
        <v>2910</v>
      </c>
      <c r="V579" s="66"/>
      <c r="W579" s="106"/>
      <c r="X579" s="106" t="s">
        <v>369</v>
      </c>
      <c r="Y579" s="26" t="s">
        <v>76</v>
      </c>
      <c r="Z579" s="75" t="s">
        <v>93</v>
      </c>
      <c r="AA579" s="30" t="s">
        <v>76</v>
      </c>
      <c r="AB579" s="26"/>
      <c r="AC579" s="44"/>
    </row>
    <row r="580" spans="1:29" ht="33" hidden="1">
      <c r="A580" s="98">
        <v>571</v>
      </c>
      <c r="B580" s="79" t="s">
        <v>2911</v>
      </c>
      <c r="C580" s="148" t="s">
        <v>8</v>
      </c>
      <c r="D580" s="80" t="s">
        <v>63</v>
      </c>
      <c r="E580" s="27" t="s">
        <v>2912</v>
      </c>
      <c r="F580" s="80" t="s">
        <v>65</v>
      </c>
      <c r="G580" s="81" t="s">
        <v>1413</v>
      </c>
      <c r="H580" s="80" t="s">
        <v>2913</v>
      </c>
      <c r="I580" s="83">
        <v>45572</v>
      </c>
      <c r="J580" s="80" t="s">
        <v>187</v>
      </c>
      <c r="K580" s="80" t="s">
        <v>188</v>
      </c>
      <c r="L580" s="84" t="s">
        <v>189</v>
      </c>
      <c r="M580" s="84" t="s">
        <v>114</v>
      </c>
      <c r="N580" s="84" t="s">
        <v>72</v>
      </c>
      <c r="O580" s="33" t="s">
        <v>2914</v>
      </c>
      <c r="P580" s="28"/>
      <c r="Q580" s="49" t="s">
        <v>75</v>
      </c>
      <c r="R580" s="25" t="s">
        <v>91</v>
      </c>
      <c r="S580" s="26">
        <v>18</v>
      </c>
      <c r="T580" s="26">
        <v>54</v>
      </c>
      <c r="U580" s="61" t="s">
        <v>2915</v>
      </c>
      <c r="V580" s="66"/>
      <c r="W580" s="106"/>
      <c r="X580" s="106" t="s">
        <v>369</v>
      </c>
      <c r="Y580" s="26" t="s">
        <v>76</v>
      </c>
      <c r="Z580" s="75" t="s">
        <v>93</v>
      </c>
      <c r="AA580" s="30" t="s">
        <v>76</v>
      </c>
      <c r="AB580" s="26"/>
      <c r="AC580" s="44"/>
    </row>
    <row r="581" spans="1:29" ht="33" hidden="1">
      <c r="A581" s="98">
        <v>572</v>
      </c>
      <c r="B581" s="79" t="s">
        <v>2916</v>
      </c>
      <c r="C581" s="148" t="s">
        <v>8</v>
      </c>
      <c r="D581" s="80" t="s">
        <v>63</v>
      </c>
      <c r="E581" s="27" t="s">
        <v>2917</v>
      </c>
      <c r="F581" s="80" t="s">
        <v>284</v>
      </c>
      <c r="G581" s="81" t="s">
        <v>1413</v>
      </c>
      <c r="H581" s="80" t="s">
        <v>2918</v>
      </c>
      <c r="I581" s="83">
        <v>45572</v>
      </c>
      <c r="J581" s="80" t="s">
        <v>250</v>
      </c>
      <c r="K581" s="80" t="s">
        <v>491</v>
      </c>
      <c r="L581" s="84" t="s">
        <v>251</v>
      </c>
      <c r="M581" s="84" t="s">
        <v>252</v>
      </c>
      <c r="N581" s="84" t="s">
        <v>72</v>
      </c>
      <c r="O581" s="33" t="s">
        <v>2919</v>
      </c>
      <c r="P581" s="28"/>
      <c r="Q581" s="49" t="s">
        <v>75</v>
      </c>
      <c r="R581" s="25" t="s">
        <v>91</v>
      </c>
      <c r="S581" s="26">
        <v>18</v>
      </c>
      <c r="T581" s="26"/>
      <c r="U581" s="61" t="s">
        <v>2920</v>
      </c>
      <c r="V581" s="66"/>
      <c r="W581" s="106"/>
      <c r="X581" s="106" t="s">
        <v>369</v>
      </c>
      <c r="Y581" s="26" t="s">
        <v>76</v>
      </c>
      <c r="Z581" s="75" t="s">
        <v>93</v>
      </c>
      <c r="AA581" s="30" t="s">
        <v>76</v>
      </c>
      <c r="AB581" s="26"/>
      <c r="AC581" s="44"/>
    </row>
    <row r="582" spans="1:29" ht="49.5" hidden="1">
      <c r="A582" s="98">
        <v>573</v>
      </c>
      <c r="B582" s="79" t="s">
        <v>2921</v>
      </c>
      <c r="C582" s="148" t="s">
        <v>8</v>
      </c>
      <c r="D582" s="80" t="s">
        <v>63</v>
      </c>
      <c r="E582" s="27" t="s">
        <v>1007</v>
      </c>
      <c r="F582" s="80" t="s">
        <v>120</v>
      </c>
      <c r="G582" s="81" t="s">
        <v>809</v>
      </c>
      <c r="H582" s="80" t="s">
        <v>1008</v>
      </c>
      <c r="I582" s="83">
        <v>45572</v>
      </c>
      <c r="J582" s="80" t="s">
        <v>482</v>
      </c>
      <c r="K582" s="80" t="s">
        <v>156</v>
      </c>
      <c r="L582" s="84" t="s">
        <v>189</v>
      </c>
      <c r="M582" s="84" t="s">
        <v>71</v>
      </c>
      <c r="N582" s="84" t="s">
        <v>72</v>
      </c>
      <c r="O582" s="33" t="s">
        <v>2922</v>
      </c>
      <c r="P582" s="28"/>
      <c r="Q582" s="49" t="s">
        <v>75</v>
      </c>
      <c r="R582" s="25" t="s">
        <v>91</v>
      </c>
      <c r="S582" s="26">
        <v>18</v>
      </c>
      <c r="T582" s="26">
        <v>66</v>
      </c>
      <c r="U582" s="61" t="s">
        <v>2923</v>
      </c>
      <c r="V582" s="66"/>
      <c r="W582" s="106"/>
      <c r="X582" s="106" t="s">
        <v>369</v>
      </c>
      <c r="Y582" s="26" t="s">
        <v>76</v>
      </c>
      <c r="Z582" s="75" t="s">
        <v>93</v>
      </c>
      <c r="AA582" s="30" t="s">
        <v>76</v>
      </c>
      <c r="AB582" s="26"/>
      <c r="AC582" s="44"/>
    </row>
    <row r="583" spans="1:29" ht="33" hidden="1">
      <c r="A583" s="98">
        <v>574</v>
      </c>
      <c r="B583" s="79" t="s">
        <v>2924</v>
      </c>
      <c r="C583" s="148" t="s">
        <v>8</v>
      </c>
      <c r="D583" s="80" t="s">
        <v>63</v>
      </c>
      <c r="E583" s="27" t="s">
        <v>2925</v>
      </c>
      <c r="F583" s="80" t="s">
        <v>65</v>
      </c>
      <c r="G583" s="81" t="s">
        <v>1413</v>
      </c>
      <c r="H583" s="80" t="s">
        <v>2926</v>
      </c>
      <c r="I583" s="83">
        <v>45572</v>
      </c>
      <c r="J583" s="80" t="s">
        <v>1003</v>
      </c>
      <c r="K583" s="80" t="s">
        <v>69</v>
      </c>
      <c r="L583" s="84" t="s">
        <v>100</v>
      </c>
      <c r="M583" s="84" t="s">
        <v>252</v>
      </c>
      <c r="N583" s="84" t="s">
        <v>72</v>
      </c>
      <c r="O583" s="33" t="s">
        <v>2927</v>
      </c>
      <c r="P583" s="28"/>
      <c r="Q583" s="49" t="s">
        <v>75</v>
      </c>
      <c r="R583" s="25" t="s">
        <v>91</v>
      </c>
      <c r="S583" s="26">
        <v>20</v>
      </c>
      <c r="T583" s="26">
        <v>64</v>
      </c>
      <c r="U583" s="61" t="s">
        <v>2928</v>
      </c>
      <c r="V583" s="66"/>
      <c r="W583" s="106"/>
      <c r="X583" s="106" t="s">
        <v>369</v>
      </c>
      <c r="Y583" s="26" t="s">
        <v>76</v>
      </c>
      <c r="Z583" s="93" t="s">
        <v>93</v>
      </c>
      <c r="AA583" s="30" t="s">
        <v>76</v>
      </c>
      <c r="AB583" s="26"/>
      <c r="AC583" s="44"/>
    </row>
    <row r="584" spans="1:29" ht="33" hidden="1">
      <c r="A584" s="98">
        <v>575</v>
      </c>
      <c r="B584" s="79" t="s">
        <v>2929</v>
      </c>
      <c r="C584" s="148" t="s">
        <v>8</v>
      </c>
      <c r="D584" s="80" t="s">
        <v>63</v>
      </c>
      <c r="E584" s="27" t="s">
        <v>2925</v>
      </c>
      <c r="F584" s="80" t="s">
        <v>65</v>
      </c>
      <c r="G584" s="81" t="s">
        <v>1413</v>
      </c>
      <c r="H584" s="80" t="s">
        <v>2926</v>
      </c>
      <c r="I584" s="83">
        <v>45572</v>
      </c>
      <c r="J584" s="80" t="s">
        <v>341</v>
      </c>
      <c r="K584" s="80" t="s">
        <v>69</v>
      </c>
      <c r="L584" s="84" t="s">
        <v>70</v>
      </c>
      <c r="M584" s="84" t="s">
        <v>252</v>
      </c>
      <c r="N584" s="84" t="s">
        <v>72</v>
      </c>
      <c r="O584" s="33" t="s">
        <v>2930</v>
      </c>
      <c r="P584" s="28"/>
      <c r="Q584" s="49" t="s">
        <v>91</v>
      </c>
      <c r="R584" s="25"/>
      <c r="S584" s="26">
        <v>14</v>
      </c>
      <c r="T584" s="26"/>
      <c r="U584" s="61" t="s">
        <v>2931</v>
      </c>
      <c r="V584" s="66"/>
      <c r="W584" s="106"/>
      <c r="X584" s="106" t="s">
        <v>76</v>
      </c>
      <c r="Y584" s="26" t="s">
        <v>76</v>
      </c>
      <c r="Z584" s="75" t="s">
        <v>193</v>
      </c>
      <c r="AA584" s="30" t="s">
        <v>76</v>
      </c>
      <c r="AB584" s="26"/>
      <c r="AC584" s="44"/>
    </row>
    <row r="585" spans="1:29" ht="33" hidden="1">
      <c r="A585" s="98">
        <v>576</v>
      </c>
      <c r="B585" s="79" t="s">
        <v>2932</v>
      </c>
      <c r="C585" s="148" t="s">
        <v>8</v>
      </c>
      <c r="D585" s="80" t="s">
        <v>63</v>
      </c>
      <c r="E585" s="27" t="s">
        <v>2933</v>
      </c>
      <c r="F585" s="80" t="s">
        <v>65</v>
      </c>
      <c r="G585" s="81" t="s">
        <v>2076</v>
      </c>
      <c r="H585" s="80" t="s">
        <v>2934</v>
      </c>
      <c r="I585" s="83">
        <v>45573</v>
      </c>
      <c r="J585" s="80" t="s">
        <v>250</v>
      </c>
      <c r="K585" s="80" t="s">
        <v>69</v>
      </c>
      <c r="L585" s="84" t="s">
        <v>251</v>
      </c>
      <c r="M585" s="84" t="s">
        <v>252</v>
      </c>
      <c r="N585" s="84" t="s">
        <v>72</v>
      </c>
      <c r="O585" s="33" t="s">
        <v>2935</v>
      </c>
      <c r="P585" s="28"/>
      <c r="Q585" s="49" t="s">
        <v>91</v>
      </c>
      <c r="R585" s="25"/>
      <c r="S585" s="26">
        <v>14</v>
      </c>
      <c r="T585" s="26"/>
      <c r="U585" s="61" t="s">
        <v>2936</v>
      </c>
      <c r="V585" s="66"/>
      <c r="W585" s="106"/>
      <c r="X585" s="106" t="s">
        <v>76</v>
      </c>
      <c r="Y585" s="26" t="s">
        <v>76</v>
      </c>
      <c r="Z585" s="75" t="s">
        <v>193</v>
      </c>
      <c r="AA585" s="30" t="s">
        <v>76</v>
      </c>
      <c r="AB585" s="26"/>
      <c r="AC585" s="44"/>
    </row>
    <row r="586" spans="1:29" ht="66" hidden="1">
      <c r="A586" s="98">
        <v>577</v>
      </c>
      <c r="B586" s="79" t="s">
        <v>2937</v>
      </c>
      <c r="C586" s="148" t="s">
        <v>8</v>
      </c>
      <c r="D586" s="80" t="s">
        <v>63</v>
      </c>
      <c r="E586" s="27" t="s">
        <v>2933</v>
      </c>
      <c r="F586" s="80" t="s">
        <v>65</v>
      </c>
      <c r="G586" s="81" t="s">
        <v>2076</v>
      </c>
      <c r="H586" s="80" t="s">
        <v>2934</v>
      </c>
      <c r="I586" s="83">
        <v>45573</v>
      </c>
      <c r="J586" s="80" t="s">
        <v>833</v>
      </c>
      <c r="K586" s="80" t="s">
        <v>188</v>
      </c>
      <c r="L586" s="84" t="s">
        <v>189</v>
      </c>
      <c r="M586" s="84" t="s">
        <v>252</v>
      </c>
      <c r="N586" s="84" t="s">
        <v>72</v>
      </c>
      <c r="O586" s="33" t="s">
        <v>2938</v>
      </c>
      <c r="P586" s="28" t="s">
        <v>2939</v>
      </c>
      <c r="Q586" s="49" t="s">
        <v>75</v>
      </c>
      <c r="R586" s="25" t="s">
        <v>91</v>
      </c>
      <c r="S586" s="26">
        <v>18</v>
      </c>
      <c r="T586" s="26">
        <v>54</v>
      </c>
      <c r="U586" s="61" t="s">
        <v>2439</v>
      </c>
      <c r="V586" s="66"/>
      <c r="W586" s="106"/>
      <c r="X586" s="106" t="s">
        <v>369</v>
      </c>
      <c r="Y586" s="26" t="s">
        <v>76</v>
      </c>
      <c r="Z586" s="75" t="s">
        <v>93</v>
      </c>
      <c r="AA586" s="30" t="s">
        <v>76</v>
      </c>
      <c r="AB586" s="26"/>
      <c r="AC586" s="44"/>
    </row>
    <row r="587" spans="1:29" ht="66" hidden="1">
      <c r="A587" s="98">
        <v>578</v>
      </c>
      <c r="B587" s="79" t="s">
        <v>2940</v>
      </c>
      <c r="C587" s="148" t="s">
        <v>8</v>
      </c>
      <c r="D587" s="80" t="s">
        <v>63</v>
      </c>
      <c r="E587" s="27" t="s">
        <v>2933</v>
      </c>
      <c r="F587" s="80" t="s">
        <v>65</v>
      </c>
      <c r="G587" s="81" t="s">
        <v>2076</v>
      </c>
      <c r="H587" s="80" t="s">
        <v>2934</v>
      </c>
      <c r="I587" s="83">
        <v>45573</v>
      </c>
      <c r="J587" s="80" t="s">
        <v>2886</v>
      </c>
      <c r="K587" s="80" t="s">
        <v>198</v>
      </c>
      <c r="L587" s="84" t="s">
        <v>199</v>
      </c>
      <c r="M587" s="84" t="s">
        <v>252</v>
      </c>
      <c r="N587" s="84" t="s">
        <v>72</v>
      </c>
      <c r="O587" s="33" t="s">
        <v>2941</v>
      </c>
      <c r="P587" s="28" t="s">
        <v>2942</v>
      </c>
      <c r="Q587" s="49" t="s">
        <v>75</v>
      </c>
      <c r="R587" s="25" t="s">
        <v>91</v>
      </c>
      <c r="S587" s="26">
        <v>18</v>
      </c>
      <c r="T587" s="26">
        <v>52</v>
      </c>
      <c r="U587" s="61" t="s">
        <v>2943</v>
      </c>
      <c r="V587" s="66"/>
      <c r="W587" s="106"/>
      <c r="X587" s="106" t="s">
        <v>369</v>
      </c>
      <c r="Y587" s="106" t="s">
        <v>76</v>
      </c>
      <c r="Z587" s="75" t="s">
        <v>93</v>
      </c>
      <c r="AA587" s="30" t="s">
        <v>1536</v>
      </c>
      <c r="AB587" s="26"/>
      <c r="AC587" s="44"/>
    </row>
    <row r="588" spans="1:29" ht="49.5" hidden="1">
      <c r="A588" s="98">
        <v>579</v>
      </c>
      <c r="B588" s="79" t="s">
        <v>2944</v>
      </c>
      <c r="C588" s="148" t="s">
        <v>8</v>
      </c>
      <c r="D588" s="80" t="s">
        <v>63</v>
      </c>
      <c r="E588" s="27" t="s">
        <v>2945</v>
      </c>
      <c r="F588" s="80" t="s">
        <v>120</v>
      </c>
      <c r="G588" s="81" t="s">
        <v>2076</v>
      </c>
      <c r="H588" s="80" t="s">
        <v>2946</v>
      </c>
      <c r="I588" s="83">
        <v>45573</v>
      </c>
      <c r="J588" s="80" t="s">
        <v>111</v>
      </c>
      <c r="K588" s="80" t="s">
        <v>112</v>
      </c>
      <c r="L588" s="84" t="s">
        <v>122</v>
      </c>
      <c r="M588" s="84" t="s">
        <v>114</v>
      </c>
      <c r="N588" s="84" t="s">
        <v>72</v>
      </c>
      <c r="O588" s="33" t="s">
        <v>2947</v>
      </c>
      <c r="P588" s="28" t="s">
        <v>2948</v>
      </c>
      <c r="Q588" s="49" t="s">
        <v>75</v>
      </c>
      <c r="R588" s="25" t="s">
        <v>91</v>
      </c>
      <c r="S588" s="26">
        <v>23</v>
      </c>
      <c r="T588" s="55" t="s">
        <v>2799</v>
      </c>
      <c r="U588" s="103" t="s">
        <v>2949</v>
      </c>
      <c r="V588" s="66"/>
      <c r="W588" s="106"/>
      <c r="X588" s="106" t="s">
        <v>369</v>
      </c>
      <c r="Y588" s="26" t="s">
        <v>76</v>
      </c>
      <c r="Z588" s="75" t="s">
        <v>93</v>
      </c>
      <c r="AA588" s="30" t="s">
        <v>2799</v>
      </c>
      <c r="AB588" s="26"/>
      <c r="AC588" s="44"/>
    </row>
    <row r="589" spans="1:29" ht="148.5" hidden="1">
      <c r="A589" s="98">
        <v>580</v>
      </c>
      <c r="B589" s="79" t="s">
        <v>2950</v>
      </c>
      <c r="C589" s="148" t="s">
        <v>8</v>
      </c>
      <c r="D589" s="80" t="s">
        <v>63</v>
      </c>
      <c r="E589" s="27" t="s">
        <v>2945</v>
      </c>
      <c r="F589" s="80" t="s">
        <v>120</v>
      </c>
      <c r="G589" s="81" t="s">
        <v>2076</v>
      </c>
      <c r="H589" s="80" t="s">
        <v>2946</v>
      </c>
      <c r="I589" s="83">
        <v>45573</v>
      </c>
      <c r="J589" s="80" t="s">
        <v>241</v>
      </c>
      <c r="K589" s="80" t="s">
        <v>198</v>
      </c>
      <c r="L589" s="84" t="s">
        <v>199</v>
      </c>
      <c r="M589" s="84" t="s">
        <v>221</v>
      </c>
      <c r="N589" s="84" t="s">
        <v>72</v>
      </c>
      <c r="O589" s="33" t="s">
        <v>2951</v>
      </c>
      <c r="P589" s="28" t="s">
        <v>2952</v>
      </c>
      <c r="Q589" s="49" t="s">
        <v>91</v>
      </c>
      <c r="R589" s="25"/>
      <c r="S589" s="26">
        <v>16</v>
      </c>
      <c r="T589" s="102"/>
      <c r="U589" s="101" t="s">
        <v>2953</v>
      </c>
      <c r="V589" s="118"/>
      <c r="W589" s="106"/>
      <c r="X589" s="106" t="s">
        <v>76</v>
      </c>
      <c r="Y589" s="26" t="s">
        <v>76</v>
      </c>
      <c r="Z589" s="75" t="s">
        <v>193</v>
      </c>
      <c r="AA589" s="30" t="s">
        <v>76</v>
      </c>
      <c r="AB589" s="26" t="s">
        <v>75</v>
      </c>
      <c r="AC589" s="44"/>
    </row>
    <row r="590" spans="1:29" ht="33" hidden="1">
      <c r="A590" s="98">
        <v>581</v>
      </c>
      <c r="B590" s="79" t="s">
        <v>2954</v>
      </c>
      <c r="C590" s="148" t="s">
        <v>8</v>
      </c>
      <c r="D590" s="80" t="s">
        <v>63</v>
      </c>
      <c r="E590" s="27" t="s">
        <v>2945</v>
      </c>
      <c r="F590" s="80" t="s">
        <v>120</v>
      </c>
      <c r="G590" s="81" t="s">
        <v>2076</v>
      </c>
      <c r="H590" s="80" t="s">
        <v>2946</v>
      </c>
      <c r="I590" s="83">
        <v>45573</v>
      </c>
      <c r="J590" s="80" t="s">
        <v>187</v>
      </c>
      <c r="K590" s="80" t="s">
        <v>188</v>
      </c>
      <c r="L590" s="84" t="s">
        <v>189</v>
      </c>
      <c r="M590" s="84" t="s">
        <v>114</v>
      </c>
      <c r="N590" s="84" t="s">
        <v>72</v>
      </c>
      <c r="O590" s="33" t="s">
        <v>2955</v>
      </c>
      <c r="P590" s="28"/>
      <c r="Q590" s="49" t="s">
        <v>75</v>
      </c>
      <c r="R590" s="25" t="s">
        <v>91</v>
      </c>
      <c r="S590" s="26">
        <v>18</v>
      </c>
      <c r="T590" s="26">
        <v>68</v>
      </c>
      <c r="U590" s="104" t="s">
        <v>2956</v>
      </c>
      <c r="V590" s="66"/>
      <c r="W590" s="106"/>
      <c r="X590" s="106" t="s">
        <v>369</v>
      </c>
      <c r="Y590" s="26" t="s">
        <v>76</v>
      </c>
      <c r="Z590" s="75" t="s">
        <v>106</v>
      </c>
      <c r="AA590" s="30" t="s">
        <v>76</v>
      </c>
      <c r="AB590" s="26"/>
      <c r="AC590" s="44"/>
    </row>
    <row r="591" spans="1:29" ht="33" hidden="1">
      <c r="A591" s="98">
        <v>582</v>
      </c>
      <c r="B591" s="79" t="s">
        <v>2957</v>
      </c>
      <c r="C591" s="148" t="s">
        <v>8</v>
      </c>
      <c r="D591" s="80" t="s">
        <v>63</v>
      </c>
      <c r="E591" s="27" t="s">
        <v>2958</v>
      </c>
      <c r="F591" s="80" t="s">
        <v>284</v>
      </c>
      <c r="G591" s="81" t="s">
        <v>2076</v>
      </c>
      <c r="H591" s="80" t="s">
        <v>2959</v>
      </c>
      <c r="I591" s="83">
        <v>45573</v>
      </c>
      <c r="J591" s="80" t="s">
        <v>187</v>
      </c>
      <c r="K591" s="80" t="s">
        <v>188</v>
      </c>
      <c r="L591" s="84" t="s">
        <v>189</v>
      </c>
      <c r="M591" s="84" t="s">
        <v>114</v>
      </c>
      <c r="N591" s="84" t="s">
        <v>72</v>
      </c>
      <c r="O591" s="33" t="s">
        <v>2960</v>
      </c>
      <c r="P591" s="28"/>
      <c r="Q591" s="49" t="s">
        <v>91</v>
      </c>
      <c r="R591" s="25"/>
      <c r="S591" s="26">
        <v>4</v>
      </c>
      <c r="T591" s="26"/>
      <c r="U591" s="61" t="s">
        <v>2661</v>
      </c>
      <c r="V591" s="66"/>
      <c r="W591" s="106"/>
      <c r="X591" s="106" t="s">
        <v>76</v>
      </c>
      <c r="Y591" s="26" t="s">
        <v>76</v>
      </c>
      <c r="Z591" s="75" t="s">
        <v>193</v>
      </c>
      <c r="AA591" s="30" t="s">
        <v>76</v>
      </c>
      <c r="AB591" s="26" t="s">
        <v>75</v>
      </c>
      <c r="AC591" s="44"/>
    </row>
    <row r="592" spans="1:29" ht="33" hidden="1">
      <c r="A592" s="98">
        <v>583</v>
      </c>
      <c r="B592" s="79" t="s">
        <v>2961</v>
      </c>
      <c r="C592" s="148" t="s">
        <v>8</v>
      </c>
      <c r="D592" s="80" t="s">
        <v>63</v>
      </c>
      <c r="E592" s="27" t="s">
        <v>2958</v>
      </c>
      <c r="F592" s="80" t="s">
        <v>284</v>
      </c>
      <c r="G592" s="81" t="s">
        <v>2076</v>
      </c>
      <c r="H592" s="80" t="s">
        <v>2959</v>
      </c>
      <c r="I592" s="83">
        <v>45573</v>
      </c>
      <c r="J592" s="80" t="s">
        <v>298</v>
      </c>
      <c r="K592" s="80" t="s">
        <v>299</v>
      </c>
      <c r="L592" s="84" t="s">
        <v>300</v>
      </c>
      <c r="M592" s="84" t="s">
        <v>252</v>
      </c>
      <c r="N592" s="84" t="s">
        <v>72</v>
      </c>
      <c r="O592" s="33" t="s">
        <v>2962</v>
      </c>
      <c r="P592" s="28" t="s">
        <v>2963</v>
      </c>
      <c r="Q592" s="49" t="s">
        <v>75</v>
      </c>
      <c r="R592" s="25" t="s">
        <v>91</v>
      </c>
      <c r="S592" s="26">
        <v>19</v>
      </c>
      <c r="T592" s="26">
        <v>54</v>
      </c>
      <c r="U592" s="61" t="s">
        <v>2964</v>
      </c>
      <c r="V592" s="66"/>
      <c r="W592" s="106"/>
      <c r="X592" s="106" t="s">
        <v>369</v>
      </c>
      <c r="Y592" s="26" t="s">
        <v>76</v>
      </c>
      <c r="Z592" s="93" t="s">
        <v>93</v>
      </c>
      <c r="AA592" s="30" t="s">
        <v>76</v>
      </c>
      <c r="AB592" s="26"/>
      <c r="AC592" s="44"/>
    </row>
    <row r="593" spans="1:29" ht="33" hidden="1">
      <c r="A593" s="98">
        <v>584</v>
      </c>
      <c r="B593" s="79" t="s">
        <v>2965</v>
      </c>
      <c r="C593" s="148" t="s">
        <v>8</v>
      </c>
      <c r="D593" s="80" t="s">
        <v>63</v>
      </c>
      <c r="E593" s="27" t="s">
        <v>2966</v>
      </c>
      <c r="F593" s="80" t="s">
        <v>109</v>
      </c>
      <c r="G593" s="81" t="s">
        <v>1419</v>
      </c>
      <c r="H593" s="80" t="s">
        <v>2967</v>
      </c>
      <c r="I593" s="83">
        <v>45573</v>
      </c>
      <c r="J593" s="80" t="s">
        <v>187</v>
      </c>
      <c r="K593" s="80" t="s">
        <v>834</v>
      </c>
      <c r="L593" s="84" t="s">
        <v>189</v>
      </c>
      <c r="M593" s="84" t="s">
        <v>114</v>
      </c>
      <c r="N593" s="84" t="s">
        <v>72</v>
      </c>
      <c r="O593" s="33" t="s">
        <v>2968</v>
      </c>
      <c r="P593" s="28"/>
      <c r="Q593" s="49" t="s">
        <v>75</v>
      </c>
      <c r="R593" s="25" t="s">
        <v>91</v>
      </c>
      <c r="S593" s="26"/>
      <c r="T593" s="26"/>
      <c r="U593" s="61" t="s">
        <v>2969</v>
      </c>
      <c r="V593" s="66"/>
      <c r="W593" s="106"/>
      <c r="X593" s="106" t="s">
        <v>369</v>
      </c>
      <c r="Y593" s="26" t="s">
        <v>76</v>
      </c>
      <c r="Z593" s="75" t="s">
        <v>76</v>
      </c>
      <c r="AA593" s="30" t="s">
        <v>76</v>
      </c>
      <c r="AB593" s="26"/>
      <c r="AC593" s="44"/>
    </row>
    <row r="594" spans="1:29" ht="33" hidden="1">
      <c r="A594" s="98">
        <v>585</v>
      </c>
      <c r="B594" s="79" t="s">
        <v>2970</v>
      </c>
      <c r="C594" s="148" t="s">
        <v>8</v>
      </c>
      <c r="D594" s="80" t="s">
        <v>63</v>
      </c>
      <c r="E594" s="27" t="s">
        <v>2966</v>
      </c>
      <c r="F594" s="80" t="s">
        <v>109</v>
      </c>
      <c r="G594" s="81" t="s">
        <v>1419</v>
      </c>
      <c r="H594" s="80" t="s">
        <v>2967</v>
      </c>
      <c r="I594" s="83">
        <v>45573</v>
      </c>
      <c r="J594" s="80" t="s">
        <v>187</v>
      </c>
      <c r="K594" s="80" t="s">
        <v>834</v>
      </c>
      <c r="L594" s="84" t="s">
        <v>189</v>
      </c>
      <c r="M594" s="84" t="s">
        <v>114</v>
      </c>
      <c r="N594" s="84" t="s">
        <v>72</v>
      </c>
      <c r="O594" s="33" t="s">
        <v>2971</v>
      </c>
      <c r="P594" s="28"/>
      <c r="Q594" s="49" t="s">
        <v>75</v>
      </c>
      <c r="R594" s="25" t="s">
        <v>91</v>
      </c>
      <c r="S594" s="26"/>
      <c r="T594" s="26"/>
      <c r="U594" s="61" t="s">
        <v>2972</v>
      </c>
      <c r="V594" s="66"/>
      <c r="W594" s="106"/>
      <c r="X594" s="106" t="s">
        <v>369</v>
      </c>
      <c r="Y594" s="26" t="s">
        <v>76</v>
      </c>
      <c r="Z594" s="75" t="s">
        <v>76</v>
      </c>
      <c r="AA594" s="30" t="s">
        <v>76</v>
      </c>
      <c r="AB594" s="26"/>
      <c r="AC594" s="44"/>
    </row>
    <row r="595" spans="1:29" ht="33" hidden="1">
      <c r="A595" s="98">
        <v>586</v>
      </c>
      <c r="B595" s="79" t="s">
        <v>2973</v>
      </c>
      <c r="C595" s="148" t="s">
        <v>399</v>
      </c>
      <c r="D595" s="80" t="s">
        <v>83</v>
      </c>
      <c r="E595" s="27" t="s">
        <v>400</v>
      </c>
      <c r="F595" s="80" t="s">
        <v>65</v>
      </c>
      <c r="G595" s="81" t="s">
        <v>401</v>
      </c>
      <c r="H595" s="80" t="s">
        <v>402</v>
      </c>
      <c r="I595" s="83">
        <v>45573</v>
      </c>
      <c r="J595" s="80" t="s">
        <v>250</v>
      </c>
      <c r="K595" s="80" t="s">
        <v>491</v>
      </c>
      <c r="L595" s="84" t="s">
        <v>251</v>
      </c>
      <c r="M595" s="84" t="s">
        <v>252</v>
      </c>
      <c r="N595" s="84" t="s">
        <v>72</v>
      </c>
      <c r="O595" s="33" t="s">
        <v>2974</v>
      </c>
      <c r="P595" s="28"/>
      <c r="Q595" s="49" t="s">
        <v>75</v>
      </c>
      <c r="R595" s="25" t="s">
        <v>91</v>
      </c>
      <c r="S595" s="26">
        <v>18</v>
      </c>
      <c r="T595" s="26"/>
      <c r="U595" s="61" t="s">
        <v>2975</v>
      </c>
      <c r="V595" s="66"/>
      <c r="W595" s="106"/>
      <c r="X595" s="106" t="s">
        <v>369</v>
      </c>
      <c r="Y595" s="26" t="s">
        <v>76</v>
      </c>
      <c r="Z595" s="75" t="s">
        <v>93</v>
      </c>
      <c r="AA595" s="30" t="s">
        <v>76</v>
      </c>
      <c r="AB595" s="26"/>
      <c r="AC595" s="44"/>
    </row>
    <row r="596" spans="1:29" ht="49.5" hidden="1">
      <c r="A596" s="98">
        <v>587</v>
      </c>
      <c r="B596" s="79" t="s">
        <v>2976</v>
      </c>
      <c r="C596" s="148" t="s">
        <v>8</v>
      </c>
      <c r="D596" s="80" t="s">
        <v>63</v>
      </c>
      <c r="E596" s="27" t="s">
        <v>2977</v>
      </c>
      <c r="F596" s="80" t="s">
        <v>120</v>
      </c>
      <c r="G596" s="81" t="s">
        <v>277</v>
      </c>
      <c r="H596" s="80" t="s">
        <v>2978</v>
      </c>
      <c r="I596" s="83">
        <v>45573</v>
      </c>
      <c r="J596" s="80" t="s">
        <v>250</v>
      </c>
      <c r="K596" s="80" t="s">
        <v>491</v>
      </c>
      <c r="L596" s="84" t="s">
        <v>251</v>
      </c>
      <c r="M596" s="84" t="s">
        <v>252</v>
      </c>
      <c r="N596" s="84" t="s">
        <v>253</v>
      </c>
      <c r="O596" s="33" t="s">
        <v>2979</v>
      </c>
      <c r="P596" s="28"/>
      <c r="Q596" s="49" t="s">
        <v>75</v>
      </c>
      <c r="R596" s="25" t="s">
        <v>91</v>
      </c>
      <c r="S596" s="26">
        <v>18</v>
      </c>
      <c r="T596" s="26"/>
      <c r="U596" s="61" t="s">
        <v>2980</v>
      </c>
      <c r="V596" s="66"/>
      <c r="W596" s="106"/>
      <c r="X596" s="106" t="s">
        <v>369</v>
      </c>
      <c r="Y596" s="26" t="s">
        <v>76</v>
      </c>
      <c r="Z596" s="75" t="s">
        <v>93</v>
      </c>
      <c r="AA596" s="30" t="s">
        <v>76</v>
      </c>
      <c r="AB596" s="26"/>
      <c r="AC596" s="44"/>
    </row>
    <row r="597" spans="1:29" ht="49.5" hidden="1">
      <c r="A597" s="98">
        <v>566</v>
      </c>
      <c r="B597" s="79" t="s">
        <v>2981</v>
      </c>
      <c r="C597" s="148" t="s">
        <v>8</v>
      </c>
      <c r="D597" s="80" t="s">
        <v>63</v>
      </c>
      <c r="E597" s="27">
        <v>2400786</v>
      </c>
      <c r="F597" s="80" t="s">
        <v>628</v>
      </c>
      <c r="G597" s="81" t="s">
        <v>2299</v>
      </c>
      <c r="H597" s="80" t="s">
        <v>2982</v>
      </c>
      <c r="I597" s="83">
        <v>45572</v>
      </c>
      <c r="J597" s="80" t="s">
        <v>250</v>
      </c>
      <c r="K597" s="80" t="s">
        <v>491</v>
      </c>
      <c r="L597" s="84" t="s">
        <v>251</v>
      </c>
      <c r="M597" s="84" t="s">
        <v>252</v>
      </c>
      <c r="N597" s="84" t="s">
        <v>72</v>
      </c>
      <c r="O597" s="33" t="s">
        <v>2983</v>
      </c>
      <c r="P597" s="28"/>
      <c r="Q597" s="49" t="s">
        <v>75</v>
      </c>
      <c r="R597" s="25" t="s">
        <v>504</v>
      </c>
      <c r="S597" s="26">
        <v>19</v>
      </c>
      <c r="T597" s="26"/>
      <c r="U597" s="61" t="s">
        <v>2984</v>
      </c>
      <c r="V597" s="66"/>
      <c r="W597" s="106"/>
      <c r="X597" s="106" t="s">
        <v>369</v>
      </c>
      <c r="Y597" s="26" t="s">
        <v>76</v>
      </c>
      <c r="Z597" s="75" t="s">
        <v>106</v>
      </c>
      <c r="AA597" s="30" t="s">
        <v>76</v>
      </c>
      <c r="AB597" s="26"/>
      <c r="AC597" s="44"/>
    </row>
    <row r="598" spans="1:29" ht="33" hidden="1">
      <c r="A598" s="98">
        <v>588</v>
      </c>
      <c r="B598" s="79" t="s">
        <v>2985</v>
      </c>
      <c r="C598" s="148" t="s">
        <v>8</v>
      </c>
      <c r="D598" s="80" t="s">
        <v>63</v>
      </c>
      <c r="E598" s="27">
        <v>2401407</v>
      </c>
      <c r="F598" s="80" t="s">
        <v>2986</v>
      </c>
      <c r="G598" s="81" t="s">
        <v>1413</v>
      </c>
      <c r="H598" s="80" t="s">
        <v>188</v>
      </c>
      <c r="I598" s="83">
        <v>45573</v>
      </c>
      <c r="J598" s="80" t="s">
        <v>250</v>
      </c>
      <c r="K598" s="80" t="s">
        <v>491</v>
      </c>
      <c r="L598" s="84" t="s">
        <v>251</v>
      </c>
      <c r="M598" s="84" t="s">
        <v>252</v>
      </c>
      <c r="N598" s="84" t="s">
        <v>72</v>
      </c>
      <c r="O598" s="33" t="s">
        <v>2987</v>
      </c>
      <c r="P598" s="28"/>
      <c r="Q598" s="49" t="s">
        <v>75</v>
      </c>
      <c r="R598" s="25" t="s">
        <v>504</v>
      </c>
      <c r="S598" s="26">
        <v>20</v>
      </c>
      <c r="T598" s="26"/>
      <c r="U598" s="61" t="s">
        <v>2988</v>
      </c>
      <c r="V598" s="66"/>
      <c r="W598" s="106"/>
      <c r="X598" s="106" t="s">
        <v>369</v>
      </c>
      <c r="Y598" s="26" t="s">
        <v>76</v>
      </c>
      <c r="Z598" s="75" t="s">
        <v>106</v>
      </c>
      <c r="AA598" s="30" t="s">
        <v>76</v>
      </c>
      <c r="AB598" s="26"/>
      <c r="AC598" s="44"/>
    </row>
    <row r="599" spans="1:29" ht="33" hidden="1">
      <c r="A599" s="98">
        <v>589</v>
      </c>
      <c r="B599" s="79" t="s">
        <v>2989</v>
      </c>
      <c r="C599" s="148" t="s">
        <v>8</v>
      </c>
      <c r="D599" s="80" t="s">
        <v>63</v>
      </c>
      <c r="E599" s="27" t="s">
        <v>2990</v>
      </c>
      <c r="F599" s="80" t="s">
        <v>65</v>
      </c>
      <c r="G599" s="81" t="s">
        <v>2076</v>
      </c>
      <c r="H599" s="80" t="s">
        <v>2991</v>
      </c>
      <c r="I599" s="83">
        <v>45574</v>
      </c>
      <c r="J599" s="80" t="s">
        <v>170</v>
      </c>
      <c r="K599" s="80" t="s">
        <v>156</v>
      </c>
      <c r="L599" s="84" t="s">
        <v>171</v>
      </c>
      <c r="M599" s="84" t="s">
        <v>71</v>
      </c>
      <c r="N599" s="84" t="s">
        <v>72</v>
      </c>
      <c r="O599" s="33" t="s">
        <v>2992</v>
      </c>
      <c r="P599" s="28"/>
      <c r="Q599" s="49" t="s">
        <v>91</v>
      </c>
      <c r="R599" s="25"/>
      <c r="S599" s="26">
        <v>16</v>
      </c>
      <c r="T599" s="26"/>
      <c r="U599" s="61" t="s">
        <v>2993</v>
      </c>
      <c r="V599" s="66"/>
      <c r="W599" s="106"/>
      <c r="X599" s="106" t="s">
        <v>76</v>
      </c>
      <c r="Y599" s="26" t="s">
        <v>76</v>
      </c>
      <c r="Z599" s="75" t="s">
        <v>193</v>
      </c>
      <c r="AA599" s="30" t="s">
        <v>76</v>
      </c>
      <c r="AB599" s="26"/>
      <c r="AC599" s="44"/>
    </row>
    <row r="600" spans="1:29" ht="33" hidden="1">
      <c r="A600" s="98">
        <v>590</v>
      </c>
      <c r="B600" s="79" t="s">
        <v>2994</v>
      </c>
      <c r="C600" s="148" t="s">
        <v>8</v>
      </c>
      <c r="D600" s="80" t="s">
        <v>63</v>
      </c>
      <c r="E600" s="27" t="s">
        <v>2990</v>
      </c>
      <c r="F600" s="80" t="s">
        <v>65</v>
      </c>
      <c r="G600" s="81" t="s">
        <v>2076</v>
      </c>
      <c r="H600" s="80" t="s">
        <v>2991</v>
      </c>
      <c r="I600" s="83">
        <v>45574</v>
      </c>
      <c r="J600" s="80" t="s">
        <v>250</v>
      </c>
      <c r="K600" s="80" t="s">
        <v>69</v>
      </c>
      <c r="L600" s="84" t="s">
        <v>251</v>
      </c>
      <c r="M600" s="84" t="s">
        <v>252</v>
      </c>
      <c r="N600" s="84" t="s">
        <v>253</v>
      </c>
      <c r="O600" s="33" t="s">
        <v>2995</v>
      </c>
      <c r="P600" s="28"/>
      <c r="Q600" s="49" t="s">
        <v>91</v>
      </c>
      <c r="R600" s="25"/>
      <c r="S600" s="26">
        <v>12</v>
      </c>
      <c r="T600" s="26"/>
      <c r="U600" s="61" t="s">
        <v>2996</v>
      </c>
      <c r="V600" s="66"/>
      <c r="W600" s="106"/>
      <c r="X600" s="106" t="s">
        <v>76</v>
      </c>
      <c r="Y600" s="26" t="s">
        <v>76</v>
      </c>
      <c r="Z600" s="75" t="s">
        <v>193</v>
      </c>
      <c r="AA600" s="30" t="s">
        <v>76</v>
      </c>
      <c r="AB600" s="26"/>
      <c r="AC600" s="44"/>
    </row>
    <row r="601" spans="1:29" ht="33" hidden="1">
      <c r="A601" s="98">
        <v>591</v>
      </c>
      <c r="B601" s="79" t="s">
        <v>2997</v>
      </c>
      <c r="C601" s="148" t="s">
        <v>8</v>
      </c>
      <c r="D601" s="80" t="s">
        <v>63</v>
      </c>
      <c r="E601" s="27">
        <v>9611210</v>
      </c>
      <c r="F601" s="80" t="s">
        <v>1344</v>
      </c>
      <c r="G601" s="81" t="s">
        <v>2076</v>
      </c>
      <c r="H601" s="80" t="s">
        <v>2998</v>
      </c>
      <c r="I601" s="83">
        <v>45574</v>
      </c>
      <c r="J601" s="80" t="s">
        <v>1954</v>
      </c>
      <c r="K601" s="80" t="s">
        <v>156</v>
      </c>
      <c r="L601" s="84" t="s">
        <v>171</v>
      </c>
      <c r="M601" s="84" t="s">
        <v>114</v>
      </c>
      <c r="N601" s="84" t="s">
        <v>72</v>
      </c>
      <c r="O601" s="33" t="s">
        <v>2999</v>
      </c>
      <c r="P601" s="28"/>
      <c r="Q601" s="49" t="s">
        <v>91</v>
      </c>
      <c r="R601" s="25"/>
      <c r="S601" s="26">
        <v>16</v>
      </c>
      <c r="T601" s="26"/>
      <c r="U601" s="61" t="s">
        <v>3000</v>
      </c>
      <c r="V601" s="66"/>
      <c r="W601" s="106"/>
      <c r="X601" s="106" t="s">
        <v>76</v>
      </c>
      <c r="Y601" s="26" t="s">
        <v>76</v>
      </c>
      <c r="Z601" s="75" t="s">
        <v>193</v>
      </c>
      <c r="AA601" s="30" t="s">
        <v>76</v>
      </c>
      <c r="AB601" s="26"/>
      <c r="AC601" s="44"/>
    </row>
    <row r="602" spans="1:29" ht="33" hidden="1">
      <c r="A602" s="98">
        <v>592</v>
      </c>
      <c r="B602" s="79" t="s">
        <v>3001</v>
      </c>
      <c r="C602" s="148" t="s">
        <v>8</v>
      </c>
      <c r="D602" s="80" t="s">
        <v>63</v>
      </c>
      <c r="E602" s="27">
        <v>9611210</v>
      </c>
      <c r="F602" s="80" t="s">
        <v>1344</v>
      </c>
      <c r="G602" s="81" t="s">
        <v>2076</v>
      </c>
      <c r="H602" s="80" t="s">
        <v>2998</v>
      </c>
      <c r="I602" s="83">
        <v>45574</v>
      </c>
      <c r="J602" s="80" t="s">
        <v>1954</v>
      </c>
      <c r="K602" s="80" t="s">
        <v>156</v>
      </c>
      <c r="L602" s="84" t="s">
        <v>171</v>
      </c>
      <c r="M602" s="84" t="s">
        <v>114</v>
      </c>
      <c r="N602" s="84" t="s">
        <v>72</v>
      </c>
      <c r="O602" s="33" t="s">
        <v>3002</v>
      </c>
      <c r="P602" s="28"/>
      <c r="Q602" s="49" t="s">
        <v>91</v>
      </c>
      <c r="R602" s="25"/>
      <c r="S602" s="26">
        <v>16</v>
      </c>
      <c r="T602" s="26"/>
      <c r="U602" s="61" t="s">
        <v>3000</v>
      </c>
      <c r="V602" s="66"/>
      <c r="W602" s="106"/>
      <c r="X602" s="106" t="s">
        <v>76</v>
      </c>
      <c r="Y602" s="26" t="s">
        <v>76</v>
      </c>
      <c r="Z602" s="75" t="s">
        <v>193</v>
      </c>
      <c r="AA602" s="30" t="s">
        <v>76</v>
      </c>
      <c r="AB602" s="26"/>
      <c r="AC602" s="44"/>
    </row>
    <row r="603" spans="1:29" ht="33" hidden="1">
      <c r="A603" s="98">
        <v>593</v>
      </c>
      <c r="B603" s="79" t="s">
        <v>3003</v>
      </c>
      <c r="C603" s="148" t="s">
        <v>8</v>
      </c>
      <c r="D603" s="80" t="s">
        <v>63</v>
      </c>
      <c r="E603" s="27" t="s">
        <v>2966</v>
      </c>
      <c r="F603" s="80" t="s">
        <v>109</v>
      </c>
      <c r="G603" s="81" t="s">
        <v>1419</v>
      </c>
      <c r="H603" s="80" t="s">
        <v>2967</v>
      </c>
      <c r="I603" s="83">
        <v>45574</v>
      </c>
      <c r="J603" s="80" t="s">
        <v>111</v>
      </c>
      <c r="K603" s="80" t="s">
        <v>112</v>
      </c>
      <c r="L603" s="84" t="s">
        <v>122</v>
      </c>
      <c r="M603" s="84" t="s">
        <v>114</v>
      </c>
      <c r="N603" s="84" t="s">
        <v>72</v>
      </c>
      <c r="O603" s="33" t="s">
        <v>3004</v>
      </c>
      <c r="P603" s="28" t="s">
        <v>3005</v>
      </c>
      <c r="Q603" s="49" t="s">
        <v>75</v>
      </c>
      <c r="R603" s="25" t="s">
        <v>91</v>
      </c>
      <c r="S603" s="26">
        <v>22</v>
      </c>
      <c r="T603" s="26">
        <v>61</v>
      </c>
      <c r="U603" s="61" t="s">
        <v>3006</v>
      </c>
      <c r="V603" s="66"/>
      <c r="W603" s="106"/>
      <c r="X603" s="106" t="s">
        <v>369</v>
      </c>
      <c r="Y603" s="26" t="s">
        <v>76</v>
      </c>
      <c r="Z603" s="75" t="s">
        <v>93</v>
      </c>
      <c r="AA603" s="30" t="s">
        <v>76</v>
      </c>
      <c r="AB603" s="26"/>
      <c r="AC603" s="44"/>
    </row>
    <row r="604" spans="1:29" ht="33" hidden="1">
      <c r="A604" s="98">
        <v>594</v>
      </c>
      <c r="B604" s="79" t="s">
        <v>3007</v>
      </c>
      <c r="C604" s="148" t="s">
        <v>8</v>
      </c>
      <c r="D604" s="80" t="s">
        <v>63</v>
      </c>
      <c r="E604" s="27" t="s">
        <v>2966</v>
      </c>
      <c r="F604" s="80" t="s">
        <v>109</v>
      </c>
      <c r="G604" s="81" t="s">
        <v>1419</v>
      </c>
      <c r="H604" s="80" t="s">
        <v>2967</v>
      </c>
      <c r="I604" s="83">
        <v>45574</v>
      </c>
      <c r="J604" s="80" t="s">
        <v>250</v>
      </c>
      <c r="K604" s="80" t="s">
        <v>491</v>
      </c>
      <c r="L604" s="84" t="s">
        <v>251</v>
      </c>
      <c r="M604" s="84" t="s">
        <v>252</v>
      </c>
      <c r="N604" s="84" t="s">
        <v>253</v>
      </c>
      <c r="O604" s="33" t="s">
        <v>3008</v>
      </c>
      <c r="P604" s="28"/>
      <c r="Q604" s="49" t="s">
        <v>91</v>
      </c>
      <c r="S604" s="26">
        <v>15</v>
      </c>
      <c r="T604" s="26"/>
      <c r="U604" s="61" t="s">
        <v>3009</v>
      </c>
      <c r="V604" s="66"/>
      <c r="W604" s="106"/>
      <c r="X604" s="106" t="s">
        <v>76</v>
      </c>
      <c r="Y604" s="26" t="s">
        <v>76</v>
      </c>
      <c r="Z604" s="75" t="s">
        <v>193</v>
      </c>
      <c r="AA604" s="30" t="s">
        <v>76</v>
      </c>
      <c r="AB604" s="26"/>
      <c r="AC604" s="44"/>
    </row>
    <row r="605" spans="1:29" ht="33" hidden="1">
      <c r="A605" s="98">
        <v>595</v>
      </c>
      <c r="B605" s="79" t="s">
        <v>3010</v>
      </c>
      <c r="C605" s="148" t="s">
        <v>8</v>
      </c>
      <c r="D605" s="80" t="s">
        <v>63</v>
      </c>
      <c r="E605" s="27" t="s">
        <v>2966</v>
      </c>
      <c r="F605" s="80" t="s">
        <v>109</v>
      </c>
      <c r="G605" s="81" t="s">
        <v>1419</v>
      </c>
      <c r="H605" s="80" t="s">
        <v>2967</v>
      </c>
      <c r="I605" s="83">
        <v>45574</v>
      </c>
      <c r="J605" s="80" t="s">
        <v>341</v>
      </c>
      <c r="K605" s="80" t="s">
        <v>156</v>
      </c>
      <c r="L605" s="84" t="s">
        <v>70</v>
      </c>
      <c r="M605" s="84" t="s">
        <v>252</v>
      </c>
      <c r="N605" s="84" t="s">
        <v>253</v>
      </c>
      <c r="O605" s="33" t="s">
        <v>3011</v>
      </c>
      <c r="P605" s="28"/>
      <c r="Q605" s="49" t="s">
        <v>75</v>
      </c>
      <c r="R605" s="196" t="s">
        <v>91</v>
      </c>
      <c r="S605" s="26">
        <v>20</v>
      </c>
      <c r="T605" s="26"/>
      <c r="U605" s="61" t="s">
        <v>3012</v>
      </c>
      <c r="V605" s="66"/>
      <c r="W605" s="106"/>
      <c r="X605" s="106" t="s">
        <v>369</v>
      </c>
      <c r="Y605" s="26" t="s">
        <v>76</v>
      </c>
      <c r="Z605" s="75" t="s">
        <v>106</v>
      </c>
      <c r="AA605" s="30" t="s">
        <v>76</v>
      </c>
      <c r="AB605" s="26"/>
      <c r="AC605" s="44"/>
    </row>
    <row r="606" spans="1:29" ht="49.5" hidden="1">
      <c r="A606" s="98">
        <v>596</v>
      </c>
      <c r="B606" s="79" t="s">
        <v>3013</v>
      </c>
      <c r="C606" s="148" t="s">
        <v>8</v>
      </c>
      <c r="D606" s="80" t="s">
        <v>63</v>
      </c>
      <c r="E606" s="27" t="s">
        <v>1992</v>
      </c>
      <c r="F606" s="80" t="s">
        <v>338</v>
      </c>
      <c r="G606" s="81" t="s">
        <v>995</v>
      </c>
      <c r="H606" s="80" t="s">
        <v>1993</v>
      </c>
      <c r="I606" s="83">
        <v>45574</v>
      </c>
      <c r="J606" s="80" t="s">
        <v>298</v>
      </c>
      <c r="K606" s="80" t="s">
        <v>299</v>
      </c>
      <c r="L606" s="84" t="s">
        <v>300</v>
      </c>
      <c r="M606" s="84" t="s">
        <v>252</v>
      </c>
      <c r="N606" s="84" t="s">
        <v>72</v>
      </c>
      <c r="O606" s="33" t="s">
        <v>3014</v>
      </c>
      <c r="P606" s="28" t="s">
        <v>3015</v>
      </c>
      <c r="Q606" s="49" t="s">
        <v>75</v>
      </c>
      <c r="R606" s="25" t="s">
        <v>91</v>
      </c>
      <c r="S606" s="26">
        <v>24</v>
      </c>
      <c r="T606" s="26">
        <v>74</v>
      </c>
      <c r="U606" s="61" t="s">
        <v>3016</v>
      </c>
      <c r="V606" s="66"/>
      <c r="W606" s="106"/>
      <c r="X606" s="106" t="s">
        <v>369</v>
      </c>
      <c r="Y606" s="26" t="s">
        <v>76</v>
      </c>
      <c r="Z606" s="93" t="s">
        <v>93</v>
      </c>
      <c r="AA606" s="30" t="s">
        <v>76</v>
      </c>
      <c r="AB606" s="26"/>
      <c r="AC606" s="44"/>
    </row>
    <row r="607" spans="1:29" ht="33" hidden="1">
      <c r="A607" s="98">
        <v>597</v>
      </c>
      <c r="B607" s="79" t="s">
        <v>3017</v>
      </c>
      <c r="C607" s="148" t="s">
        <v>8</v>
      </c>
      <c r="D607" s="80" t="s">
        <v>63</v>
      </c>
      <c r="E607" s="27" t="s">
        <v>3018</v>
      </c>
      <c r="F607" s="80" t="s">
        <v>109</v>
      </c>
      <c r="G607" s="81" t="s">
        <v>1368</v>
      </c>
      <c r="H607" s="80" t="s">
        <v>3019</v>
      </c>
      <c r="I607" s="83">
        <v>45574</v>
      </c>
      <c r="J607" s="80" t="s">
        <v>1400</v>
      </c>
      <c r="K607" s="80" t="s">
        <v>188</v>
      </c>
      <c r="L607" s="84" t="s">
        <v>189</v>
      </c>
      <c r="M607" s="84" t="s">
        <v>601</v>
      </c>
      <c r="N607" s="84" t="s">
        <v>72</v>
      </c>
      <c r="O607" s="33" t="s">
        <v>3020</v>
      </c>
      <c r="P607" s="28"/>
      <c r="Q607" s="49" t="s">
        <v>75</v>
      </c>
      <c r="R607" s="25" t="s">
        <v>91</v>
      </c>
      <c r="S607" s="26">
        <v>18</v>
      </c>
      <c r="T607" s="26">
        <v>54</v>
      </c>
      <c r="U607" s="61" t="s">
        <v>3021</v>
      </c>
      <c r="V607" s="66"/>
      <c r="W607" s="106"/>
      <c r="X607" s="106" t="s">
        <v>369</v>
      </c>
      <c r="Y607" s="26" t="s">
        <v>76</v>
      </c>
      <c r="Z607" s="75" t="s">
        <v>106</v>
      </c>
      <c r="AA607" s="30" t="s">
        <v>76</v>
      </c>
      <c r="AB607" s="26"/>
      <c r="AC607" s="44"/>
    </row>
    <row r="608" spans="1:29" ht="49.5" hidden="1">
      <c r="A608" s="98">
        <v>598</v>
      </c>
      <c r="B608" s="79" t="s">
        <v>3022</v>
      </c>
      <c r="C608" s="148" t="s">
        <v>8</v>
      </c>
      <c r="D608" s="80" t="s">
        <v>63</v>
      </c>
      <c r="E608" s="27" t="s">
        <v>3023</v>
      </c>
      <c r="F608" s="80" t="s">
        <v>120</v>
      </c>
      <c r="G608" s="81" t="s">
        <v>818</v>
      </c>
      <c r="H608" s="80" t="s">
        <v>3024</v>
      </c>
      <c r="I608" s="83">
        <v>45574</v>
      </c>
      <c r="J608" s="80" t="s">
        <v>170</v>
      </c>
      <c r="K608" s="80" t="s">
        <v>156</v>
      </c>
      <c r="L608" s="84" t="s">
        <v>171</v>
      </c>
      <c r="M608" s="84" t="s">
        <v>71</v>
      </c>
      <c r="N608" s="84" t="s">
        <v>72</v>
      </c>
      <c r="O608" s="33" t="s">
        <v>3025</v>
      </c>
      <c r="P608" s="28"/>
      <c r="Q608" s="49" t="s">
        <v>75</v>
      </c>
      <c r="R608" s="25" t="s">
        <v>91</v>
      </c>
      <c r="S608" s="26">
        <v>18</v>
      </c>
      <c r="T608" s="26">
        <v>66</v>
      </c>
      <c r="U608" s="61" t="s">
        <v>3026</v>
      </c>
      <c r="V608" s="66"/>
      <c r="W608" s="106"/>
      <c r="X608" s="106" t="s">
        <v>369</v>
      </c>
      <c r="Y608" s="26" t="s">
        <v>76</v>
      </c>
      <c r="Z608" s="75" t="s">
        <v>93</v>
      </c>
      <c r="AA608" s="30" t="s">
        <v>76</v>
      </c>
      <c r="AB608" s="26"/>
      <c r="AC608" s="44"/>
    </row>
    <row r="609" spans="1:29" ht="33" hidden="1">
      <c r="A609" s="98">
        <v>599</v>
      </c>
      <c r="B609" s="79" t="s">
        <v>3027</v>
      </c>
      <c r="C609" s="148" t="s">
        <v>8</v>
      </c>
      <c r="D609" s="80" t="s">
        <v>63</v>
      </c>
      <c r="E609" s="27" t="s">
        <v>3028</v>
      </c>
      <c r="F609" s="80" t="s">
        <v>65</v>
      </c>
      <c r="G609" s="81" t="s">
        <v>2076</v>
      </c>
      <c r="H609" s="80" t="s">
        <v>3029</v>
      </c>
      <c r="I609" s="83">
        <v>45575</v>
      </c>
      <c r="J609" s="80" t="s">
        <v>833</v>
      </c>
      <c r="K609" s="80" t="s">
        <v>188</v>
      </c>
      <c r="L609" s="84" t="s">
        <v>189</v>
      </c>
      <c r="M609" s="84" t="s">
        <v>252</v>
      </c>
      <c r="N609" s="84" t="s">
        <v>72</v>
      </c>
      <c r="O609" s="33" t="s">
        <v>3030</v>
      </c>
      <c r="P609" s="28"/>
      <c r="Q609" s="49" t="s">
        <v>91</v>
      </c>
      <c r="R609" s="25"/>
      <c r="S609" s="26">
        <v>4</v>
      </c>
      <c r="T609" s="26"/>
      <c r="U609" s="61" t="s">
        <v>2661</v>
      </c>
      <c r="V609" s="66"/>
      <c r="W609" s="106"/>
      <c r="X609" s="106" t="s">
        <v>76</v>
      </c>
      <c r="Y609" s="26" t="s">
        <v>76</v>
      </c>
      <c r="Z609" s="75" t="s">
        <v>193</v>
      </c>
      <c r="AA609" s="30" t="s">
        <v>76</v>
      </c>
      <c r="AB609" s="26" t="s">
        <v>75</v>
      </c>
      <c r="AC609" s="44"/>
    </row>
    <row r="610" spans="1:29" ht="66" hidden="1">
      <c r="A610" s="98">
        <v>600</v>
      </c>
      <c r="B610" s="79" t="s">
        <v>3031</v>
      </c>
      <c r="C610" s="148" t="s">
        <v>8</v>
      </c>
      <c r="D610" s="80" t="s">
        <v>63</v>
      </c>
      <c r="E610" s="27" t="s">
        <v>3032</v>
      </c>
      <c r="F610" s="80" t="s">
        <v>120</v>
      </c>
      <c r="G610" s="81" t="s">
        <v>3033</v>
      </c>
      <c r="H610" s="80" t="s">
        <v>3034</v>
      </c>
      <c r="I610" s="83">
        <v>45575</v>
      </c>
      <c r="J610" s="80" t="s">
        <v>241</v>
      </c>
      <c r="K610" s="80" t="s">
        <v>198</v>
      </c>
      <c r="L610" s="84" t="s">
        <v>199</v>
      </c>
      <c r="M610" s="84" t="s">
        <v>221</v>
      </c>
      <c r="N610" s="84" t="s">
        <v>72</v>
      </c>
      <c r="O610" s="33" t="s">
        <v>3035</v>
      </c>
      <c r="P610" s="28" t="s">
        <v>3036</v>
      </c>
      <c r="Q610" s="49" t="s">
        <v>75</v>
      </c>
      <c r="R610" s="25" t="s">
        <v>91</v>
      </c>
      <c r="S610" s="26">
        <v>18</v>
      </c>
      <c r="T610" s="26">
        <v>52</v>
      </c>
      <c r="U610" s="61" t="s">
        <v>3037</v>
      </c>
      <c r="V610" s="66"/>
      <c r="W610" s="106"/>
      <c r="X610" s="106" t="s">
        <v>369</v>
      </c>
      <c r="Y610" s="106" t="s">
        <v>76</v>
      </c>
      <c r="Z610" s="75" t="s">
        <v>93</v>
      </c>
      <c r="AA610" s="30" t="s">
        <v>76</v>
      </c>
      <c r="AB610" s="26"/>
      <c r="AC610" s="44"/>
    </row>
    <row r="611" spans="1:29" ht="49.5" hidden="1">
      <c r="A611" s="98">
        <v>602</v>
      </c>
      <c r="B611" s="79" t="s">
        <v>3038</v>
      </c>
      <c r="C611" s="148" t="s">
        <v>8</v>
      </c>
      <c r="D611" s="80" t="s">
        <v>63</v>
      </c>
      <c r="E611" s="27" t="s">
        <v>2591</v>
      </c>
      <c r="F611" s="80" t="s">
        <v>284</v>
      </c>
      <c r="G611" s="81" t="s">
        <v>1419</v>
      </c>
      <c r="H611" s="80" t="s">
        <v>2592</v>
      </c>
      <c r="I611" s="83">
        <v>45576</v>
      </c>
      <c r="J611" s="80" t="s">
        <v>241</v>
      </c>
      <c r="K611" s="80" t="s">
        <v>198</v>
      </c>
      <c r="L611" s="84" t="s">
        <v>199</v>
      </c>
      <c r="M611" s="84" t="s">
        <v>221</v>
      </c>
      <c r="N611" s="84" t="s">
        <v>72</v>
      </c>
      <c r="O611" s="33" t="s">
        <v>3039</v>
      </c>
      <c r="P611" s="28" t="s">
        <v>3040</v>
      </c>
      <c r="Q611" s="49" t="s">
        <v>75</v>
      </c>
      <c r="R611" s="25" t="s">
        <v>91</v>
      </c>
      <c r="S611" s="26">
        <v>18</v>
      </c>
      <c r="T611" s="26">
        <v>52</v>
      </c>
      <c r="U611" s="110" t="s">
        <v>3041</v>
      </c>
      <c r="V611" s="66"/>
      <c r="W611" s="106"/>
      <c r="X611" s="106" t="s">
        <v>369</v>
      </c>
      <c r="Y611" s="106" t="s">
        <v>76</v>
      </c>
      <c r="Z611" s="75" t="s">
        <v>93</v>
      </c>
      <c r="AA611" s="30" t="s">
        <v>76</v>
      </c>
      <c r="AB611" s="26"/>
      <c r="AC611" s="44"/>
    </row>
    <row r="612" spans="1:29" ht="33" hidden="1">
      <c r="A612" s="98">
        <v>601</v>
      </c>
      <c r="B612" s="79" t="s">
        <v>3042</v>
      </c>
      <c r="C612" s="148" t="s">
        <v>8</v>
      </c>
      <c r="D612" s="80" t="s">
        <v>63</v>
      </c>
      <c r="E612" s="27" t="s">
        <v>2945</v>
      </c>
      <c r="F612" s="80" t="s">
        <v>120</v>
      </c>
      <c r="G612" s="81" t="s">
        <v>2076</v>
      </c>
      <c r="H612" s="80" t="s">
        <v>2946</v>
      </c>
      <c r="I612" s="83">
        <v>45575</v>
      </c>
      <c r="J612" s="80" t="s">
        <v>187</v>
      </c>
      <c r="K612" s="80" t="s">
        <v>188</v>
      </c>
      <c r="L612" s="84" t="s">
        <v>189</v>
      </c>
      <c r="M612" s="84" t="s">
        <v>114</v>
      </c>
      <c r="N612" s="84" t="s">
        <v>72</v>
      </c>
      <c r="O612" s="33" t="s">
        <v>3043</v>
      </c>
      <c r="P612" s="28"/>
      <c r="Q612" s="49" t="s">
        <v>75</v>
      </c>
      <c r="R612" s="25" t="s">
        <v>91</v>
      </c>
      <c r="S612" s="26">
        <v>18</v>
      </c>
      <c r="T612" s="26">
        <v>54</v>
      </c>
      <c r="U612" s="61" t="s">
        <v>2439</v>
      </c>
      <c r="V612" s="66"/>
      <c r="W612" s="106"/>
      <c r="X612" s="106" t="s">
        <v>369</v>
      </c>
      <c r="Y612" s="26" t="s">
        <v>76</v>
      </c>
      <c r="Z612" s="75" t="s">
        <v>93</v>
      </c>
      <c r="AA612" s="30" t="s">
        <v>76</v>
      </c>
      <c r="AB612" s="26"/>
      <c r="AC612" s="44"/>
    </row>
    <row r="613" spans="1:29" ht="33" hidden="1">
      <c r="A613" s="88">
        <v>603</v>
      </c>
      <c r="B613" s="79" t="s">
        <v>3044</v>
      </c>
      <c r="C613" s="148" t="s">
        <v>8</v>
      </c>
      <c r="D613" s="80" t="s">
        <v>63</v>
      </c>
      <c r="E613" s="27" t="s">
        <v>3045</v>
      </c>
      <c r="F613" s="80" t="s">
        <v>120</v>
      </c>
      <c r="G613" s="81" t="s">
        <v>2076</v>
      </c>
      <c r="H613" s="80" t="s">
        <v>3046</v>
      </c>
      <c r="I613" s="83">
        <v>45576</v>
      </c>
      <c r="J613" s="80" t="s">
        <v>187</v>
      </c>
      <c r="K613" s="80" t="s">
        <v>188</v>
      </c>
      <c r="L613" s="84" t="s">
        <v>189</v>
      </c>
      <c r="M613" s="84" t="s">
        <v>114</v>
      </c>
      <c r="N613" s="84" t="s">
        <v>72</v>
      </c>
      <c r="O613" s="33" t="s">
        <v>3047</v>
      </c>
      <c r="P613" s="28"/>
      <c r="Q613" s="49" t="s">
        <v>75</v>
      </c>
      <c r="R613" s="25" t="s">
        <v>91</v>
      </c>
      <c r="S613" s="26">
        <v>18</v>
      </c>
      <c r="T613" s="26">
        <v>58</v>
      </c>
      <c r="U613" s="61" t="s">
        <v>2439</v>
      </c>
      <c r="V613" s="66"/>
      <c r="W613" s="106"/>
      <c r="X613" s="106" t="s">
        <v>369</v>
      </c>
      <c r="Y613" s="26" t="s">
        <v>76</v>
      </c>
      <c r="Z613" s="75" t="s">
        <v>93</v>
      </c>
      <c r="AA613" s="30" t="s">
        <v>76</v>
      </c>
      <c r="AB613" s="26"/>
      <c r="AC613" s="44"/>
    </row>
    <row r="614" spans="1:29" ht="33" hidden="1">
      <c r="A614" s="88">
        <v>604</v>
      </c>
      <c r="B614" s="79" t="s">
        <v>3048</v>
      </c>
      <c r="C614" s="148" t="s">
        <v>8</v>
      </c>
      <c r="D614" s="80" t="s">
        <v>63</v>
      </c>
      <c r="E614" s="27" t="s">
        <v>3045</v>
      </c>
      <c r="F614" s="80" t="s">
        <v>120</v>
      </c>
      <c r="G614" s="81" t="s">
        <v>2076</v>
      </c>
      <c r="H614" s="80" t="s">
        <v>3046</v>
      </c>
      <c r="I614" s="83">
        <v>45576</v>
      </c>
      <c r="J614" s="80" t="s">
        <v>657</v>
      </c>
      <c r="K614" s="80" t="s">
        <v>188</v>
      </c>
      <c r="L614" s="84" t="s">
        <v>189</v>
      </c>
      <c r="M614" s="84" t="s">
        <v>221</v>
      </c>
      <c r="N614" s="84" t="s">
        <v>72</v>
      </c>
      <c r="O614" s="33" t="s">
        <v>3049</v>
      </c>
      <c r="P614" s="28"/>
      <c r="Q614" s="49" t="s">
        <v>75</v>
      </c>
      <c r="R614" s="25" t="s">
        <v>91</v>
      </c>
      <c r="S614" s="26">
        <v>18</v>
      </c>
      <c r="T614" s="26">
        <v>54</v>
      </c>
      <c r="U614" s="61" t="s">
        <v>2439</v>
      </c>
      <c r="V614" s="66"/>
      <c r="W614" s="106"/>
      <c r="X614" s="106" t="s">
        <v>369</v>
      </c>
      <c r="Y614" s="26" t="s">
        <v>76</v>
      </c>
      <c r="Z614" s="75" t="s">
        <v>93</v>
      </c>
      <c r="AA614" s="30" t="s">
        <v>76</v>
      </c>
      <c r="AB614" s="26"/>
      <c r="AC614" s="44"/>
    </row>
    <row r="615" spans="1:29" ht="33" hidden="1">
      <c r="A615" s="88">
        <v>605</v>
      </c>
      <c r="B615" s="79" t="s">
        <v>3050</v>
      </c>
      <c r="C615" s="148" t="s">
        <v>8</v>
      </c>
      <c r="D615" s="80" t="s">
        <v>63</v>
      </c>
      <c r="E615" s="27" t="s">
        <v>2728</v>
      </c>
      <c r="F615" s="80" t="s">
        <v>120</v>
      </c>
      <c r="G615" s="81" t="s">
        <v>2076</v>
      </c>
      <c r="H615" s="80" t="s">
        <v>2729</v>
      </c>
      <c r="I615" s="83">
        <v>45577</v>
      </c>
      <c r="J615" s="80" t="s">
        <v>482</v>
      </c>
      <c r="K615" s="80" t="s">
        <v>156</v>
      </c>
      <c r="L615" s="84" t="s">
        <v>189</v>
      </c>
      <c r="M615" s="84" t="s">
        <v>71</v>
      </c>
      <c r="N615" s="84" t="s">
        <v>72</v>
      </c>
      <c r="O615" s="33" t="s">
        <v>3051</v>
      </c>
      <c r="P615" s="28"/>
      <c r="Q615" s="49" t="s">
        <v>75</v>
      </c>
      <c r="R615" s="25" t="s">
        <v>91</v>
      </c>
      <c r="S615" s="26">
        <v>18</v>
      </c>
      <c r="T615" s="26">
        <v>66</v>
      </c>
      <c r="U615" s="61" t="s">
        <v>3052</v>
      </c>
      <c r="V615" s="66"/>
      <c r="W615" s="106"/>
      <c r="X615" s="106" t="s">
        <v>369</v>
      </c>
      <c r="Y615" s="26" t="s">
        <v>76</v>
      </c>
      <c r="Z615" s="75" t="s">
        <v>93</v>
      </c>
      <c r="AA615" s="30" t="s">
        <v>76</v>
      </c>
      <c r="AB615" s="26"/>
      <c r="AC615" s="44"/>
    </row>
    <row r="616" spans="1:29" ht="33" hidden="1">
      <c r="A616" s="88">
        <v>606</v>
      </c>
      <c r="B616" s="79" t="s">
        <v>3053</v>
      </c>
      <c r="C616" s="148" t="s">
        <v>8</v>
      </c>
      <c r="D616" s="80" t="s">
        <v>63</v>
      </c>
      <c r="E616" s="109" t="s">
        <v>3054</v>
      </c>
      <c r="F616" s="80" t="s">
        <v>109</v>
      </c>
      <c r="G616" s="81" t="s">
        <v>2076</v>
      </c>
      <c r="H616" s="80" t="s">
        <v>3055</v>
      </c>
      <c r="I616" s="83">
        <v>45577</v>
      </c>
      <c r="J616" s="80" t="s">
        <v>1144</v>
      </c>
      <c r="K616" s="80" t="s">
        <v>146</v>
      </c>
      <c r="L616" s="84" t="s">
        <v>189</v>
      </c>
      <c r="M616" s="84" t="s">
        <v>148</v>
      </c>
      <c r="N616" s="84" t="s">
        <v>72</v>
      </c>
      <c r="O616" s="33" t="s">
        <v>3056</v>
      </c>
      <c r="P616" s="28"/>
      <c r="Q616" s="49" t="s">
        <v>75</v>
      </c>
      <c r="R616" s="25" t="s">
        <v>91</v>
      </c>
      <c r="S616" s="26">
        <v>18</v>
      </c>
      <c r="T616" s="26">
        <v>60</v>
      </c>
      <c r="U616" s="61" t="s">
        <v>3057</v>
      </c>
      <c r="V616" s="66"/>
      <c r="W616" s="106"/>
      <c r="X616" s="106" t="s">
        <v>369</v>
      </c>
      <c r="Y616" s="26" t="s">
        <v>76</v>
      </c>
      <c r="Z616" s="75" t="s">
        <v>76</v>
      </c>
      <c r="AA616" s="30" t="s">
        <v>76</v>
      </c>
      <c r="AB616" s="26"/>
      <c r="AC616" s="44"/>
    </row>
    <row r="617" spans="1:29" ht="33" hidden="1">
      <c r="A617" s="88">
        <v>607</v>
      </c>
      <c r="B617" s="79" t="s">
        <v>3058</v>
      </c>
      <c r="C617" s="148" t="s">
        <v>8</v>
      </c>
      <c r="D617" s="80" t="s">
        <v>63</v>
      </c>
      <c r="E617" s="27" t="s">
        <v>2619</v>
      </c>
      <c r="F617" s="80" t="s">
        <v>120</v>
      </c>
      <c r="G617" s="81" t="s">
        <v>2076</v>
      </c>
      <c r="H617" s="80" t="s">
        <v>2620</v>
      </c>
      <c r="I617" s="83">
        <v>45579</v>
      </c>
      <c r="J617" s="80" t="s">
        <v>187</v>
      </c>
      <c r="K617" s="80" t="s">
        <v>188</v>
      </c>
      <c r="L617" s="84" t="s">
        <v>189</v>
      </c>
      <c r="M617" s="84" t="s">
        <v>114</v>
      </c>
      <c r="N617" s="84" t="s">
        <v>72</v>
      </c>
      <c r="O617" s="33" t="s">
        <v>3059</v>
      </c>
      <c r="P617" s="28"/>
      <c r="Q617" s="49" t="s">
        <v>91</v>
      </c>
      <c r="R617" s="25"/>
      <c r="S617" s="26">
        <v>4</v>
      </c>
      <c r="T617" s="26"/>
      <c r="U617" s="61" t="s">
        <v>2661</v>
      </c>
      <c r="V617" s="66"/>
      <c r="W617" s="106"/>
      <c r="X617" s="106" t="s">
        <v>76</v>
      </c>
      <c r="Y617" s="26" t="s">
        <v>76</v>
      </c>
      <c r="Z617" s="75" t="s">
        <v>193</v>
      </c>
      <c r="AA617" s="30" t="s">
        <v>76</v>
      </c>
      <c r="AB617" s="26" t="s">
        <v>75</v>
      </c>
      <c r="AC617" s="44"/>
    </row>
    <row r="618" spans="1:29" ht="66" hidden="1">
      <c r="A618" s="88">
        <v>609</v>
      </c>
      <c r="B618" s="79" t="s">
        <v>3060</v>
      </c>
      <c r="C618" s="148" t="s">
        <v>8</v>
      </c>
      <c r="D618" s="80" t="s">
        <v>63</v>
      </c>
      <c r="E618" s="27">
        <v>702643</v>
      </c>
      <c r="F618" s="80" t="s">
        <v>831</v>
      </c>
      <c r="G618" s="81" t="s">
        <v>1041</v>
      </c>
      <c r="H618" s="80" t="s">
        <v>428</v>
      </c>
      <c r="I618" s="83">
        <v>45579</v>
      </c>
      <c r="J618" s="80" t="s">
        <v>187</v>
      </c>
      <c r="K618" s="80" t="s">
        <v>146</v>
      </c>
      <c r="L618" s="84" t="s">
        <v>189</v>
      </c>
      <c r="M618" s="84" t="s">
        <v>114</v>
      </c>
      <c r="N618" s="84" t="s">
        <v>72</v>
      </c>
      <c r="O618" s="33" t="s">
        <v>3061</v>
      </c>
      <c r="P618" s="28"/>
      <c r="Q618" s="49" t="s">
        <v>75</v>
      </c>
      <c r="R618" s="25" t="s">
        <v>91</v>
      </c>
      <c r="S618" s="26">
        <v>18</v>
      </c>
      <c r="T618" s="26">
        <v>60</v>
      </c>
      <c r="U618" s="61" t="s">
        <v>3062</v>
      </c>
      <c r="V618" s="66"/>
      <c r="W618" s="106"/>
      <c r="X618" s="106" t="s">
        <v>369</v>
      </c>
      <c r="Y618" s="26" t="s">
        <v>76</v>
      </c>
      <c r="Z618" s="75" t="s">
        <v>93</v>
      </c>
      <c r="AA618" s="30" t="s">
        <v>76</v>
      </c>
      <c r="AB618" s="26"/>
      <c r="AC618" s="44"/>
    </row>
    <row r="619" spans="1:29" ht="49.5" hidden="1">
      <c r="A619" s="88">
        <v>608</v>
      </c>
      <c r="B619" s="79" t="s">
        <v>3063</v>
      </c>
      <c r="C619" s="148" t="s">
        <v>8</v>
      </c>
      <c r="D619" s="80" t="s">
        <v>63</v>
      </c>
      <c r="E619" s="27" t="s">
        <v>3064</v>
      </c>
      <c r="F619" s="80" t="s">
        <v>120</v>
      </c>
      <c r="G619" s="81" t="s">
        <v>1413</v>
      </c>
      <c r="H619" s="80" t="s">
        <v>3065</v>
      </c>
      <c r="I619" s="83">
        <v>45579</v>
      </c>
      <c r="J619" s="80" t="s">
        <v>187</v>
      </c>
      <c r="K619" s="80" t="s">
        <v>188</v>
      </c>
      <c r="L619" s="84" t="s">
        <v>189</v>
      </c>
      <c r="M619" s="84" t="s">
        <v>114</v>
      </c>
      <c r="N619" s="84" t="s">
        <v>72</v>
      </c>
      <c r="O619" s="33" t="s">
        <v>3066</v>
      </c>
      <c r="P619" s="28"/>
      <c r="Q619" s="49" t="s">
        <v>75</v>
      </c>
      <c r="R619" s="25" t="s">
        <v>91</v>
      </c>
      <c r="S619" s="26">
        <v>18</v>
      </c>
      <c r="T619" s="26">
        <v>54</v>
      </c>
      <c r="U619" s="61" t="s">
        <v>3067</v>
      </c>
      <c r="V619" s="66"/>
      <c r="W619" s="106"/>
      <c r="X619" s="106" t="s">
        <v>369</v>
      </c>
      <c r="Y619" s="26" t="s">
        <v>76</v>
      </c>
      <c r="Z619" s="75" t="s">
        <v>106</v>
      </c>
      <c r="AA619" s="30" t="s">
        <v>76</v>
      </c>
      <c r="AB619" s="26"/>
      <c r="AC619" s="44"/>
    </row>
    <row r="620" spans="1:29" ht="33" hidden="1">
      <c r="A620" s="88">
        <v>610</v>
      </c>
      <c r="B620" s="79" t="s">
        <v>3068</v>
      </c>
      <c r="C620" s="148" t="s">
        <v>8</v>
      </c>
      <c r="D620" s="80" t="s">
        <v>63</v>
      </c>
      <c r="E620" s="27" t="s">
        <v>2311</v>
      </c>
      <c r="F620" s="80" t="s">
        <v>65</v>
      </c>
      <c r="G620" s="81" t="s">
        <v>1368</v>
      </c>
      <c r="H620" s="80" t="s">
        <v>2312</v>
      </c>
      <c r="I620" s="83">
        <v>45579</v>
      </c>
      <c r="J620" s="80" t="s">
        <v>657</v>
      </c>
      <c r="K620" s="80" t="s">
        <v>188</v>
      </c>
      <c r="L620" s="84" t="s">
        <v>189</v>
      </c>
      <c r="M620" s="84" t="s">
        <v>221</v>
      </c>
      <c r="N620" s="84" t="s">
        <v>72</v>
      </c>
      <c r="O620" s="33" t="s">
        <v>3069</v>
      </c>
      <c r="P620" s="28"/>
      <c r="Q620" s="49" t="s">
        <v>75</v>
      </c>
      <c r="R620" s="25" t="s">
        <v>91</v>
      </c>
      <c r="S620" s="26">
        <v>21</v>
      </c>
      <c r="T620" s="26">
        <v>57</v>
      </c>
      <c r="U620" s="61" t="s">
        <v>2439</v>
      </c>
      <c r="V620" s="66"/>
      <c r="W620" s="106"/>
      <c r="X620" s="106" t="s">
        <v>369</v>
      </c>
      <c r="Y620" s="26" t="s">
        <v>76</v>
      </c>
      <c r="Z620" s="75" t="s">
        <v>93</v>
      </c>
      <c r="AA620" s="30" t="s">
        <v>76</v>
      </c>
      <c r="AB620" s="26"/>
      <c r="AC620" s="44"/>
    </row>
    <row r="621" spans="1:29" ht="33" hidden="1">
      <c r="A621" s="281">
        <v>611</v>
      </c>
      <c r="B621" s="79" t="s">
        <v>3070</v>
      </c>
      <c r="C621" s="148" t="s">
        <v>8</v>
      </c>
      <c r="D621" s="80" t="s">
        <v>63</v>
      </c>
      <c r="E621" s="27" t="s">
        <v>2367</v>
      </c>
      <c r="F621" s="80" t="s">
        <v>65</v>
      </c>
      <c r="G621" s="81" t="s">
        <v>2076</v>
      </c>
      <c r="H621" s="80" t="s">
        <v>2368</v>
      </c>
      <c r="I621" s="83">
        <v>45579</v>
      </c>
      <c r="J621" s="80" t="s">
        <v>187</v>
      </c>
      <c r="K621" s="80" t="s">
        <v>188</v>
      </c>
      <c r="L621" s="84" t="s">
        <v>189</v>
      </c>
      <c r="M621" s="84" t="s">
        <v>114</v>
      </c>
      <c r="N621" s="84" t="s">
        <v>72</v>
      </c>
      <c r="O621" s="33" t="s">
        <v>3071</v>
      </c>
      <c r="P621" s="28"/>
      <c r="Q621" s="49" t="s">
        <v>75</v>
      </c>
      <c r="R621" s="25" t="s">
        <v>91</v>
      </c>
      <c r="S621" s="26">
        <v>18</v>
      </c>
      <c r="T621" s="282">
        <v>54</v>
      </c>
      <c r="U621" s="61" t="s">
        <v>3072</v>
      </c>
      <c r="V621" s="66"/>
      <c r="W621" s="106"/>
      <c r="X621" s="106" t="s">
        <v>369</v>
      </c>
      <c r="Y621" s="26" t="s">
        <v>76</v>
      </c>
      <c r="Z621" s="75" t="s">
        <v>93</v>
      </c>
      <c r="AA621" s="30" t="s">
        <v>76</v>
      </c>
      <c r="AB621" s="26"/>
      <c r="AC621" s="44"/>
    </row>
    <row r="622" spans="1:29" ht="49.5" hidden="1">
      <c r="A622" s="88">
        <v>613</v>
      </c>
      <c r="B622" s="79" t="s">
        <v>3073</v>
      </c>
      <c r="C622" s="148" t="s">
        <v>8</v>
      </c>
      <c r="D622" s="80" t="s">
        <v>63</v>
      </c>
      <c r="E622" s="27" t="s">
        <v>3074</v>
      </c>
      <c r="F622" s="80" t="s">
        <v>120</v>
      </c>
      <c r="G622" s="81" t="s">
        <v>440</v>
      </c>
      <c r="H622" s="80" t="s">
        <v>3075</v>
      </c>
      <c r="I622" s="83">
        <v>45580</v>
      </c>
      <c r="J622" s="80" t="s">
        <v>187</v>
      </c>
      <c r="K622" s="80" t="s">
        <v>156</v>
      </c>
      <c r="L622" s="84" t="s">
        <v>189</v>
      </c>
      <c r="M622" s="84" t="s">
        <v>114</v>
      </c>
      <c r="N622" s="84" t="s">
        <v>72</v>
      </c>
      <c r="O622" s="33" t="s">
        <v>3076</v>
      </c>
      <c r="P622" s="28"/>
      <c r="Q622" s="49" t="s">
        <v>75</v>
      </c>
      <c r="R622" s="25" t="s">
        <v>75</v>
      </c>
      <c r="S622" s="26">
        <v>25</v>
      </c>
      <c r="T622" s="26">
        <v>80</v>
      </c>
      <c r="U622" s="61" t="s">
        <v>3077</v>
      </c>
      <c r="V622" s="66"/>
      <c r="W622" s="106" t="s">
        <v>305</v>
      </c>
      <c r="X622" s="106" t="s">
        <v>369</v>
      </c>
      <c r="Y622" s="26" t="s">
        <v>76</v>
      </c>
      <c r="Z622" s="75" t="s">
        <v>106</v>
      </c>
      <c r="AA622" s="30" t="s">
        <v>76</v>
      </c>
      <c r="AB622" s="26"/>
      <c r="AC622" s="44"/>
    </row>
    <row r="623" spans="1:29" ht="132" hidden="1">
      <c r="A623" s="88">
        <v>614</v>
      </c>
      <c r="B623" s="79" t="s">
        <v>3078</v>
      </c>
      <c r="C623" s="148" t="s">
        <v>8</v>
      </c>
      <c r="D623" s="80" t="s">
        <v>83</v>
      </c>
      <c r="E623" s="27" t="s">
        <v>337</v>
      </c>
      <c r="F623" s="80" t="s">
        <v>338</v>
      </c>
      <c r="G623" s="81" t="s">
        <v>339</v>
      </c>
      <c r="H623" s="80" t="s">
        <v>340</v>
      </c>
      <c r="I623" s="83">
        <v>45580</v>
      </c>
      <c r="J623" s="80" t="s">
        <v>241</v>
      </c>
      <c r="K623" s="80" t="s">
        <v>198</v>
      </c>
      <c r="L623" s="84" t="s">
        <v>199</v>
      </c>
      <c r="M623" s="84" t="s">
        <v>221</v>
      </c>
      <c r="N623" s="84" t="s">
        <v>72</v>
      </c>
      <c r="O623" s="33" t="s">
        <v>3079</v>
      </c>
      <c r="P623" s="28" t="s">
        <v>3080</v>
      </c>
      <c r="Q623" s="49" t="s">
        <v>75</v>
      </c>
      <c r="R623" s="25" t="s">
        <v>75</v>
      </c>
      <c r="S623" s="26">
        <v>25</v>
      </c>
      <c r="T623" s="26">
        <v>95</v>
      </c>
      <c r="U623" s="61" t="s">
        <v>367</v>
      </c>
      <c r="V623" s="66" t="s">
        <v>75</v>
      </c>
      <c r="W623" s="106" t="s">
        <v>368</v>
      </c>
      <c r="X623" s="106" t="s">
        <v>369</v>
      </c>
      <c r="Y623" s="106" t="s">
        <v>369</v>
      </c>
      <c r="Z623" s="75" t="s">
        <v>79</v>
      </c>
      <c r="AA623" s="30" t="s">
        <v>76</v>
      </c>
      <c r="AB623" s="26"/>
      <c r="AC623" s="44"/>
    </row>
    <row r="624" spans="1:29" ht="33" hidden="1">
      <c r="A624" s="88">
        <v>615</v>
      </c>
      <c r="B624" s="79" t="s">
        <v>3081</v>
      </c>
      <c r="C624" s="148" t="s">
        <v>8</v>
      </c>
      <c r="D624" s="80" t="s">
        <v>63</v>
      </c>
      <c r="E624" s="27" t="s">
        <v>1040</v>
      </c>
      <c r="F624" s="80" t="s">
        <v>109</v>
      </c>
      <c r="G624" s="81" t="s">
        <v>1041</v>
      </c>
      <c r="H624" s="80" t="s">
        <v>1042</v>
      </c>
      <c r="I624" s="83">
        <v>45580</v>
      </c>
      <c r="J624" s="80" t="s">
        <v>111</v>
      </c>
      <c r="K624" s="80" t="s">
        <v>112</v>
      </c>
      <c r="L624" s="84" t="s">
        <v>122</v>
      </c>
      <c r="M624" s="84" t="s">
        <v>114</v>
      </c>
      <c r="N624" s="84" t="s">
        <v>72</v>
      </c>
      <c r="O624" s="33" t="s">
        <v>3082</v>
      </c>
      <c r="P624" s="28" t="s">
        <v>3083</v>
      </c>
      <c r="Q624" s="49" t="s">
        <v>75</v>
      </c>
      <c r="R624" s="25" t="s">
        <v>91</v>
      </c>
      <c r="S624" s="26">
        <v>24</v>
      </c>
      <c r="T624" s="26">
        <v>59</v>
      </c>
      <c r="U624" s="61" t="s">
        <v>3084</v>
      </c>
      <c r="V624" s="66"/>
      <c r="W624" s="106"/>
      <c r="X624" s="106" t="s">
        <v>369</v>
      </c>
      <c r="Y624" s="26" t="s">
        <v>76</v>
      </c>
      <c r="Z624" s="75" t="s">
        <v>93</v>
      </c>
      <c r="AA624" s="30"/>
      <c r="AB624" s="26"/>
      <c r="AC624" s="44"/>
    </row>
    <row r="625" spans="1:29" ht="49.5" hidden="1">
      <c r="A625" s="88">
        <v>616</v>
      </c>
      <c r="B625" s="79" t="s">
        <v>3085</v>
      </c>
      <c r="C625" s="148" t="s">
        <v>8</v>
      </c>
      <c r="D625" s="80" t="s">
        <v>63</v>
      </c>
      <c r="E625" s="27" t="s">
        <v>1548</v>
      </c>
      <c r="F625" s="80" t="s">
        <v>338</v>
      </c>
      <c r="G625" s="81" t="s">
        <v>1522</v>
      </c>
      <c r="H625" s="80" t="s">
        <v>1549</v>
      </c>
      <c r="I625" s="83">
        <v>45581</v>
      </c>
      <c r="J625" s="80" t="s">
        <v>3086</v>
      </c>
      <c r="K625" s="80" t="s">
        <v>69</v>
      </c>
      <c r="L625" s="84" t="s">
        <v>100</v>
      </c>
      <c r="M625" s="84" t="s">
        <v>221</v>
      </c>
      <c r="N625" s="84" t="s">
        <v>72</v>
      </c>
      <c r="O625" s="33" t="s">
        <v>3087</v>
      </c>
      <c r="P625" s="28"/>
      <c r="Q625" s="49" t="s">
        <v>75</v>
      </c>
      <c r="R625" s="25" t="s">
        <v>91</v>
      </c>
      <c r="S625" s="26">
        <v>19</v>
      </c>
      <c r="T625" s="26">
        <v>59</v>
      </c>
      <c r="U625" s="61" t="s">
        <v>3088</v>
      </c>
      <c r="V625" s="66"/>
      <c r="W625" s="106"/>
      <c r="X625" s="106" t="s">
        <v>369</v>
      </c>
      <c r="Y625" s="26" t="s">
        <v>76</v>
      </c>
      <c r="Z625" s="93" t="s">
        <v>93</v>
      </c>
      <c r="AA625" s="30" t="s">
        <v>76</v>
      </c>
      <c r="AB625" s="26"/>
      <c r="AC625" s="44"/>
    </row>
    <row r="626" spans="1:29" ht="49.5" hidden="1">
      <c r="A626" s="88">
        <v>612</v>
      </c>
      <c r="B626" s="79" t="s">
        <v>3089</v>
      </c>
      <c r="C626" s="148" t="s">
        <v>8</v>
      </c>
      <c r="D626" s="80" t="s">
        <v>63</v>
      </c>
      <c r="E626" s="27" t="s">
        <v>2429</v>
      </c>
      <c r="F626" s="80" t="s">
        <v>284</v>
      </c>
      <c r="G626" s="81" t="s">
        <v>1132</v>
      </c>
      <c r="H626" s="80" t="s">
        <v>2430</v>
      </c>
      <c r="I626" s="83">
        <v>45579</v>
      </c>
      <c r="J626" s="80" t="s">
        <v>187</v>
      </c>
      <c r="K626" s="80" t="s">
        <v>188</v>
      </c>
      <c r="L626" s="84" t="s">
        <v>189</v>
      </c>
      <c r="M626" s="84" t="s">
        <v>114</v>
      </c>
      <c r="N626" s="84" t="s">
        <v>72</v>
      </c>
      <c r="O626" s="33" t="s">
        <v>3090</v>
      </c>
      <c r="P626" s="28"/>
      <c r="Q626" s="49" t="s">
        <v>75</v>
      </c>
      <c r="R626" s="25" t="s">
        <v>91</v>
      </c>
      <c r="S626" s="26">
        <v>18</v>
      </c>
      <c r="T626" s="26">
        <v>54</v>
      </c>
      <c r="U626" s="61" t="s">
        <v>2439</v>
      </c>
      <c r="V626" s="66"/>
      <c r="W626" s="106"/>
      <c r="X626" s="106" t="s">
        <v>369</v>
      </c>
      <c r="Y626" s="26" t="s">
        <v>76</v>
      </c>
      <c r="Z626" s="75" t="s">
        <v>93</v>
      </c>
      <c r="AA626" s="30" t="s">
        <v>76</v>
      </c>
      <c r="AB626" s="26"/>
      <c r="AC626" s="44"/>
    </row>
    <row r="627" spans="1:29" ht="99" hidden="1">
      <c r="A627" s="88">
        <v>617</v>
      </c>
      <c r="B627" s="79" t="s">
        <v>3091</v>
      </c>
      <c r="C627" s="148" t="s">
        <v>8</v>
      </c>
      <c r="D627" s="80" t="s">
        <v>63</v>
      </c>
      <c r="E627" s="27" t="s">
        <v>2305</v>
      </c>
      <c r="F627" s="80" t="s">
        <v>120</v>
      </c>
      <c r="G627" s="81" t="s">
        <v>2100</v>
      </c>
      <c r="H627" s="80" t="s">
        <v>2306</v>
      </c>
      <c r="I627" s="83">
        <v>45581</v>
      </c>
      <c r="J627" s="80" t="s">
        <v>332</v>
      </c>
      <c r="K627" s="80" t="s">
        <v>188</v>
      </c>
      <c r="L627" s="84" t="s">
        <v>189</v>
      </c>
      <c r="M627" s="84" t="s">
        <v>200</v>
      </c>
      <c r="N627" s="84" t="s">
        <v>72</v>
      </c>
      <c r="O627" s="33" t="s">
        <v>3092</v>
      </c>
      <c r="P627" s="28" t="s">
        <v>3093</v>
      </c>
      <c r="Q627" s="49" t="s">
        <v>75</v>
      </c>
      <c r="R627" s="25" t="s">
        <v>91</v>
      </c>
      <c r="S627" s="26">
        <v>18</v>
      </c>
      <c r="T627" s="26">
        <v>66</v>
      </c>
      <c r="U627" s="61" t="s">
        <v>1560</v>
      </c>
      <c r="V627" s="66"/>
      <c r="W627" s="106"/>
      <c r="X627" s="106" t="s">
        <v>369</v>
      </c>
      <c r="Y627" s="26" t="s">
        <v>76</v>
      </c>
      <c r="Z627" s="75" t="s">
        <v>93</v>
      </c>
      <c r="AA627" s="30" t="s">
        <v>76</v>
      </c>
      <c r="AB627" s="26"/>
      <c r="AC627" s="44"/>
    </row>
    <row r="628" spans="1:29" ht="148.5" hidden="1">
      <c r="A628" s="88">
        <v>618</v>
      </c>
      <c r="B628" s="79" t="s">
        <v>3094</v>
      </c>
      <c r="C628" s="148" t="s">
        <v>8</v>
      </c>
      <c r="D628" s="80" t="s">
        <v>63</v>
      </c>
      <c r="E628" s="27" t="s">
        <v>2305</v>
      </c>
      <c r="F628" s="80" t="s">
        <v>120</v>
      </c>
      <c r="G628" s="81" t="s">
        <v>2100</v>
      </c>
      <c r="H628" s="80" t="s">
        <v>2306</v>
      </c>
      <c r="I628" s="83">
        <v>45581</v>
      </c>
      <c r="J628" s="80" t="s">
        <v>98</v>
      </c>
      <c r="K628" s="80" t="s">
        <v>69</v>
      </c>
      <c r="L628" s="84" t="s">
        <v>100</v>
      </c>
      <c r="M628" s="84" t="s">
        <v>200</v>
      </c>
      <c r="N628" s="84" t="s">
        <v>72</v>
      </c>
      <c r="O628" s="33" t="s">
        <v>3095</v>
      </c>
      <c r="P628" s="28" t="s">
        <v>3096</v>
      </c>
      <c r="Q628" s="49" t="s">
        <v>75</v>
      </c>
      <c r="R628" s="25" t="s">
        <v>91</v>
      </c>
      <c r="S628" s="26">
        <v>20</v>
      </c>
      <c r="T628" s="26">
        <v>60</v>
      </c>
      <c r="U628" s="61" t="s">
        <v>3088</v>
      </c>
      <c r="V628" s="66"/>
      <c r="W628" s="106"/>
      <c r="X628" s="106" t="s">
        <v>369</v>
      </c>
      <c r="Y628" s="26" t="s">
        <v>76</v>
      </c>
      <c r="Z628" s="93" t="s">
        <v>93</v>
      </c>
      <c r="AA628" s="30" t="s">
        <v>76</v>
      </c>
      <c r="AB628" s="26"/>
      <c r="AC628" s="44"/>
    </row>
    <row r="629" spans="1:29" ht="165" hidden="1">
      <c r="A629" s="88">
        <v>619</v>
      </c>
      <c r="B629" s="79" t="s">
        <v>3097</v>
      </c>
      <c r="C629" s="148" t="s">
        <v>8</v>
      </c>
      <c r="D629" s="80" t="s">
        <v>63</v>
      </c>
      <c r="E629" s="27" t="s">
        <v>2305</v>
      </c>
      <c r="F629" s="80" t="s">
        <v>120</v>
      </c>
      <c r="G629" s="81" t="s">
        <v>2100</v>
      </c>
      <c r="H629" s="80" t="s">
        <v>2306</v>
      </c>
      <c r="I629" s="83">
        <v>45581</v>
      </c>
      <c r="J629" s="80" t="s">
        <v>3098</v>
      </c>
      <c r="K629" s="80" t="s">
        <v>188</v>
      </c>
      <c r="L629" s="84" t="s">
        <v>189</v>
      </c>
      <c r="M629" s="84" t="s">
        <v>853</v>
      </c>
      <c r="N629" s="84" t="s">
        <v>72</v>
      </c>
      <c r="O629" s="33" t="s">
        <v>3099</v>
      </c>
      <c r="P629" s="28" t="s">
        <v>3100</v>
      </c>
      <c r="Q629" s="49" t="s">
        <v>75</v>
      </c>
      <c r="R629" s="25" t="s">
        <v>91</v>
      </c>
      <c r="S629" s="26">
        <v>18</v>
      </c>
      <c r="T629" s="26">
        <v>66</v>
      </c>
      <c r="U629" s="61" t="s">
        <v>1560</v>
      </c>
      <c r="V629" s="66"/>
      <c r="W629" s="106"/>
      <c r="X629" s="106" t="s">
        <v>369</v>
      </c>
      <c r="Y629" s="26" t="s">
        <v>76</v>
      </c>
      <c r="Z629" s="75" t="s">
        <v>93</v>
      </c>
      <c r="AA629" s="30" t="s">
        <v>76</v>
      </c>
      <c r="AB629" s="26"/>
      <c r="AC629" s="44"/>
    </row>
    <row r="630" spans="1:29" ht="49.5" hidden="1">
      <c r="A630" s="88">
        <v>620</v>
      </c>
      <c r="B630" s="79" t="s">
        <v>3101</v>
      </c>
      <c r="C630" s="148" t="s">
        <v>10</v>
      </c>
      <c r="D630" s="80" t="s">
        <v>63</v>
      </c>
      <c r="E630" s="27" t="s">
        <v>3102</v>
      </c>
      <c r="F630" s="80" t="s">
        <v>120</v>
      </c>
      <c r="G630" s="81" t="s">
        <v>3103</v>
      </c>
      <c r="H630" s="80" t="s">
        <v>3104</v>
      </c>
      <c r="I630" s="83">
        <v>45581</v>
      </c>
      <c r="J630" s="80" t="s">
        <v>1003</v>
      </c>
      <c r="K630" s="80" t="s">
        <v>86</v>
      </c>
      <c r="L630" s="84" t="s">
        <v>100</v>
      </c>
      <c r="M630" s="84" t="s">
        <v>252</v>
      </c>
      <c r="N630" s="84" t="s">
        <v>72</v>
      </c>
      <c r="O630" s="306" t="s">
        <v>3105</v>
      </c>
      <c r="P630" s="28"/>
      <c r="Q630" s="49" t="s">
        <v>75</v>
      </c>
      <c r="R630" s="25" t="s">
        <v>91</v>
      </c>
      <c r="S630" s="26">
        <v>18</v>
      </c>
      <c r="T630" s="26">
        <v>54</v>
      </c>
      <c r="U630" s="61" t="s">
        <v>3106</v>
      </c>
      <c r="V630" s="66"/>
      <c r="W630" s="106"/>
      <c r="X630" s="106" t="s">
        <v>369</v>
      </c>
      <c r="Y630" s="26" t="s">
        <v>76</v>
      </c>
      <c r="Z630" s="93" t="s">
        <v>106</v>
      </c>
      <c r="AA630" s="30" t="s">
        <v>76</v>
      </c>
      <c r="AB630" s="26"/>
      <c r="AC630" s="44"/>
    </row>
    <row r="631" spans="1:29" ht="49.5" hidden="1">
      <c r="A631" s="88">
        <v>621</v>
      </c>
      <c r="B631" s="79" t="s">
        <v>3107</v>
      </c>
      <c r="C631" s="148" t="s">
        <v>8</v>
      </c>
      <c r="D631" s="80" t="s">
        <v>63</v>
      </c>
      <c r="E631" s="27" t="s">
        <v>3108</v>
      </c>
      <c r="F631" s="80" t="s">
        <v>65</v>
      </c>
      <c r="G631" s="81" t="s">
        <v>1522</v>
      </c>
      <c r="H631" s="80" t="s">
        <v>3109</v>
      </c>
      <c r="I631" s="83">
        <v>45582</v>
      </c>
      <c r="J631" s="80" t="s">
        <v>3086</v>
      </c>
      <c r="K631" s="80" t="s">
        <v>198</v>
      </c>
      <c r="L631" s="84" t="s">
        <v>100</v>
      </c>
      <c r="M631" s="84" t="s">
        <v>221</v>
      </c>
      <c r="N631" s="84" t="s">
        <v>72</v>
      </c>
      <c r="O631" s="33" t="s">
        <v>3110</v>
      </c>
      <c r="P631" s="28" t="s">
        <v>3111</v>
      </c>
      <c r="Q631" s="49" t="s">
        <v>75</v>
      </c>
      <c r="R631" s="25" t="s">
        <v>91</v>
      </c>
      <c r="S631" s="26">
        <v>18</v>
      </c>
      <c r="T631" s="26">
        <v>52</v>
      </c>
      <c r="U631" s="61" t="s">
        <v>3112</v>
      </c>
      <c r="V631" s="66"/>
      <c r="W631" s="106"/>
      <c r="X631" s="106" t="s">
        <v>369</v>
      </c>
      <c r="Y631" s="106" t="s">
        <v>76</v>
      </c>
      <c r="Z631" s="75" t="s">
        <v>93</v>
      </c>
      <c r="AA631" s="30" t="s">
        <v>1536</v>
      </c>
      <c r="AB631" s="26"/>
      <c r="AC631" s="44"/>
    </row>
    <row r="632" spans="1:29" ht="49.5" hidden="1">
      <c r="A632" s="88">
        <v>622</v>
      </c>
      <c r="B632" s="79" t="s">
        <v>3113</v>
      </c>
      <c r="C632" s="148" t="s">
        <v>8</v>
      </c>
      <c r="D632" s="80" t="s">
        <v>63</v>
      </c>
      <c r="E632" s="27" t="s">
        <v>1694</v>
      </c>
      <c r="F632" s="80" t="s">
        <v>109</v>
      </c>
      <c r="G632" s="81" t="s">
        <v>1522</v>
      </c>
      <c r="H632" s="80" t="s">
        <v>1695</v>
      </c>
      <c r="I632" s="83">
        <v>45582</v>
      </c>
      <c r="J632" s="80" t="s">
        <v>2840</v>
      </c>
      <c r="K632" s="80" t="s">
        <v>198</v>
      </c>
      <c r="L632" s="84" t="s">
        <v>100</v>
      </c>
      <c r="M632" s="84" t="s">
        <v>784</v>
      </c>
      <c r="N632" s="84" t="s">
        <v>72</v>
      </c>
      <c r="O632" s="33" t="s">
        <v>3114</v>
      </c>
      <c r="P632" s="28"/>
      <c r="Q632" s="49" t="s">
        <v>75</v>
      </c>
      <c r="R632" s="25" t="s">
        <v>91</v>
      </c>
      <c r="S632" s="26">
        <v>18</v>
      </c>
      <c r="T632" s="26">
        <v>52</v>
      </c>
      <c r="U632" s="61" t="s">
        <v>3115</v>
      </c>
      <c r="V632" s="66"/>
      <c r="W632" s="106"/>
      <c r="X632" s="106" t="s">
        <v>369</v>
      </c>
      <c r="Y632" s="106" t="s">
        <v>76</v>
      </c>
      <c r="Z632" s="75" t="s">
        <v>93</v>
      </c>
      <c r="AA632" s="30" t="s">
        <v>76</v>
      </c>
      <c r="AB632" s="26"/>
      <c r="AC632" s="44"/>
    </row>
    <row r="633" spans="1:29" ht="49.5" hidden="1">
      <c r="A633" s="88">
        <v>623</v>
      </c>
      <c r="B633" s="79" t="s">
        <v>3116</v>
      </c>
      <c r="C633" s="148" t="s">
        <v>8</v>
      </c>
      <c r="D633" s="80" t="s">
        <v>63</v>
      </c>
      <c r="E633" s="27" t="s">
        <v>2116</v>
      </c>
      <c r="F633" s="80" t="s">
        <v>120</v>
      </c>
      <c r="G633" s="81" t="s">
        <v>1041</v>
      </c>
      <c r="H633" s="80" t="s">
        <v>2117</v>
      </c>
      <c r="I633" s="83">
        <v>45582</v>
      </c>
      <c r="J633" s="80" t="s">
        <v>111</v>
      </c>
      <c r="K633" s="80" t="s">
        <v>112</v>
      </c>
      <c r="L633" s="84" t="s">
        <v>113</v>
      </c>
      <c r="M633" s="84" t="s">
        <v>114</v>
      </c>
      <c r="N633" s="84" t="s">
        <v>72</v>
      </c>
      <c r="O633" s="33" t="s">
        <v>3117</v>
      </c>
      <c r="P633" s="28"/>
      <c r="Q633" s="49" t="s">
        <v>75</v>
      </c>
      <c r="R633" s="25" t="s">
        <v>91</v>
      </c>
      <c r="S633" s="26">
        <v>23</v>
      </c>
      <c r="T633" s="26">
        <v>67</v>
      </c>
      <c r="U633" s="61" t="s">
        <v>3118</v>
      </c>
      <c r="V633" s="66"/>
      <c r="W633" s="106"/>
      <c r="X633" s="106" t="s">
        <v>369</v>
      </c>
      <c r="Y633" s="26" t="s">
        <v>76</v>
      </c>
      <c r="Z633" s="75" t="s">
        <v>93</v>
      </c>
      <c r="AA633" s="30" t="s">
        <v>76</v>
      </c>
      <c r="AB633" s="26"/>
      <c r="AC633" s="44"/>
    </row>
    <row r="634" spans="1:29" ht="33" hidden="1">
      <c r="A634" s="88">
        <v>624</v>
      </c>
      <c r="B634" s="79" t="s">
        <v>3119</v>
      </c>
      <c r="C634" s="148" t="s">
        <v>8</v>
      </c>
      <c r="D634" s="80" t="s">
        <v>63</v>
      </c>
      <c r="E634" s="27" t="s">
        <v>2619</v>
      </c>
      <c r="F634" s="80" t="s">
        <v>120</v>
      </c>
      <c r="G634" s="81" t="s">
        <v>2076</v>
      </c>
      <c r="H634" s="80" t="s">
        <v>2620</v>
      </c>
      <c r="I634" s="83">
        <v>45582</v>
      </c>
      <c r="J634" s="80" t="s">
        <v>482</v>
      </c>
      <c r="K634" s="80" t="s">
        <v>156</v>
      </c>
      <c r="L634" s="84" t="s">
        <v>189</v>
      </c>
      <c r="M634" s="84" t="s">
        <v>71</v>
      </c>
      <c r="N634" s="84" t="s">
        <v>72</v>
      </c>
      <c r="O634" s="33" t="s">
        <v>3120</v>
      </c>
      <c r="P634" s="28"/>
      <c r="Q634" s="49" t="s">
        <v>75</v>
      </c>
      <c r="R634" s="25" t="s">
        <v>91</v>
      </c>
      <c r="S634" s="26">
        <v>18</v>
      </c>
      <c r="T634" s="26">
        <v>66</v>
      </c>
      <c r="U634" s="110" t="s">
        <v>3121</v>
      </c>
      <c r="V634" s="66"/>
      <c r="W634" s="106"/>
      <c r="X634" s="106" t="s">
        <v>369</v>
      </c>
      <c r="Y634" s="26" t="s">
        <v>76</v>
      </c>
      <c r="Z634" s="75" t="s">
        <v>93</v>
      </c>
      <c r="AA634" s="30" t="s">
        <v>76</v>
      </c>
      <c r="AB634" s="26"/>
      <c r="AC634" s="44"/>
    </row>
    <row r="635" spans="1:29" ht="49.5" hidden="1">
      <c r="A635" s="88">
        <v>625</v>
      </c>
      <c r="B635" s="79" t="s">
        <v>3122</v>
      </c>
      <c r="C635" s="148" t="s">
        <v>8</v>
      </c>
      <c r="D635" s="80" t="s">
        <v>63</v>
      </c>
      <c r="E635" s="27" t="s">
        <v>3028</v>
      </c>
      <c r="F635" s="80" t="s">
        <v>65</v>
      </c>
      <c r="G635" s="81" t="s">
        <v>2076</v>
      </c>
      <c r="H635" s="80" t="s">
        <v>3029</v>
      </c>
      <c r="I635" s="83">
        <v>45582</v>
      </c>
      <c r="J635" s="80" t="s">
        <v>657</v>
      </c>
      <c r="K635" s="80" t="s">
        <v>188</v>
      </c>
      <c r="L635" s="84" t="s">
        <v>189</v>
      </c>
      <c r="M635" s="84" t="s">
        <v>221</v>
      </c>
      <c r="N635" s="84" t="s">
        <v>72</v>
      </c>
      <c r="O635" s="33" t="s">
        <v>3123</v>
      </c>
      <c r="P635" s="28"/>
      <c r="Q635" s="49" t="s">
        <v>75</v>
      </c>
      <c r="R635" s="25" t="s">
        <v>91</v>
      </c>
      <c r="S635" s="26">
        <v>18</v>
      </c>
      <c r="T635" s="26">
        <v>54</v>
      </c>
      <c r="U635" s="61" t="s">
        <v>3124</v>
      </c>
      <c r="V635" s="66"/>
      <c r="W635" s="106"/>
      <c r="X635" s="106" t="s">
        <v>369</v>
      </c>
      <c r="Y635" s="26" t="s">
        <v>76</v>
      </c>
      <c r="Z635" s="75" t="s">
        <v>93</v>
      </c>
      <c r="AA635" s="30" t="s">
        <v>76</v>
      </c>
      <c r="AB635" s="26"/>
      <c r="AC635" s="44"/>
    </row>
    <row r="636" spans="1:29" ht="33" hidden="1">
      <c r="A636" s="88">
        <v>626</v>
      </c>
      <c r="B636" s="79" t="s">
        <v>3125</v>
      </c>
      <c r="C636" s="148" t="s">
        <v>8</v>
      </c>
      <c r="D636" s="80" t="s">
        <v>83</v>
      </c>
      <c r="E636" s="27" t="s">
        <v>668</v>
      </c>
      <c r="F636" s="80" t="s">
        <v>338</v>
      </c>
      <c r="G636" s="81" t="s">
        <v>669</v>
      </c>
      <c r="H636" s="80" t="s">
        <v>670</v>
      </c>
      <c r="I636" s="83">
        <v>45583</v>
      </c>
      <c r="J636" s="80" t="s">
        <v>250</v>
      </c>
      <c r="K636" s="80" t="s">
        <v>69</v>
      </c>
      <c r="L636" s="84" t="s">
        <v>251</v>
      </c>
      <c r="M636" s="84" t="s">
        <v>252</v>
      </c>
      <c r="N636" s="84" t="s">
        <v>72</v>
      </c>
      <c r="O636" s="33" t="s">
        <v>3126</v>
      </c>
      <c r="P636" s="28"/>
      <c r="Q636" s="49" t="s">
        <v>91</v>
      </c>
      <c r="R636" s="25"/>
      <c r="S636" s="114">
        <v>17</v>
      </c>
      <c r="T636" s="26" t="s">
        <v>313</v>
      </c>
      <c r="U636" s="61" t="s">
        <v>2765</v>
      </c>
      <c r="V636" s="66"/>
      <c r="W636" s="106"/>
      <c r="X636" s="135" t="s">
        <v>369</v>
      </c>
      <c r="Y636" s="26" t="s">
        <v>76</v>
      </c>
      <c r="Z636" s="75" t="s">
        <v>93</v>
      </c>
      <c r="AA636" s="30" t="s">
        <v>76</v>
      </c>
      <c r="AB636" s="26"/>
      <c r="AC636" s="44"/>
    </row>
    <row r="637" spans="1:29" ht="33" hidden="1">
      <c r="A637" s="88">
        <v>627</v>
      </c>
      <c r="B637" s="79" t="s">
        <v>3127</v>
      </c>
      <c r="C637" s="148" t="s">
        <v>8</v>
      </c>
      <c r="D637" s="80" t="s">
        <v>83</v>
      </c>
      <c r="E637" s="27" t="s">
        <v>668</v>
      </c>
      <c r="F637" s="80" t="s">
        <v>338</v>
      </c>
      <c r="G637" s="81" t="s">
        <v>669</v>
      </c>
      <c r="H637" s="80" t="s">
        <v>670</v>
      </c>
      <c r="I637" s="83">
        <v>45583</v>
      </c>
      <c r="J637" s="80" t="s">
        <v>1003</v>
      </c>
      <c r="K637" s="80" t="s">
        <v>299</v>
      </c>
      <c r="L637" s="84" t="s">
        <v>100</v>
      </c>
      <c r="M637" s="84" t="s">
        <v>252</v>
      </c>
      <c r="N637" s="84" t="s">
        <v>72</v>
      </c>
      <c r="O637" s="33" t="s">
        <v>3128</v>
      </c>
      <c r="P637" s="28" t="s">
        <v>3129</v>
      </c>
      <c r="Q637" s="49" t="s">
        <v>91</v>
      </c>
      <c r="R637" s="25"/>
      <c r="S637" s="26">
        <v>17</v>
      </c>
      <c r="T637" s="26"/>
      <c r="U637" s="61" t="s">
        <v>3130</v>
      </c>
      <c r="V637" s="66"/>
      <c r="W637" s="106"/>
      <c r="X637" s="106" t="s">
        <v>369</v>
      </c>
      <c r="Y637" s="26" t="s">
        <v>76</v>
      </c>
      <c r="Z637" s="93" t="s">
        <v>79</v>
      </c>
      <c r="AA637" s="30" t="s">
        <v>76</v>
      </c>
      <c r="AB637" s="26"/>
      <c r="AC637" s="44"/>
    </row>
    <row r="638" spans="1:29" ht="33" hidden="1">
      <c r="A638" s="88">
        <v>628</v>
      </c>
      <c r="B638" s="79" t="s">
        <v>3131</v>
      </c>
      <c r="C638" s="148" t="s">
        <v>8</v>
      </c>
      <c r="D638" s="80" t="s">
        <v>63</v>
      </c>
      <c r="E638" s="27" t="s">
        <v>3132</v>
      </c>
      <c r="F638" s="80" t="s">
        <v>338</v>
      </c>
      <c r="G638" s="81" t="s">
        <v>2380</v>
      </c>
      <c r="H638" s="80" t="s">
        <v>3133</v>
      </c>
      <c r="I638" s="83">
        <v>45583</v>
      </c>
      <c r="J638" s="80" t="s">
        <v>657</v>
      </c>
      <c r="K638" s="80" t="s">
        <v>198</v>
      </c>
      <c r="L638" s="84" t="s">
        <v>189</v>
      </c>
      <c r="M638" s="84" t="s">
        <v>221</v>
      </c>
      <c r="N638" s="84" t="s">
        <v>72</v>
      </c>
      <c r="O638" s="115" t="s">
        <v>3134</v>
      </c>
      <c r="P638" s="28"/>
      <c r="Q638" s="49" t="s">
        <v>75</v>
      </c>
      <c r="R638" s="196" t="s">
        <v>91</v>
      </c>
      <c r="S638" s="26">
        <v>18</v>
      </c>
      <c r="T638" s="26"/>
      <c r="U638" s="155" t="s">
        <v>3135</v>
      </c>
      <c r="V638" s="66"/>
      <c r="W638" s="106"/>
      <c r="X638" s="106" t="s">
        <v>369</v>
      </c>
      <c r="Y638" s="106" t="s">
        <v>76</v>
      </c>
      <c r="Z638" s="75" t="s">
        <v>106</v>
      </c>
      <c r="AA638" s="30" t="s">
        <v>76</v>
      </c>
      <c r="AB638" s="26"/>
      <c r="AC638" s="44"/>
    </row>
    <row r="639" spans="1:29" ht="49.5" hidden="1">
      <c r="A639" s="88">
        <v>629</v>
      </c>
      <c r="B639" s="79" t="s">
        <v>3136</v>
      </c>
      <c r="C639" s="148" t="s">
        <v>8</v>
      </c>
      <c r="D639" s="80" t="s">
        <v>63</v>
      </c>
      <c r="E639" s="27" t="s">
        <v>3132</v>
      </c>
      <c r="F639" s="80" t="s">
        <v>338</v>
      </c>
      <c r="G639" s="81" t="s">
        <v>2380</v>
      </c>
      <c r="H639" s="80" t="s">
        <v>3133</v>
      </c>
      <c r="I639" s="83">
        <v>45583</v>
      </c>
      <c r="J639" s="80" t="s">
        <v>657</v>
      </c>
      <c r="K639" s="80" t="s">
        <v>146</v>
      </c>
      <c r="L639" s="84" t="s">
        <v>189</v>
      </c>
      <c r="M639" s="84" t="s">
        <v>221</v>
      </c>
      <c r="N639" s="84" t="s">
        <v>72</v>
      </c>
      <c r="O639" s="33" t="s">
        <v>3137</v>
      </c>
      <c r="P639" s="28"/>
      <c r="Q639" s="49" t="s">
        <v>75</v>
      </c>
      <c r="R639" s="25" t="s">
        <v>91</v>
      </c>
      <c r="S639" s="26">
        <v>18</v>
      </c>
      <c r="T639" s="26">
        <v>60</v>
      </c>
      <c r="U639" s="61" t="s">
        <v>3138</v>
      </c>
      <c r="V639" s="66"/>
      <c r="W639" s="106"/>
      <c r="X639" s="106" t="s">
        <v>369</v>
      </c>
      <c r="Y639" s="26" t="s">
        <v>76</v>
      </c>
      <c r="Z639" s="75" t="s">
        <v>93</v>
      </c>
      <c r="AA639" s="30" t="s">
        <v>76</v>
      </c>
      <c r="AB639" s="26"/>
      <c r="AC639" s="44"/>
    </row>
    <row r="640" spans="1:29" ht="33" hidden="1">
      <c r="A640" s="281">
        <v>630</v>
      </c>
      <c r="B640" s="79" t="s">
        <v>3139</v>
      </c>
      <c r="C640" s="148" t="s">
        <v>8</v>
      </c>
      <c r="D640" s="80" t="s">
        <v>63</v>
      </c>
      <c r="E640" s="27" t="s">
        <v>3132</v>
      </c>
      <c r="F640" s="80" t="s">
        <v>338</v>
      </c>
      <c r="G640" s="81" t="s">
        <v>2380</v>
      </c>
      <c r="H640" s="80" t="s">
        <v>3133</v>
      </c>
      <c r="I640" s="83">
        <v>45583</v>
      </c>
      <c r="J640" s="80" t="s">
        <v>1400</v>
      </c>
      <c r="K640" s="80" t="s">
        <v>188</v>
      </c>
      <c r="L640" s="84" t="s">
        <v>189</v>
      </c>
      <c r="M640" s="84" t="s">
        <v>601</v>
      </c>
      <c r="N640" s="84" t="s">
        <v>72</v>
      </c>
      <c r="O640" s="33" t="s">
        <v>3140</v>
      </c>
      <c r="P640" s="28"/>
      <c r="Q640" s="49" t="s">
        <v>75</v>
      </c>
      <c r="R640" s="25" t="s">
        <v>91</v>
      </c>
      <c r="S640" s="26">
        <v>18</v>
      </c>
      <c r="T640" s="282">
        <v>48</v>
      </c>
      <c r="U640" s="61" t="s">
        <v>3141</v>
      </c>
      <c r="V640" s="66"/>
      <c r="W640" s="106"/>
      <c r="X640" s="106" t="s">
        <v>369</v>
      </c>
      <c r="Y640" s="26" t="s">
        <v>76</v>
      </c>
      <c r="Z640" s="75" t="s">
        <v>106</v>
      </c>
      <c r="AA640" s="30" t="s">
        <v>76</v>
      </c>
      <c r="AB640" s="26"/>
      <c r="AC640" s="44"/>
    </row>
    <row r="641" spans="1:29" ht="49.5" hidden="1">
      <c r="A641" s="88">
        <v>631</v>
      </c>
      <c r="B641" s="79" t="s">
        <v>3142</v>
      </c>
      <c r="C641" s="148" t="s">
        <v>8</v>
      </c>
      <c r="D641" s="80" t="s">
        <v>63</v>
      </c>
      <c r="E641" s="27" t="s">
        <v>3132</v>
      </c>
      <c r="F641" s="80" t="s">
        <v>338</v>
      </c>
      <c r="G641" s="81" t="s">
        <v>2380</v>
      </c>
      <c r="H641" s="80" t="s">
        <v>3133</v>
      </c>
      <c r="I641" s="83">
        <v>45583</v>
      </c>
      <c r="J641" s="80" t="s">
        <v>241</v>
      </c>
      <c r="K641" s="80" t="s">
        <v>198</v>
      </c>
      <c r="L641" s="84" t="s">
        <v>199</v>
      </c>
      <c r="M641" s="84" t="s">
        <v>221</v>
      </c>
      <c r="N641" s="84" t="s">
        <v>72</v>
      </c>
      <c r="O641" s="33" t="s">
        <v>3143</v>
      </c>
      <c r="P641" s="28" t="s">
        <v>3144</v>
      </c>
      <c r="Q641" s="49" t="s">
        <v>75</v>
      </c>
      <c r="R641" s="25" t="s">
        <v>91</v>
      </c>
      <c r="S641" s="26">
        <v>16</v>
      </c>
      <c r="T641" s="26">
        <v>52</v>
      </c>
      <c r="U641" s="61" t="s">
        <v>3145</v>
      </c>
      <c r="V641" s="66"/>
      <c r="W641" s="106"/>
      <c r="X641" s="106" t="s">
        <v>369</v>
      </c>
      <c r="Y641" s="106" t="s">
        <v>76</v>
      </c>
      <c r="Z641" s="75" t="s">
        <v>93</v>
      </c>
      <c r="AA641" s="30" t="s">
        <v>76</v>
      </c>
      <c r="AB641" s="26"/>
      <c r="AC641" s="44"/>
    </row>
    <row r="642" spans="1:29" ht="33" hidden="1">
      <c r="A642" s="88">
        <v>632</v>
      </c>
      <c r="B642" s="79" t="s">
        <v>3146</v>
      </c>
      <c r="C642" s="148" t="s">
        <v>399</v>
      </c>
      <c r="D642" s="80" t="s">
        <v>83</v>
      </c>
      <c r="E642" s="27" t="s">
        <v>3147</v>
      </c>
      <c r="F642" s="80" t="s">
        <v>109</v>
      </c>
      <c r="G642" s="81" t="s">
        <v>2362</v>
      </c>
      <c r="H642" s="80" t="s">
        <v>3148</v>
      </c>
      <c r="I642" s="83">
        <v>45583</v>
      </c>
      <c r="J642" s="80" t="s">
        <v>250</v>
      </c>
      <c r="K642" s="80" t="s">
        <v>69</v>
      </c>
      <c r="L642" s="84" t="s">
        <v>251</v>
      </c>
      <c r="M642" s="84" t="s">
        <v>252</v>
      </c>
      <c r="N642" s="84" t="s">
        <v>72</v>
      </c>
      <c r="O642" s="33" t="s">
        <v>3149</v>
      </c>
      <c r="P642" s="28"/>
      <c r="Q642" s="49" t="s">
        <v>75</v>
      </c>
      <c r="R642" s="25" t="s">
        <v>75</v>
      </c>
      <c r="S642" s="26">
        <v>28</v>
      </c>
      <c r="T642" s="55" t="s">
        <v>383</v>
      </c>
      <c r="U642" s="61" t="s">
        <v>3150</v>
      </c>
      <c r="V642" s="66" t="s">
        <v>75</v>
      </c>
      <c r="W642" s="106" t="s">
        <v>368</v>
      </c>
      <c r="X642" s="106" t="s">
        <v>369</v>
      </c>
      <c r="Y642" s="26"/>
      <c r="Z642" s="75" t="s">
        <v>93</v>
      </c>
      <c r="AA642" s="30" t="s">
        <v>76</v>
      </c>
      <c r="AB642" s="26"/>
      <c r="AC642" s="44"/>
    </row>
    <row r="643" spans="1:29" ht="33" hidden="1">
      <c r="A643" s="88">
        <v>633</v>
      </c>
      <c r="B643" s="79" t="s">
        <v>3151</v>
      </c>
      <c r="C643" s="148" t="s">
        <v>8</v>
      </c>
      <c r="D643" s="80" t="s">
        <v>63</v>
      </c>
      <c r="E643" s="109" t="s">
        <v>3054</v>
      </c>
      <c r="F643" s="80" t="s">
        <v>109</v>
      </c>
      <c r="G643" s="81" t="s">
        <v>2076</v>
      </c>
      <c r="H643" s="80" t="s">
        <v>3055</v>
      </c>
      <c r="I643" s="83">
        <v>45583</v>
      </c>
      <c r="J643" s="80" t="s">
        <v>3152</v>
      </c>
      <c r="K643" s="80" t="s">
        <v>146</v>
      </c>
      <c r="L643" s="84" t="s">
        <v>147</v>
      </c>
      <c r="M643" s="84" t="s">
        <v>601</v>
      </c>
      <c r="N643" s="84" t="s">
        <v>72</v>
      </c>
      <c r="O643" s="33" t="s">
        <v>3153</v>
      </c>
      <c r="P643" s="28"/>
      <c r="Q643" s="49" t="s">
        <v>75</v>
      </c>
      <c r="R643" s="25" t="s">
        <v>91</v>
      </c>
      <c r="S643" s="26">
        <v>18</v>
      </c>
      <c r="T643" s="26">
        <v>60</v>
      </c>
      <c r="U643" s="61" t="s">
        <v>3057</v>
      </c>
      <c r="V643" s="66"/>
      <c r="W643" s="106"/>
      <c r="X643" s="106" t="s">
        <v>369</v>
      </c>
      <c r="Y643" s="26" t="s">
        <v>76</v>
      </c>
      <c r="Z643" s="75" t="s">
        <v>93</v>
      </c>
      <c r="AA643" s="30" t="s">
        <v>76</v>
      </c>
      <c r="AB643" s="26"/>
      <c r="AC643" s="44"/>
    </row>
    <row r="644" spans="1:29" ht="33" hidden="1">
      <c r="A644" s="88">
        <v>634</v>
      </c>
      <c r="B644" s="79" t="s">
        <v>3154</v>
      </c>
      <c r="C644" s="148" t="s">
        <v>8</v>
      </c>
      <c r="D644" s="80" t="s">
        <v>63</v>
      </c>
      <c r="E644" s="27" t="s">
        <v>276</v>
      </c>
      <c r="F644" s="80" t="s">
        <v>120</v>
      </c>
      <c r="G644" s="81" t="s">
        <v>277</v>
      </c>
      <c r="H644" s="80" t="s">
        <v>278</v>
      </c>
      <c r="I644" s="83">
        <v>45584</v>
      </c>
      <c r="J644" s="80" t="s">
        <v>250</v>
      </c>
      <c r="K644" s="81" t="s">
        <v>3155</v>
      </c>
      <c r="L644" s="84" t="s">
        <v>251</v>
      </c>
      <c r="M644" s="84" t="s">
        <v>252</v>
      </c>
      <c r="N644" s="84" t="s">
        <v>72</v>
      </c>
      <c r="O644" s="33" t="s">
        <v>3156</v>
      </c>
      <c r="P644" s="28"/>
      <c r="Q644" s="49" t="s">
        <v>75</v>
      </c>
      <c r="R644" s="196" t="s">
        <v>75</v>
      </c>
      <c r="S644" s="26">
        <v>22</v>
      </c>
      <c r="T644" s="26"/>
      <c r="U644" s="61" t="s">
        <v>3157</v>
      </c>
      <c r="V644" s="66"/>
      <c r="W644" s="106" t="s">
        <v>305</v>
      </c>
      <c r="X644" s="106" t="s">
        <v>369</v>
      </c>
      <c r="Y644" s="26" t="s">
        <v>76</v>
      </c>
      <c r="Z644" s="75" t="s">
        <v>106</v>
      </c>
      <c r="AA644" s="30" t="s">
        <v>76</v>
      </c>
      <c r="AB644" s="26"/>
      <c r="AC644" s="44"/>
    </row>
    <row r="645" spans="1:29" ht="49.5" hidden="1">
      <c r="A645" s="88">
        <v>635</v>
      </c>
      <c r="B645" s="79" t="s">
        <v>3158</v>
      </c>
      <c r="C645" s="148" t="s">
        <v>8</v>
      </c>
      <c r="D645" s="80" t="s">
        <v>63</v>
      </c>
      <c r="E645" s="27" t="s">
        <v>3108</v>
      </c>
      <c r="F645" s="80" t="s">
        <v>65</v>
      </c>
      <c r="G645" s="81" t="s">
        <v>1522</v>
      </c>
      <c r="H645" s="80" t="s">
        <v>3109</v>
      </c>
      <c r="I645" s="83">
        <v>45584</v>
      </c>
      <c r="J645" s="80" t="s">
        <v>241</v>
      </c>
      <c r="K645" s="80" t="s">
        <v>198</v>
      </c>
      <c r="L645" s="84" t="s">
        <v>199</v>
      </c>
      <c r="M645" s="84" t="s">
        <v>221</v>
      </c>
      <c r="N645" s="84" t="s">
        <v>72</v>
      </c>
      <c r="O645" s="33" t="s">
        <v>3159</v>
      </c>
      <c r="P645" s="28" t="s">
        <v>3160</v>
      </c>
      <c r="Q645" s="49" t="s">
        <v>75</v>
      </c>
      <c r="R645" s="25" t="s">
        <v>91</v>
      </c>
      <c r="S645" s="114">
        <v>18</v>
      </c>
      <c r="T645" s="114">
        <v>52</v>
      </c>
      <c r="U645" s="110" t="s">
        <v>1560</v>
      </c>
      <c r="V645" s="66"/>
      <c r="W645" s="106"/>
      <c r="X645" s="106" t="s">
        <v>369</v>
      </c>
      <c r="Y645" s="106" t="s">
        <v>76</v>
      </c>
      <c r="Z645" s="75" t="s">
        <v>93</v>
      </c>
      <c r="AA645" s="30" t="s">
        <v>76</v>
      </c>
      <c r="AB645" s="26"/>
      <c r="AC645" s="44"/>
    </row>
    <row r="646" spans="1:29" ht="49.5" hidden="1">
      <c r="A646" s="88">
        <v>636</v>
      </c>
      <c r="B646" s="79" t="s">
        <v>3161</v>
      </c>
      <c r="C646" s="148" t="s">
        <v>8</v>
      </c>
      <c r="D646" s="80" t="s">
        <v>63</v>
      </c>
      <c r="E646" s="27" t="s">
        <v>2636</v>
      </c>
      <c r="F646" s="80" t="s">
        <v>120</v>
      </c>
      <c r="G646" s="81" t="s">
        <v>995</v>
      </c>
      <c r="H646" s="80" t="s">
        <v>2637</v>
      </c>
      <c r="I646" s="83">
        <v>45586</v>
      </c>
      <c r="J646" s="80" t="s">
        <v>111</v>
      </c>
      <c r="K646" s="80" t="s">
        <v>112</v>
      </c>
      <c r="L646" s="84" t="s">
        <v>122</v>
      </c>
      <c r="M646" s="84" t="s">
        <v>114</v>
      </c>
      <c r="N646" s="84" t="s">
        <v>72</v>
      </c>
      <c r="O646" s="33" t="s">
        <v>3162</v>
      </c>
      <c r="P646" s="28"/>
      <c r="Q646" s="49" t="s">
        <v>75</v>
      </c>
      <c r="R646" s="25" t="s">
        <v>75</v>
      </c>
      <c r="S646" s="26">
        <v>24</v>
      </c>
      <c r="T646" s="55">
        <v>76</v>
      </c>
      <c r="U646" s="61" t="s">
        <v>3163</v>
      </c>
      <c r="V646" s="66" t="s">
        <v>75</v>
      </c>
      <c r="W646" s="106" t="s">
        <v>305</v>
      </c>
      <c r="X646" s="106" t="s">
        <v>369</v>
      </c>
      <c r="Y646" s="106" t="s">
        <v>369</v>
      </c>
      <c r="Z646" s="75" t="s">
        <v>79</v>
      </c>
      <c r="AA646" s="30" t="s">
        <v>3164</v>
      </c>
      <c r="AB646" s="26"/>
      <c r="AC646" s="44"/>
    </row>
    <row r="647" spans="1:29" ht="49.5" hidden="1">
      <c r="A647" s="88">
        <v>637</v>
      </c>
      <c r="B647" s="79" t="s">
        <v>3165</v>
      </c>
      <c r="C647" s="148" t="s">
        <v>8</v>
      </c>
      <c r="D647" s="80" t="s">
        <v>63</v>
      </c>
      <c r="E647" s="27" t="s">
        <v>3166</v>
      </c>
      <c r="F647" s="80" t="s">
        <v>65</v>
      </c>
      <c r="G647" s="81" t="s">
        <v>1701</v>
      </c>
      <c r="H647" s="80" t="s">
        <v>3167</v>
      </c>
      <c r="I647" s="83">
        <v>45586</v>
      </c>
      <c r="J647" s="80" t="s">
        <v>111</v>
      </c>
      <c r="K647" s="80" t="s">
        <v>112</v>
      </c>
      <c r="L647" s="84" t="s">
        <v>122</v>
      </c>
      <c r="M647" s="84" t="s">
        <v>114</v>
      </c>
      <c r="N647" s="84" t="s">
        <v>72</v>
      </c>
      <c r="O647" s="33" t="s">
        <v>3168</v>
      </c>
      <c r="P647" s="28"/>
      <c r="Q647" s="49" t="s">
        <v>75</v>
      </c>
      <c r="R647" s="25" t="s">
        <v>91</v>
      </c>
      <c r="S647" s="26">
        <v>21</v>
      </c>
      <c r="T647" s="26">
        <v>65</v>
      </c>
      <c r="U647" s="151" t="s">
        <v>3169</v>
      </c>
      <c r="V647" s="66"/>
      <c r="W647" s="106"/>
      <c r="X647" s="106" t="s">
        <v>369</v>
      </c>
      <c r="Y647" s="26" t="s">
        <v>76</v>
      </c>
      <c r="Z647" s="75" t="s">
        <v>93</v>
      </c>
      <c r="AA647" s="30" t="s">
        <v>76</v>
      </c>
      <c r="AB647" s="26"/>
      <c r="AC647" s="44"/>
    </row>
    <row r="648" spans="1:29" ht="33" hidden="1">
      <c r="A648" s="88">
        <v>638</v>
      </c>
      <c r="B648" s="79" t="s">
        <v>3170</v>
      </c>
      <c r="C648" s="148" t="s">
        <v>8</v>
      </c>
      <c r="D648" s="80" t="s">
        <v>178</v>
      </c>
      <c r="E648" s="27" t="s">
        <v>3171</v>
      </c>
      <c r="F648" s="80" t="s">
        <v>109</v>
      </c>
      <c r="G648" s="81" t="s">
        <v>180</v>
      </c>
      <c r="H648" s="80" t="s">
        <v>3172</v>
      </c>
      <c r="I648" s="83">
        <v>45586</v>
      </c>
      <c r="J648" s="80" t="s">
        <v>170</v>
      </c>
      <c r="K648" s="80" t="s">
        <v>156</v>
      </c>
      <c r="L648" s="84" t="s">
        <v>171</v>
      </c>
      <c r="M648" s="84" t="s">
        <v>71</v>
      </c>
      <c r="N648" s="84" t="s">
        <v>72</v>
      </c>
      <c r="O648" s="33" t="s">
        <v>3173</v>
      </c>
      <c r="P648" s="28"/>
      <c r="Q648" s="49" t="s">
        <v>75</v>
      </c>
      <c r="R648" s="25" t="s">
        <v>91</v>
      </c>
      <c r="S648" s="26">
        <v>18</v>
      </c>
      <c r="T648" s="26">
        <v>66</v>
      </c>
      <c r="U648" s="61" t="s">
        <v>3174</v>
      </c>
      <c r="V648" s="66"/>
      <c r="W648" s="106"/>
      <c r="X648" s="106" t="s">
        <v>369</v>
      </c>
      <c r="Y648" s="26" t="s">
        <v>76</v>
      </c>
      <c r="Z648" s="75" t="s">
        <v>93</v>
      </c>
      <c r="AA648" s="30" t="s">
        <v>76</v>
      </c>
      <c r="AB648" s="26"/>
      <c r="AC648" s="44"/>
    </row>
    <row r="649" spans="1:29" ht="49.5" hidden="1">
      <c r="A649" s="88">
        <v>639</v>
      </c>
      <c r="B649" s="79" t="s">
        <v>3175</v>
      </c>
      <c r="C649" s="148" t="s">
        <v>8</v>
      </c>
      <c r="D649" s="80" t="s">
        <v>63</v>
      </c>
      <c r="E649" s="27" t="s">
        <v>2460</v>
      </c>
      <c r="F649" s="80" t="s">
        <v>338</v>
      </c>
      <c r="G649" s="81" t="s">
        <v>2214</v>
      </c>
      <c r="H649" s="80" t="s">
        <v>2461</v>
      </c>
      <c r="I649" s="83">
        <v>45587</v>
      </c>
      <c r="J649" s="80" t="s">
        <v>170</v>
      </c>
      <c r="K649" s="80" t="s">
        <v>156</v>
      </c>
      <c r="L649" s="84" t="s">
        <v>171</v>
      </c>
      <c r="M649" s="84" t="s">
        <v>71</v>
      </c>
      <c r="N649" s="84" t="s">
        <v>72</v>
      </c>
      <c r="O649" s="33" t="s">
        <v>3176</v>
      </c>
      <c r="P649" s="28"/>
      <c r="Q649" s="49" t="s">
        <v>75</v>
      </c>
      <c r="R649" s="25" t="s">
        <v>91</v>
      </c>
      <c r="S649" s="26">
        <v>18</v>
      </c>
      <c r="T649" s="26">
        <v>66</v>
      </c>
      <c r="U649" s="61" t="s">
        <v>3177</v>
      </c>
      <c r="V649" s="66"/>
      <c r="W649" s="106"/>
      <c r="X649" s="106" t="s">
        <v>369</v>
      </c>
      <c r="Y649" s="26" t="s">
        <v>76</v>
      </c>
      <c r="Z649" s="75" t="s">
        <v>93</v>
      </c>
      <c r="AA649" s="30" t="s">
        <v>76</v>
      </c>
      <c r="AB649" s="26"/>
      <c r="AC649" s="44"/>
    </row>
    <row r="650" spans="1:29" ht="33" hidden="1">
      <c r="A650" s="88">
        <v>640</v>
      </c>
      <c r="B650" s="79" t="s">
        <v>3178</v>
      </c>
      <c r="C650" s="148" t="s">
        <v>8</v>
      </c>
      <c r="D650" s="80" t="s">
        <v>63</v>
      </c>
      <c r="E650" s="109" t="s">
        <v>3054</v>
      </c>
      <c r="F650" s="80" t="s">
        <v>109</v>
      </c>
      <c r="G650" s="81" t="s">
        <v>2076</v>
      </c>
      <c r="H650" s="80" t="s">
        <v>3055</v>
      </c>
      <c r="I650" s="83">
        <v>45587</v>
      </c>
      <c r="J650" s="80" t="s">
        <v>145</v>
      </c>
      <c r="K650" s="80" t="s">
        <v>146</v>
      </c>
      <c r="L650" s="84" t="s">
        <v>147</v>
      </c>
      <c r="M650" s="84" t="s">
        <v>148</v>
      </c>
      <c r="N650" s="84" t="s">
        <v>72</v>
      </c>
      <c r="O650" s="33" t="s">
        <v>3179</v>
      </c>
      <c r="P650" s="28"/>
      <c r="Q650" s="49" t="s">
        <v>75</v>
      </c>
      <c r="R650" s="25" t="s">
        <v>91</v>
      </c>
      <c r="S650" s="26">
        <v>18</v>
      </c>
      <c r="T650" s="26">
        <v>60</v>
      </c>
      <c r="U650" s="61" t="s">
        <v>2442</v>
      </c>
      <c r="V650" s="66"/>
      <c r="W650" s="106"/>
      <c r="X650" s="106" t="s">
        <v>369</v>
      </c>
      <c r="Y650" s="26" t="s">
        <v>76</v>
      </c>
      <c r="Z650" s="75" t="s">
        <v>93</v>
      </c>
      <c r="AA650" s="30" t="s">
        <v>76</v>
      </c>
      <c r="AB650" s="26"/>
      <c r="AC650" s="44"/>
    </row>
    <row r="651" spans="1:29" ht="33" hidden="1">
      <c r="A651" s="88">
        <v>641</v>
      </c>
      <c r="B651" s="79" t="s">
        <v>3180</v>
      </c>
      <c r="C651" s="148" t="s">
        <v>8</v>
      </c>
      <c r="D651" s="80" t="s">
        <v>83</v>
      </c>
      <c r="E651" s="27" t="s">
        <v>588</v>
      </c>
      <c r="F651" s="80" t="s">
        <v>109</v>
      </c>
      <c r="G651" s="81" t="s">
        <v>589</v>
      </c>
      <c r="H651" s="80" t="s">
        <v>590</v>
      </c>
      <c r="I651" s="83">
        <v>45587</v>
      </c>
      <c r="J651" s="80" t="s">
        <v>111</v>
      </c>
      <c r="K651" s="80" t="s">
        <v>112</v>
      </c>
      <c r="L651" s="84" t="s">
        <v>122</v>
      </c>
      <c r="M651" s="84" t="s">
        <v>114</v>
      </c>
      <c r="N651" s="84" t="s">
        <v>72</v>
      </c>
      <c r="O651" s="33" t="s">
        <v>3181</v>
      </c>
      <c r="P651" s="28"/>
      <c r="Q651" s="49" t="s">
        <v>91</v>
      </c>
      <c r="R651" s="25"/>
      <c r="S651" s="26">
        <v>9</v>
      </c>
      <c r="T651" s="26"/>
      <c r="U651" s="61" t="s">
        <v>3182</v>
      </c>
      <c r="V651" s="66"/>
      <c r="W651" s="106"/>
      <c r="X651" s="106" t="s">
        <v>76</v>
      </c>
      <c r="Y651" s="26" t="s">
        <v>76</v>
      </c>
      <c r="Z651" s="75" t="s">
        <v>193</v>
      </c>
      <c r="AA651" s="30" t="s">
        <v>76</v>
      </c>
      <c r="AB651" s="26"/>
      <c r="AC651" s="44"/>
    </row>
    <row r="652" spans="1:29" ht="33" hidden="1">
      <c r="A652" s="88">
        <v>642</v>
      </c>
      <c r="B652" s="79" t="s">
        <v>3183</v>
      </c>
      <c r="C652" s="148" t="s">
        <v>8</v>
      </c>
      <c r="D652" s="80" t="s">
        <v>83</v>
      </c>
      <c r="E652" s="27" t="s">
        <v>588</v>
      </c>
      <c r="F652" s="80" t="s">
        <v>109</v>
      </c>
      <c r="G652" s="81" t="s">
        <v>589</v>
      </c>
      <c r="H652" s="80" t="s">
        <v>590</v>
      </c>
      <c r="I652" s="83">
        <v>45587</v>
      </c>
      <c r="J652" s="80" t="s">
        <v>250</v>
      </c>
      <c r="K652" s="80" t="s">
        <v>491</v>
      </c>
      <c r="L652" s="84" t="s">
        <v>251</v>
      </c>
      <c r="M652" s="84" t="s">
        <v>252</v>
      </c>
      <c r="N652" s="84" t="s">
        <v>72</v>
      </c>
      <c r="O652" s="33" t="s">
        <v>3184</v>
      </c>
      <c r="P652" s="28"/>
      <c r="Q652" s="49" t="s">
        <v>91</v>
      </c>
      <c r="R652" s="25"/>
      <c r="S652" s="26">
        <v>15</v>
      </c>
      <c r="T652" s="26"/>
      <c r="U652" s="61" t="s">
        <v>3185</v>
      </c>
      <c r="V652" s="66"/>
      <c r="W652" s="106"/>
      <c r="X652" s="106" t="s">
        <v>76</v>
      </c>
      <c r="Y652" s="26" t="s">
        <v>76</v>
      </c>
      <c r="Z652" s="75" t="s">
        <v>193</v>
      </c>
      <c r="AA652" s="30" t="s">
        <v>76</v>
      </c>
      <c r="AB652" s="26"/>
      <c r="AC652" s="44"/>
    </row>
    <row r="653" spans="1:29" ht="33" hidden="1">
      <c r="A653" s="88">
        <v>643</v>
      </c>
      <c r="B653" s="79" t="s">
        <v>3186</v>
      </c>
      <c r="C653" s="148" t="s">
        <v>8</v>
      </c>
      <c r="D653" s="80" t="s">
        <v>83</v>
      </c>
      <c r="E653" s="27" t="s">
        <v>588</v>
      </c>
      <c r="F653" s="80" t="s">
        <v>109</v>
      </c>
      <c r="G653" s="81" t="s">
        <v>589</v>
      </c>
      <c r="H653" s="80" t="s">
        <v>590</v>
      </c>
      <c r="I653" s="83">
        <v>45587</v>
      </c>
      <c r="J653" s="80" t="s">
        <v>3187</v>
      </c>
      <c r="K653" s="80" t="s">
        <v>146</v>
      </c>
      <c r="L653" s="84" t="s">
        <v>147</v>
      </c>
      <c r="M653" s="84" t="s">
        <v>114</v>
      </c>
      <c r="N653" s="84" t="s">
        <v>72</v>
      </c>
      <c r="O653" s="33" t="s">
        <v>3188</v>
      </c>
      <c r="P653" s="28"/>
      <c r="Q653" s="49" t="s">
        <v>91</v>
      </c>
      <c r="R653" s="25"/>
      <c r="S653" s="26">
        <v>17</v>
      </c>
      <c r="T653" s="26"/>
      <c r="U653" s="61" t="s">
        <v>3189</v>
      </c>
      <c r="V653" s="66"/>
      <c r="W653" s="106"/>
      <c r="X653" s="106" t="s">
        <v>76</v>
      </c>
      <c r="Y653" s="26" t="s">
        <v>76</v>
      </c>
      <c r="Z653" s="75" t="s">
        <v>193</v>
      </c>
      <c r="AA653" s="30" t="s">
        <v>76</v>
      </c>
      <c r="AB653" s="26"/>
      <c r="AC653" s="44"/>
    </row>
    <row r="654" spans="1:29" ht="33" hidden="1">
      <c r="A654" s="88">
        <v>644</v>
      </c>
      <c r="B654" s="79" t="s">
        <v>3190</v>
      </c>
      <c r="C654" s="148" t="s">
        <v>8</v>
      </c>
      <c r="D654" s="80" t="s">
        <v>63</v>
      </c>
      <c r="E654" s="27" t="s">
        <v>2011</v>
      </c>
      <c r="F654" s="80" t="s">
        <v>120</v>
      </c>
      <c r="G654" s="81" t="s">
        <v>1368</v>
      </c>
      <c r="H654" s="80" t="s">
        <v>1856</v>
      </c>
      <c r="I654" s="83">
        <v>45587</v>
      </c>
      <c r="J654" s="80" t="s">
        <v>1954</v>
      </c>
      <c r="K654" s="80" t="s">
        <v>156</v>
      </c>
      <c r="L654" s="84" t="s">
        <v>171</v>
      </c>
      <c r="M654" s="84" t="s">
        <v>114</v>
      </c>
      <c r="N654" s="84" t="s">
        <v>72</v>
      </c>
      <c r="O654" s="33" t="s">
        <v>3191</v>
      </c>
      <c r="P654" s="28"/>
      <c r="Q654" s="49" t="s">
        <v>91</v>
      </c>
      <c r="R654" s="25"/>
      <c r="S654" s="26">
        <v>16</v>
      </c>
      <c r="T654" s="26"/>
      <c r="U654" s="61" t="s">
        <v>3192</v>
      </c>
      <c r="V654" s="66"/>
      <c r="W654" s="106"/>
      <c r="X654" s="106" t="s">
        <v>76</v>
      </c>
      <c r="Y654" s="26" t="s">
        <v>76</v>
      </c>
      <c r="Z654" s="75" t="s">
        <v>193</v>
      </c>
      <c r="AA654" s="30" t="s">
        <v>76</v>
      </c>
      <c r="AB654" s="26"/>
      <c r="AC654" s="44"/>
    </row>
    <row r="655" spans="1:29" ht="33" hidden="1">
      <c r="A655" s="88">
        <v>645</v>
      </c>
      <c r="B655" s="79" t="s">
        <v>3193</v>
      </c>
      <c r="C655" s="148" t="s">
        <v>8</v>
      </c>
      <c r="D655" s="80" t="s">
        <v>63</v>
      </c>
      <c r="E655" s="27" t="s">
        <v>2011</v>
      </c>
      <c r="F655" s="80" t="s">
        <v>120</v>
      </c>
      <c r="G655" s="81" t="s">
        <v>1368</v>
      </c>
      <c r="H655" s="80" t="s">
        <v>1856</v>
      </c>
      <c r="I655" s="83">
        <v>45587</v>
      </c>
      <c r="J655" s="80" t="s">
        <v>111</v>
      </c>
      <c r="K655" s="80" t="s">
        <v>112</v>
      </c>
      <c r="L655" s="84" t="s">
        <v>122</v>
      </c>
      <c r="M655" s="84" t="s">
        <v>114</v>
      </c>
      <c r="N655" s="84" t="s">
        <v>72</v>
      </c>
      <c r="O655" s="33" t="s">
        <v>3194</v>
      </c>
      <c r="P655" s="28"/>
      <c r="Q655" s="49" t="s">
        <v>75</v>
      </c>
      <c r="R655" s="25" t="s">
        <v>91</v>
      </c>
      <c r="S655" s="26">
        <v>20</v>
      </c>
      <c r="T655" s="26">
        <v>67</v>
      </c>
      <c r="U655" s="61" t="s">
        <v>3195</v>
      </c>
      <c r="V655" s="66"/>
      <c r="W655" s="106"/>
      <c r="X655" s="106" t="s">
        <v>369</v>
      </c>
      <c r="Y655" s="26" t="s">
        <v>76</v>
      </c>
      <c r="Z655" s="75" t="s">
        <v>93</v>
      </c>
      <c r="AA655" s="30" t="s">
        <v>76</v>
      </c>
      <c r="AB655" s="26"/>
      <c r="AC655" s="44"/>
    </row>
    <row r="656" spans="1:29" ht="49.5" hidden="1">
      <c r="A656" s="88">
        <v>646</v>
      </c>
      <c r="B656" s="79" t="s">
        <v>3196</v>
      </c>
      <c r="C656" s="148" t="s">
        <v>10</v>
      </c>
      <c r="D656" s="80" t="s">
        <v>63</v>
      </c>
      <c r="E656" s="27" t="s">
        <v>3197</v>
      </c>
      <c r="F656" s="80" t="s">
        <v>120</v>
      </c>
      <c r="G656" s="81" t="s">
        <v>3198</v>
      </c>
      <c r="H656" s="80" t="s">
        <v>3199</v>
      </c>
      <c r="I656" s="83">
        <v>45588</v>
      </c>
      <c r="J656" s="80" t="s">
        <v>1003</v>
      </c>
      <c r="K656" s="80" t="s">
        <v>69</v>
      </c>
      <c r="L656" s="84" t="s">
        <v>100</v>
      </c>
      <c r="M656" s="84" t="s">
        <v>252</v>
      </c>
      <c r="N656" s="84" t="s">
        <v>72</v>
      </c>
      <c r="O656" s="306" t="s">
        <v>3200</v>
      </c>
      <c r="P656" s="28"/>
      <c r="Q656" s="49" t="s">
        <v>91</v>
      </c>
      <c r="R656" s="25"/>
      <c r="S656" s="26">
        <v>13</v>
      </c>
      <c r="T656" s="26"/>
      <c r="U656" s="61" t="s">
        <v>3201</v>
      </c>
      <c r="V656" s="66"/>
      <c r="W656" s="106"/>
      <c r="X656" s="106" t="s">
        <v>76</v>
      </c>
      <c r="Y656" s="26" t="s">
        <v>76</v>
      </c>
      <c r="Z656" s="93" t="s">
        <v>193</v>
      </c>
      <c r="AA656" s="30" t="s">
        <v>76</v>
      </c>
      <c r="AB656" s="26"/>
      <c r="AC656" s="44"/>
    </row>
    <row r="657" spans="1:29" ht="49.5" hidden="1">
      <c r="A657" s="88">
        <v>647</v>
      </c>
      <c r="B657" s="79" t="s">
        <v>3202</v>
      </c>
      <c r="C657" s="148" t="s">
        <v>8</v>
      </c>
      <c r="D657" s="80" t="s">
        <v>63</v>
      </c>
      <c r="E657" s="27" t="s">
        <v>2404</v>
      </c>
      <c r="F657" s="80" t="s">
        <v>65</v>
      </c>
      <c r="G657" s="81" t="s">
        <v>1132</v>
      </c>
      <c r="H657" s="80" t="s">
        <v>2405</v>
      </c>
      <c r="I657" s="83">
        <v>45589</v>
      </c>
      <c r="J657" s="80" t="s">
        <v>3203</v>
      </c>
      <c r="K657" s="80" t="s">
        <v>146</v>
      </c>
      <c r="L657" s="84" t="s">
        <v>147</v>
      </c>
      <c r="M657" s="84" t="s">
        <v>252</v>
      </c>
      <c r="N657" s="84" t="s">
        <v>72</v>
      </c>
      <c r="O657" s="33" t="s">
        <v>3204</v>
      </c>
      <c r="P657" s="28"/>
      <c r="Q657" s="49" t="s">
        <v>91</v>
      </c>
      <c r="R657" s="25"/>
      <c r="S657" s="26">
        <v>17</v>
      </c>
      <c r="T657" s="26"/>
      <c r="U657" s="61" t="s">
        <v>3189</v>
      </c>
      <c r="V657" s="66"/>
      <c r="W657" s="106"/>
      <c r="X657" s="106" t="s">
        <v>76</v>
      </c>
      <c r="Y657" s="26" t="s">
        <v>76</v>
      </c>
      <c r="Z657" s="75" t="s">
        <v>193</v>
      </c>
      <c r="AA657" s="30" t="s">
        <v>76</v>
      </c>
      <c r="AB657" s="26"/>
      <c r="AC657" s="44"/>
    </row>
    <row r="658" spans="1:29" ht="49.5" hidden="1">
      <c r="A658" s="88">
        <v>648</v>
      </c>
      <c r="B658" s="79" t="s">
        <v>3205</v>
      </c>
      <c r="C658" s="148" t="s">
        <v>8</v>
      </c>
      <c r="D658" s="80" t="s">
        <v>63</v>
      </c>
      <c r="E658" s="27" t="s">
        <v>1694</v>
      </c>
      <c r="F658" s="80" t="s">
        <v>109</v>
      </c>
      <c r="G658" s="81" t="s">
        <v>1522</v>
      </c>
      <c r="H658" s="80" t="s">
        <v>1695</v>
      </c>
      <c r="I658" s="83">
        <v>45589</v>
      </c>
      <c r="J658" s="80" t="s">
        <v>332</v>
      </c>
      <c r="K658" s="80" t="s">
        <v>69</v>
      </c>
      <c r="L658" s="84" t="s">
        <v>189</v>
      </c>
      <c r="M658" s="84" t="s">
        <v>101</v>
      </c>
      <c r="N658" s="84" t="s">
        <v>72</v>
      </c>
      <c r="O658" s="33" t="s">
        <v>3206</v>
      </c>
      <c r="P658" s="28"/>
      <c r="Q658" s="49" t="s">
        <v>75</v>
      </c>
      <c r="R658" s="25" t="s">
        <v>75</v>
      </c>
      <c r="S658" s="26">
        <v>26</v>
      </c>
      <c r="T658" s="26">
        <v>88</v>
      </c>
      <c r="U658" s="61"/>
      <c r="V658" s="66" t="s">
        <v>75</v>
      </c>
      <c r="W658" s="106" t="s">
        <v>368</v>
      </c>
      <c r="X658" s="106" t="s">
        <v>369</v>
      </c>
      <c r="Y658" s="26" t="s">
        <v>369</v>
      </c>
      <c r="Z658" s="75" t="s">
        <v>79</v>
      </c>
      <c r="AA658" s="30" t="s">
        <v>76</v>
      </c>
      <c r="AB658" s="26"/>
      <c r="AC658" s="44"/>
    </row>
    <row r="659" spans="1:29" ht="33" hidden="1">
      <c r="A659" s="88">
        <v>649</v>
      </c>
      <c r="B659" s="79" t="s">
        <v>3207</v>
      </c>
      <c r="C659" s="148" t="s">
        <v>8</v>
      </c>
      <c r="D659" s="80" t="s">
        <v>63</v>
      </c>
      <c r="E659" s="109" t="s">
        <v>3208</v>
      </c>
      <c r="F659" s="80" t="s">
        <v>65</v>
      </c>
      <c r="G659" s="81" t="s">
        <v>2762</v>
      </c>
      <c r="H659" s="80" t="s">
        <v>3209</v>
      </c>
      <c r="I659" s="83">
        <v>45589</v>
      </c>
      <c r="J659" s="80" t="s">
        <v>197</v>
      </c>
      <c r="K659" s="80" t="s">
        <v>198</v>
      </c>
      <c r="L659" s="84" t="s">
        <v>199</v>
      </c>
      <c r="M659" s="84" t="s">
        <v>200</v>
      </c>
      <c r="N659" s="84" t="s">
        <v>72</v>
      </c>
      <c r="O659" s="33" t="s">
        <v>3210</v>
      </c>
      <c r="P659" s="28"/>
      <c r="Q659" s="49" t="s">
        <v>75</v>
      </c>
      <c r="R659" s="25" t="s">
        <v>91</v>
      </c>
      <c r="S659" s="114">
        <v>18</v>
      </c>
      <c r="T659" s="114">
        <v>52</v>
      </c>
      <c r="U659" s="110" t="s">
        <v>3211</v>
      </c>
      <c r="V659" s="66"/>
      <c r="W659" s="106"/>
      <c r="X659" s="106" t="s">
        <v>369</v>
      </c>
      <c r="Y659" s="106" t="s">
        <v>76</v>
      </c>
      <c r="Z659" s="75" t="s">
        <v>93</v>
      </c>
      <c r="AA659" s="30" t="s">
        <v>76</v>
      </c>
      <c r="AB659" s="26"/>
      <c r="AC659" s="44"/>
    </row>
    <row r="660" spans="1:29" ht="33" hidden="1">
      <c r="A660" s="88">
        <v>650</v>
      </c>
      <c r="B660" s="79" t="s">
        <v>3212</v>
      </c>
      <c r="C660" s="148" t="s">
        <v>8</v>
      </c>
      <c r="D660" s="80" t="s">
        <v>63</v>
      </c>
      <c r="E660" s="27" t="s">
        <v>2586</v>
      </c>
      <c r="F660" s="80" t="s">
        <v>120</v>
      </c>
      <c r="G660" s="81" t="s">
        <v>1419</v>
      </c>
      <c r="H660" s="80" t="s">
        <v>2587</v>
      </c>
      <c r="I660" s="83">
        <v>45590</v>
      </c>
      <c r="J660" s="80" t="s">
        <v>332</v>
      </c>
      <c r="K660" s="80" t="s">
        <v>156</v>
      </c>
      <c r="L660" s="84" t="s">
        <v>189</v>
      </c>
      <c r="M660" s="84" t="s">
        <v>101</v>
      </c>
      <c r="N660" s="84" t="s">
        <v>72</v>
      </c>
      <c r="O660" s="33" t="s">
        <v>3213</v>
      </c>
      <c r="P660" s="28"/>
      <c r="Q660" s="49" t="s">
        <v>75</v>
      </c>
      <c r="R660" s="25" t="s">
        <v>91</v>
      </c>
      <c r="S660" s="26">
        <v>18</v>
      </c>
      <c r="T660" s="26">
        <v>66</v>
      </c>
      <c r="U660" s="61" t="s">
        <v>3214</v>
      </c>
      <c r="V660" s="66"/>
      <c r="W660" s="106"/>
      <c r="X660" s="106" t="s">
        <v>369</v>
      </c>
      <c r="Y660" s="26" t="s">
        <v>76</v>
      </c>
      <c r="Z660" s="75" t="s">
        <v>93</v>
      </c>
      <c r="AA660" s="30" t="s">
        <v>76</v>
      </c>
      <c r="AB660" s="26"/>
      <c r="AC660" s="44"/>
    </row>
    <row r="661" spans="1:29" ht="49.5" hidden="1">
      <c r="A661" s="88">
        <v>651</v>
      </c>
      <c r="B661" s="79" t="s">
        <v>3215</v>
      </c>
      <c r="C661" s="148" t="s">
        <v>8</v>
      </c>
      <c r="D661" s="80" t="s">
        <v>63</v>
      </c>
      <c r="E661" s="27" t="s">
        <v>3216</v>
      </c>
      <c r="F661" s="80" t="s">
        <v>65</v>
      </c>
      <c r="G661" s="81" t="s">
        <v>1132</v>
      </c>
      <c r="H661" s="80" t="s">
        <v>3217</v>
      </c>
      <c r="I661" s="83">
        <v>45590</v>
      </c>
      <c r="J661" s="80" t="s">
        <v>250</v>
      </c>
      <c r="K661" s="80" t="s">
        <v>491</v>
      </c>
      <c r="L661" s="84" t="s">
        <v>251</v>
      </c>
      <c r="M661" s="84" t="s">
        <v>252</v>
      </c>
      <c r="N661" s="84" t="s">
        <v>920</v>
      </c>
      <c r="O661" s="33" t="s">
        <v>3218</v>
      </c>
      <c r="P661" s="28"/>
      <c r="Q661" s="49" t="s">
        <v>75</v>
      </c>
      <c r="R661" s="25" t="s">
        <v>91</v>
      </c>
      <c r="S661" s="26">
        <v>18</v>
      </c>
      <c r="T661" s="26"/>
      <c r="U661" s="61" t="s">
        <v>3219</v>
      </c>
      <c r="V661" s="66"/>
      <c r="W661" s="106"/>
      <c r="X661" s="106" t="s">
        <v>369</v>
      </c>
      <c r="Y661" s="26" t="s">
        <v>76</v>
      </c>
      <c r="Z661" s="75" t="s">
        <v>93</v>
      </c>
      <c r="AA661" s="30" t="s">
        <v>76</v>
      </c>
      <c r="AB661" s="26"/>
      <c r="AC661" s="44"/>
    </row>
    <row r="662" spans="1:29" ht="49.5" hidden="1">
      <c r="A662" s="88">
        <v>652</v>
      </c>
      <c r="B662" s="79" t="s">
        <v>3220</v>
      </c>
      <c r="C662" s="148" t="s">
        <v>8</v>
      </c>
      <c r="D662" s="80" t="s">
        <v>83</v>
      </c>
      <c r="E662" s="27" t="s">
        <v>2384</v>
      </c>
      <c r="F662" s="80" t="s">
        <v>65</v>
      </c>
      <c r="G662" s="81" t="s">
        <v>339</v>
      </c>
      <c r="H662" s="80" t="s">
        <v>2385</v>
      </c>
      <c r="I662" s="83">
        <v>45590</v>
      </c>
      <c r="J662" s="80" t="s">
        <v>111</v>
      </c>
      <c r="K662" s="80" t="s">
        <v>112</v>
      </c>
      <c r="L662" s="84" t="s">
        <v>122</v>
      </c>
      <c r="M662" s="84" t="s">
        <v>114</v>
      </c>
      <c r="N662" s="84" t="s">
        <v>72</v>
      </c>
      <c r="O662" s="33" t="s">
        <v>3221</v>
      </c>
      <c r="P662" s="28"/>
      <c r="Q662" s="49" t="s">
        <v>75</v>
      </c>
      <c r="R662" s="25" t="s">
        <v>91</v>
      </c>
      <c r="S662" s="26">
        <v>21</v>
      </c>
      <c r="T662" s="26">
        <v>61</v>
      </c>
      <c r="U662" s="61" t="s">
        <v>3222</v>
      </c>
      <c r="V662" s="66"/>
      <c r="W662" s="106"/>
      <c r="X662" s="106" t="s">
        <v>369</v>
      </c>
      <c r="Y662" s="26" t="s">
        <v>76</v>
      </c>
      <c r="Z662" s="75" t="s">
        <v>93</v>
      </c>
      <c r="AA662" s="30" t="s">
        <v>76</v>
      </c>
      <c r="AB662" s="26"/>
      <c r="AC662" s="44"/>
    </row>
    <row r="663" spans="1:29" ht="33" hidden="1">
      <c r="A663" s="88">
        <v>653</v>
      </c>
      <c r="B663" s="79" t="s">
        <v>3223</v>
      </c>
      <c r="C663" s="148" t="s">
        <v>8</v>
      </c>
      <c r="D663" s="80" t="s">
        <v>63</v>
      </c>
      <c r="E663" s="27" t="s">
        <v>276</v>
      </c>
      <c r="F663" s="80" t="s">
        <v>120</v>
      </c>
      <c r="G663" s="81" t="s">
        <v>277</v>
      </c>
      <c r="H663" s="80" t="s">
        <v>278</v>
      </c>
      <c r="I663" s="83">
        <v>45591</v>
      </c>
      <c r="J663" s="80" t="s">
        <v>2840</v>
      </c>
      <c r="K663" s="80" t="s">
        <v>69</v>
      </c>
      <c r="L663" s="84" t="s">
        <v>100</v>
      </c>
      <c r="M663" s="84" t="s">
        <v>784</v>
      </c>
      <c r="N663" s="84" t="s">
        <v>72</v>
      </c>
      <c r="O663" s="33" t="s">
        <v>3224</v>
      </c>
      <c r="P663" s="28"/>
      <c r="Q663" s="49" t="s">
        <v>75</v>
      </c>
      <c r="R663" s="25" t="s">
        <v>91</v>
      </c>
      <c r="S663" s="26">
        <v>20</v>
      </c>
      <c r="T663" s="26" t="s">
        <v>313</v>
      </c>
      <c r="U663" s="61" t="s">
        <v>3225</v>
      </c>
      <c r="V663" s="66"/>
      <c r="W663" s="106"/>
      <c r="X663" s="106" t="s">
        <v>369</v>
      </c>
      <c r="Y663" s="26" t="s">
        <v>76</v>
      </c>
      <c r="Z663" s="75" t="s">
        <v>93</v>
      </c>
      <c r="AA663" s="30" t="s">
        <v>76</v>
      </c>
      <c r="AB663" s="26"/>
      <c r="AC663" s="44"/>
    </row>
    <row r="664" spans="1:29" ht="49.5" hidden="1">
      <c r="A664" s="88">
        <v>654</v>
      </c>
      <c r="B664" s="79" t="s">
        <v>3226</v>
      </c>
      <c r="C664" s="148" t="s">
        <v>8</v>
      </c>
      <c r="D664" s="80" t="s">
        <v>63</v>
      </c>
      <c r="E664" s="27" t="s">
        <v>1040</v>
      </c>
      <c r="F664" s="80" t="s">
        <v>109</v>
      </c>
      <c r="G664" s="81" t="s">
        <v>1041</v>
      </c>
      <c r="H664" s="80" t="s">
        <v>1042</v>
      </c>
      <c r="I664" s="83">
        <v>45593</v>
      </c>
      <c r="J664" s="80" t="s">
        <v>111</v>
      </c>
      <c r="K664" s="80" t="s">
        <v>112</v>
      </c>
      <c r="L664" s="84" t="s">
        <v>113</v>
      </c>
      <c r="M664" s="84" t="s">
        <v>114</v>
      </c>
      <c r="N664" s="84" t="s">
        <v>72</v>
      </c>
      <c r="O664" s="33" t="s">
        <v>3227</v>
      </c>
      <c r="P664" s="28"/>
      <c r="Q664" s="49" t="s">
        <v>75</v>
      </c>
      <c r="R664" s="25" t="s">
        <v>91</v>
      </c>
      <c r="S664" s="26">
        <v>23</v>
      </c>
      <c r="T664" s="26">
        <v>65</v>
      </c>
      <c r="U664" s="61" t="s">
        <v>3228</v>
      </c>
      <c r="V664" s="66"/>
      <c r="W664" s="106"/>
      <c r="X664" s="106" t="s">
        <v>369</v>
      </c>
      <c r="Y664" s="26" t="s">
        <v>76</v>
      </c>
      <c r="Z664" s="75" t="s">
        <v>93</v>
      </c>
      <c r="AA664" s="30" t="s">
        <v>76</v>
      </c>
      <c r="AB664" s="26"/>
      <c r="AC664" s="44"/>
    </row>
    <row r="665" spans="1:29" ht="33" hidden="1">
      <c r="A665" s="88">
        <v>655</v>
      </c>
      <c r="B665" s="79" t="s">
        <v>3229</v>
      </c>
      <c r="C665" s="148" t="s">
        <v>8</v>
      </c>
      <c r="D665" s="80" t="s">
        <v>83</v>
      </c>
      <c r="E665" s="27" t="s">
        <v>588</v>
      </c>
      <c r="F665" s="80" t="s">
        <v>109</v>
      </c>
      <c r="G665" s="81" t="s">
        <v>589</v>
      </c>
      <c r="H665" s="80" t="s">
        <v>590</v>
      </c>
      <c r="I665" s="83">
        <v>45594</v>
      </c>
      <c r="J665" s="80" t="s">
        <v>1003</v>
      </c>
      <c r="K665" s="80" t="s">
        <v>86</v>
      </c>
      <c r="L665" s="84" t="s">
        <v>100</v>
      </c>
      <c r="M665" s="84" t="s">
        <v>252</v>
      </c>
      <c r="N665" s="84" t="s">
        <v>72</v>
      </c>
      <c r="O665" s="33" t="s">
        <v>3230</v>
      </c>
      <c r="P665" s="28"/>
      <c r="Q665" s="49" t="s">
        <v>75</v>
      </c>
      <c r="R665" s="25" t="s">
        <v>91</v>
      </c>
      <c r="S665" s="26">
        <v>18</v>
      </c>
      <c r="T665" s="26">
        <v>54</v>
      </c>
      <c r="U665" s="32"/>
      <c r="V665" s="66"/>
      <c r="W665" s="106"/>
      <c r="X665" s="106" t="s">
        <v>369</v>
      </c>
      <c r="Y665" s="26" t="s">
        <v>76</v>
      </c>
      <c r="Z665" s="93" t="s">
        <v>106</v>
      </c>
      <c r="AA665" s="30" t="s">
        <v>76</v>
      </c>
      <c r="AB665" s="26"/>
      <c r="AC665" s="44"/>
    </row>
    <row r="666" spans="1:29" ht="115.5" hidden="1">
      <c r="A666" s="88">
        <v>656</v>
      </c>
      <c r="B666" s="79" t="s">
        <v>3231</v>
      </c>
      <c r="C666" s="148" t="s">
        <v>8</v>
      </c>
      <c r="D666" s="80" t="s">
        <v>63</v>
      </c>
      <c r="E666" s="27" t="s">
        <v>1531</v>
      </c>
      <c r="F666" s="80" t="s">
        <v>109</v>
      </c>
      <c r="G666" s="81" t="s">
        <v>1522</v>
      </c>
      <c r="H666" s="80" t="s">
        <v>1532</v>
      </c>
      <c r="I666" s="83">
        <v>45594</v>
      </c>
      <c r="J666" s="80" t="s">
        <v>657</v>
      </c>
      <c r="K666" s="80" t="s">
        <v>188</v>
      </c>
      <c r="L666" s="84" t="s">
        <v>189</v>
      </c>
      <c r="M666" s="84" t="s">
        <v>221</v>
      </c>
      <c r="N666" s="84" t="s">
        <v>72</v>
      </c>
      <c r="O666" s="33" t="s">
        <v>3232</v>
      </c>
      <c r="P666" s="28" t="s">
        <v>3233</v>
      </c>
      <c r="Q666" s="49" t="s">
        <v>75</v>
      </c>
      <c r="R666" s="25" t="s">
        <v>91</v>
      </c>
      <c r="S666" s="26">
        <v>18</v>
      </c>
      <c r="T666" s="26">
        <v>61</v>
      </c>
      <c r="U666" s="33" t="s">
        <v>1560</v>
      </c>
      <c r="V666" s="66"/>
      <c r="W666" s="106"/>
      <c r="X666" s="106" t="s">
        <v>369</v>
      </c>
      <c r="Y666" s="26" t="s">
        <v>76</v>
      </c>
      <c r="Z666" s="75" t="s">
        <v>93</v>
      </c>
      <c r="AA666" s="30" t="s">
        <v>76</v>
      </c>
      <c r="AB666" s="26"/>
      <c r="AC666" s="44"/>
    </row>
    <row r="667" spans="1:29" ht="132" hidden="1">
      <c r="A667" s="88">
        <v>657</v>
      </c>
      <c r="B667" s="79" t="s">
        <v>3234</v>
      </c>
      <c r="C667" s="148" t="s">
        <v>8</v>
      </c>
      <c r="D667" s="80" t="s">
        <v>63</v>
      </c>
      <c r="E667" s="27" t="s">
        <v>1531</v>
      </c>
      <c r="F667" s="80" t="s">
        <v>109</v>
      </c>
      <c r="G667" s="81" t="s">
        <v>1522</v>
      </c>
      <c r="H667" s="80" t="s">
        <v>1532</v>
      </c>
      <c r="I667" s="83">
        <v>45594</v>
      </c>
      <c r="J667" s="80" t="s">
        <v>657</v>
      </c>
      <c r="K667" s="80" t="s">
        <v>188</v>
      </c>
      <c r="L667" s="84" t="s">
        <v>189</v>
      </c>
      <c r="M667" s="84" t="s">
        <v>221</v>
      </c>
      <c r="N667" s="84" t="s">
        <v>72</v>
      </c>
      <c r="O667" s="33" t="s">
        <v>3235</v>
      </c>
      <c r="P667" s="28" t="s">
        <v>3236</v>
      </c>
      <c r="Q667" s="49" t="s">
        <v>75</v>
      </c>
      <c r="R667" s="25" t="s">
        <v>91</v>
      </c>
      <c r="S667" s="26">
        <v>18</v>
      </c>
      <c r="T667" s="26">
        <v>61</v>
      </c>
      <c r="U667" s="33" t="s">
        <v>1560</v>
      </c>
      <c r="V667" s="66"/>
      <c r="W667" s="106"/>
      <c r="X667" s="106" t="s">
        <v>369</v>
      </c>
      <c r="Y667" s="26" t="s">
        <v>76</v>
      </c>
      <c r="Z667" s="75" t="s">
        <v>93</v>
      </c>
      <c r="AA667" s="30" t="s">
        <v>76</v>
      </c>
      <c r="AB667" s="26"/>
      <c r="AC667" s="44"/>
    </row>
    <row r="668" spans="1:29" ht="49.5" hidden="1">
      <c r="A668" s="88">
        <v>658</v>
      </c>
      <c r="B668" s="79" t="s">
        <v>3237</v>
      </c>
      <c r="C668" s="148" t="s">
        <v>8</v>
      </c>
      <c r="D668" s="80" t="s">
        <v>63</v>
      </c>
      <c r="E668" s="27" t="s">
        <v>1492</v>
      </c>
      <c r="F668" s="80" t="s">
        <v>109</v>
      </c>
      <c r="G668" s="81" t="s">
        <v>440</v>
      </c>
      <c r="H668" s="80" t="s">
        <v>1493</v>
      </c>
      <c r="I668" s="83">
        <v>45594</v>
      </c>
      <c r="J668" s="80" t="s">
        <v>657</v>
      </c>
      <c r="K668" s="80" t="s">
        <v>188</v>
      </c>
      <c r="L668" s="84" t="s">
        <v>189</v>
      </c>
      <c r="M668" s="84" t="s">
        <v>221</v>
      </c>
      <c r="N668" s="84" t="s">
        <v>72</v>
      </c>
      <c r="O668" s="33" t="s">
        <v>3238</v>
      </c>
      <c r="P668" s="28"/>
      <c r="Q668" s="49" t="s">
        <v>75</v>
      </c>
      <c r="R668" s="25" t="s">
        <v>91</v>
      </c>
      <c r="S668" s="26">
        <v>18</v>
      </c>
      <c r="T668" s="26">
        <v>61</v>
      </c>
      <c r="U668" s="33" t="s">
        <v>1560</v>
      </c>
      <c r="V668" s="66"/>
      <c r="W668" s="106"/>
      <c r="X668" s="106" t="s">
        <v>369</v>
      </c>
      <c r="Y668" s="26" t="s">
        <v>76</v>
      </c>
      <c r="Z668" s="75" t="s">
        <v>93</v>
      </c>
      <c r="AA668" s="30" t="s">
        <v>76</v>
      </c>
      <c r="AB668" s="26"/>
      <c r="AC668" s="44"/>
    </row>
    <row r="669" spans="1:29" ht="49.5" hidden="1">
      <c r="A669" s="88">
        <v>659</v>
      </c>
      <c r="B669" s="79" t="s">
        <v>3239</v>
      </c>
      <c r="C669" s="148" t="s">
        <v>8</v>
      </c>
      <c r="D669" s="80" t="s">
        <v>63</v>
      </c>
      <c r="E669" s="27" t="s">
        <v>3216</v>
      </c>
      <c r="F669" s="80" t="s">
        <v>65</v>
      </c>
      <c r="G669" s="81" t="s">
        <v>1132</v>
      </c>
      <c r="H669" s="80" t="s">
        <v>3217</v>
      </c>
      <c r="I669" s="83">
        <v>45595</v>
      </c>
      <c r="J669" s="80" t="s">
        <v>250</v>
      </c>
      <c r="K669" s="80" t="s">
        <v>491</v>
      </c>
      <c r="L669" s="84" t="s">
        <v>251</v>
      </c>
      <c r="M669" s="84" t="s">
        <v>252</v>
      </c>
      <c r="N669" s="84" t="s">
        <v>72</v>
      </c>
      <c r="O669" s="33" t="s">
        <v>3240</v>
      </c>
      <c r="P669" s="28"/>
      <c r="Q669" s="49" t="s">
        <v>75</v>
      </c>
      <c r="R669" s="25" t="s">
        <v>91</v>
      </c>
      <c r="S669" s="26">
        <v>18</v>
      </c>
      <c r="T669" s="26"/>
      <c r="U669" s="32" t="s">
        <v>3241</v>
      </c>
      <c r="V669" s="66"/>
      <c r="W669" s="106"/>
      <c r="X669" s="106" t="s">
        <v>369</v>
      </c>
      <c r="Y669" s="26" t="s">
        <v>76</v>
      </c>
      <c r="Z669" s="75" t="s">
        <v>93</v>
      </c>
      <c r="AA669" s="30" t="s">
        <v>76</v>
      </c>
      <c r="AB669" s="26"/>
      <c r="AC669" s="44"/>
    </row>
    <row r="670" spans="1:29" ht="49.5" hidden="1">
      <c r="A670" s="88">
        <v>660</v>
      </c>
      <c r="B670" s="79" t="s">
        <v>3242</v>
      </c>
      <c r="C670" s="148" t="s">
        <v>8</v>
      </c>
      <c r="D670" s="80" t="s">
        <v>63</v>
      </c>
      <c r="E670" s="27" t="s">
        <v>2418</v>
      </c>
      <c r="F670" s="80" t="s">
        <v>120</v>
      </c>
      <c r="G670" s="81" t="s">
        <v>1413</v>
      </c>
      <c r="H670" s="80" t="s">
        <v>2419</v>
      </c>
      <c r="I670" s="83">
        <v>45568</v>
      </c>
      <c r="J670" s="80" t="s">
        <v>145</v>
      </c>
      <c r="K670" s="80" t="s">
        <v>146</v>
      </c>
      <c r="L670" s="84" t="s">
        <v>147</v>
      </c>
      <c r="M670" s="84" t="s">
        <v>148</v>
      </c>
      <c r="N670" s="84" t="s">
        <v>72</v>
      </c>
      <c r="O670" s="33" t="s">
        <v>3243</v>
      </c>
      <c r="P670" s="28"/>
      <c r="Q670" s="49" t="s">
        <v>75</v>
      </c>
      <c r="R670" s="25" t="s">
        <v>91</v>
      </c>
      <c r="S670" s="26">
        <v>19</v>
      </c>
      <c r="T670" s="26">
        <v>67</v>
      </c>
      <c r="U670" s="33" t="s">
        <v>3244</v>
      </c>
      <c r="V670" s="66"/>
      <c r="W670" s="106"/>
      <c r="X670" s="106" t="s">
        <v>369</v>
      </c>
      <c r="Y670" s="26" t="s">
        <v>76</v>
      </c>
      <c r="Z670" s="75" t="s">
        <v>93</v>
      </c>
      <c r="AA670" s="30" t="s">
        <v>76</v>
      </c>
      <c r="AB670" s="26"/>
      <c r="AC670" s="44"/>
    </row>
    <row r="671" spans="1:29" ht="33" hidden="1">
      <c r="A671" s="88">
        <v>661</v>
      </c>
      <c r="B671" s="79" t="s">
        <v>3245</v>
      </c>
      <c r="C671" s="148" t="s">
        <v>8</v>
      </c>
      <c r="D671" s="80" t="s">
        <v>83</v>
      </c>
      <c r="E671" s="27" t="s">
        <v>668</v>
      </c>
      <c r="F671" s="80" t="s">
        <v>338</v>
      </c>
      <c r="G671" s="81" t="s">
        <v>669</v>
      </c>
      <c r="H671" s="80" t="s">
        <v>670</v>
      </c>
      <c r="I671" s="83">
        <v>45595</v>
      </c>
      <c r="J671" s="80" t="s">
        <v>187</v>
      </c>
      <c r="K671" s="80" t="s">
        <v>188</v>
      </c>
      <c r="L671" s="84" t="s">
        <v>189</v>
      </c>
      <c r="M671" s="84" t="s">
        <v>114</v>
      </c>
      <c r="N671" s="84" t="s">
        <v>72</v>
      </c>
      <c r="O671" s="33" t="s">
        <v>3246</v>
      </c>
      <c r="P671" s="28"/>
      <c r="Q671" s="49" t="s">
        <v>91</v>
      </c>
      <c r="R671" s="25"/>
      <c r="S671" s="114">
        <v>17</v>
      </c>
      <c r="T671" s="26"/>
      <c r="U671" s="33" t="s">
        <v>3247</v>
      </c>
      <c r="V671" s="66"/>
      <c r="W671" s="106"/>
      <c r="X671" s="135" t="s">
        <v>369</v>
      </c>
      <c r="Y671" s="26" t="s">
        <v>76</v>
      </c>
      <c r="Z671" s="75" t="s">
        <v>93</v>
      </c>
      <c r="AA671" s="30" t="s">
        <v>76</v>
      </c>
      <c r="AB671" s="26"/>
      <c r="AC671" s="44"/>
    </row>
    <row r="672" spans="1:29" ht="66" hidden="1">
      <c r="A672" s="88">
        <v>662</v>
      </c>
      <c r="B672" s="79" t="s">
        <v>3248</v>
      </c>
      <c r="C672" s="148" t="s">
        <v>8</v>
      </c>
      <c r="D672" s="80" t="s">
        <v>63</v>
      </c>
      <c r="E672" s="27" t="s">
        <v>3249</v>
      </c>
      <c r="F672" s="80" t="s">
        <v>109</v>
      </c>
      <c r="G672" s="81" t="s">
        <v>1406</v>
      </c>
      <c r="H672" s="80" t="s">
        <v>3250</v>
      </c>
      <c r="I672" s="83">
        <v>45596</v>
      </c>
      <c r="J672" s="80" t="s">
        <v>1400</v>
      </c>
      <c r="K672" s="80" t="s">
        <v>69</v>
      </c>
      <c r="L672" s="84" t="s">
        <v>189</v>
      </c>
      <c r="M672" s="84" t="s">
        <v>601</v>
      </c>
      <c r="N672" s="84" t="s">
        <v>72</v>
      </c>
      <c r="O672" s="33" t="s">
        <v>3251</v>
      </c>
      <c r="P672" s="28"/>
      <c r="Q672" s="49" t="s">
        <v>91</v>
      </c>
      <c r="R672" s="25"/>
      <c r="S672" s="26">
        <v>14</v>
      </c>
      <c r="T672" s="26"/>
      <c r="U672" s="32" t="s">
        <v>3252</v>
      </c>
      <c r="V672" s="66"/>
      <c r="W672" s="106"/>
      <c r="X672" s="106" t="s">
        <v>76</v>
      </c>
      <c r="Y672" s="26" t="s">
        <v>76</v>
      </c>
      <c r="Z672" s="75" t="s">
        <v>193</v>
      </c>
      <c r="AA672" s="30" t="s">
        <v>76</v>
      </c>
      <c r="AB672" s="26"/>
      <c r="AC672" s="44"/>
    </row>
    <row r="673" spans="1:29" ht="49.5" hidden="1">
      <c r="A673" s="88">
        <v>663</v>
      </c>
      <c r="B673" s="79" t="s">
        <v>3253</v>
      </c>
      <c r="C673" s="148" t="s">
        <v>8</v>
      </c>
      <c r="D673" s="80" t="s">
        <v>63</v>
      </c>
      <c r="E673" s="27" t="s">
        <v>3254</v>
      </c>
      <c r="F673" s="80" t="s">
        <v>65</v>
      </c>
      <c r="G673" s="81" t="s">
        <v>818</v>
      </c>
      <c r="H673" s="80" t="s">
        <v>3255</v>
      </c>
      <c r="I673" s="83">
        <v>45596</v>
      </c>
      <c r="J673" s="80" t="s">
        <v>111</v>
      </c>
      <c r="K673" s="80" t="s">
        <v>112</v>
      </c>
      <c r="L673" s="84" t="s">
        <v>122</v>
      </c>
      <c r="M673" s="84" t="s">
        <v>114</v>
      </c>
      <c r="N673" s="84" t="s">
        <v>72</v>
      </c>
      <c r="O673" s="33" t="s">
        <v>3256</v>
      </c>
      <c r="P673" s="28"/>
      <c r="Q673" s="49" t="s">
        <v>75</v>
      </c>
      <c r="R673" s="25" t="s">
        <v>91</v>
      </c>
      <c r="S673" s="26">
        <v>20</v>
      </c>
      <c r="T673" s="26">
        <v>66</v>
      </c>
      <c r="U673" s="33" t="s">
        <v>3257</v>
      </c>
      <c r="V673" s="66"/>
      <c r="W673" s="106"/>
      <c r="X673" s="106" t="s">
        <v>369</v>
      </c>
      <c r="Y673" s="26" t="s">
        <v>76</v>
      </c>
      <c r="Z673" s="75" t="s">
        <v>93</v>
      </c>
      <c r="AA673" s="30" t="s">
        <v>76</v>
      </c>
      <c r="AB673" s="26"/>
      <c r="AC673" s="44"/>
    </row>
    <row r="674" spans="1:29" ht="33" hidden="1">
      <c r="A674" s="88">
        <v>664</v>
      </c>
      <c r="B674" s="79" t="s">
        <v>3258</v>
      </c>
      <c r="C674" s="148" t="s">
        <v>8</v>
      </c>
      <c r="D674" s="80" t="s">
        <v>63</v>
      </c>
      <c r="E674" s="27" t="s">
        <v>2031</v>
      </c>
      <c r="F674" s="80" t="s">
        <v>120</v>
      </c>
      <c r="G674" s="81" t="s">
        <v>1047</v>
      </c>
      <c r="H674" s="80" t="s">
        <v>1831</v>
      </c>
      <c r="I674" s="83">
        <v>45596</v>
      </c>
      <c r="J674" s="80" t="s">
        <v>833</v>
      </c>
      <c r="K674" s="80" t="s">
        <v>188</v>
      </c>
      <c r="L674" s="84" t="s">
        <v>189</v>
      </c>
      <c r="M674" s="84" t="s">
        <v>252</v>
      </c>
      <c r="N674" s="84" t="s">
        <v>72</v>
      </c>
      <c r="O674" s="33" t="s">
        <v>3259</v>
      </c>
      <c r="P674" s="28"/>
      <c r="Q674" s="49" t="s">
        <v>75</v>
      </c>
      <c r="R674" s="25" t="s">
        <v>91</v>
      </c>
      <c r="S674" s="26">
        <v>18</v>
      </c>
      <c r="T674" s="26">
        <v>54</v>
      </c>
      <c r="U674" s="33" t="s">
        <v>3260</v>
      </c>
      <c r="V674" s="66"/>
      <c r="W674" s="106"/>
      <c r="X674" s="106" t="s">
        <v>369</v>
      </c>
      <c r="Y674" s="26" t="s">
        <v>76</v>
      </c>
      <c r="Z674" s="75" t="s">
        <v>93</v>
      </c>
      <c r="AA674" s="30" t="s">
        <v>76</v>
      </c>
      <c r="AB674" s="26"/>
      <c r="AC674" s="44"/>
    </row>
    <row r="675" spans="1:29" ht="49.5" hidden="1">
      <c r="A675" s="88">
        <v>665</v>
      </c>
      <c r="B675" s="79" t="s">
        <v>3261</v>
      </c>
      <c r="C675" s="148" t="s">
        <v>8</v>
      </c>
      <c r="D675" s="80" t="s">
        <v>63</v>
      </c>
      <c r="E675" s="27" t="s">
        <v>2613</v>
      </c>
      <c r="F675" s="80" t="s">
        <v>109</v>
      </c>
      <c r="G675" s="81" t="s">
        <v>995</v>
      </c>
      <c r="H675" s="80" t="s">
        <v>2614</v>
      </c>
      <c r="I675" s="83">
        <v>45597</v>
      </c>
      <c r="J675" s="80" t="s">
        <v>111</v>
      </c>
      <c r="K675" s="80" t="s">
        <v>112</v>
      </c>
      <c r="L675" s="84" t="s">
        <v>122</v>
      </c>
      <c r="M675" s="84" t="s">
        <v>114</v>
      </c>
      <c r="N675" s="84" t="s">
        <v>72</v>
      </c>
      <c r="O675" s="33" t="s">
        <v>3262</v>
      </c>
      <c r="P675" s="28" t="s">
        <v>3263</v>
      </c>
      <c r="Q675" s="49" t="s">
        <v>91</v>
      </c>
      <c r="R675" s="25"/>
      <c r="S675" s="26">
        <v>16</v>
      </c>
      <c r="T675" s="26"/>
      <c r="U675" s="32" t="s">
        <v>3264</v>
      </c>
      <c r="V675" s="66"/>
      <c r="W675" s="106"/>
      <c r="X675" s="106"/>
      <c r="Y675" s="26" t="s">
        <v>76</v>
      </c>
      <c r="Z675" s="75" t="s">
        <v>193</v>
      </c>
      <c r="AA675" s="30" t="s">
        <v>76</v>
      </c>
      <c r="AB675" s="26" t="s">
        <v>75</v>
      </c>
      <c r="AC675" s="44"/>
    </row>
    <row r="676" spans="1:29" ht="49.5" hidden="1">
      <c r="A676" s="88">
        <v>666</v>
      </c>
      <c r="B676" s="79" t="s">
        <v>3265</v>
      </c>
      <c r="C676" s="148" t="s">
        <v>8</v>
      </c>
      <c r="D676" s="80" t="s">
        <v>63</v>
      </c>
      <c r="E676" s="27" t="s">
        <v>2613</v>
      </c>
      <c r="F676" s="80" t="s">
        <v>109</v>
      </c>
      <c r="G676" s="81" t="s">
        <v>995</v>
      </c>
      <c r="H676" s="80" t="s">
        <v>2614</v>
      </c>
      <c r="I676" s="83">
        <v>45597</v>
      </c>
      <c r="J676" s="80" t="s">
        <v>1003</v>
      </c>
      <c r="K676" s="80" t="s">
        <v>69</v>
      </c>
      <c r="L676" s="84" t="s">
        <v>100</v>
      </c>
      <c r="M676" s="84" t="s">
        <v>252</v>
      </c>
      <c r="N676" s="84" t="s">
        <v>72</v>
      </c>
      <c r="O676" s="33" t="s">
        <v>3266</v>
      </c>
      <c r="P676" s="28"/>
      <c r="Q676" s="49" t="s">
        <v>91</v>
      </c>
      <c r="R676" s="25"/>
      <c r="S676" s="26">
        <v>14</v>
      </c>
      <c r="T676" s="26"/>
      <c r="U676" s="32" t="s">
        <v>3267</v>
      </c>
      <c r="V676" s="66"/>
      <c r="W676" s="106"/>
      <c r="X676" s="106" t="s">
        <v>76</v>
      </c>
      <c r="Y676" s="26" t="s">
        <v>76</v>
      </c>
      <c r="Z676" s="93" t="s">
        <v>193</v>
      </c>
      <c r="AA676" s="30" t="s">
        <v>76</v>
      </c>
      <c r="AB676" s="26"/>
      <c r="AC676" s="44"/>
    </row>
    <row r="677" spans="1:29" ht="33" hidden="1">
      <c r="A677" s="88">
        <v>667</v>
      </c>
      <c r="B677" s="79" t="s">
        <v>3268</v>
      </c>
      <c r="C677" s="148" t="s">
        <v>8</v>
      </c>
      <c r="D677" s="80" t="s">
        <v>83</v>
      </c>
      <c r="E677" s="27" t="s">
        <v>668</v>
      </c>
      <c r="F677" s="80" t="s">
        <v>338</v>
      </c>
      <c r="G677" s="81" t="s">
        <v>669</v>
      </c>
      <c r="H677" s="80" t="s">
        <v>670</v>
      </c>
      <c r="I677" s="83">
        <v>45600</v>
      </c>
      <c r="J677" s="80" t="s">
        <v>657</v>
      </c>
      <c r="K677" s="80" t="s">
        <v>188</v>
      </c>
      <c r="L677" s="84" t="s">
        <v>189</v>
      </c>
      <c r="M677" s="84" t="s">
        <v>221</v>
      </c>
      <c r="N677" s="84" t="s">
        <v>72</v>
      </c>
      <c r="O677" s="115" t="s">
        <v>3269</v>
      </c>
      <c r="P677" s="28"/>
      <c r="Q677" s="49" t="s">
        <v>91</v>
      </c>
      <c r="R677" s="25"/>
      <c r="S677" s="26">
        <v>16</v>
      </c>
      <c r="T677" s="26"/>
      <c r="U677" s="33" t="s">
        <v>3270</v>
      </c>
      <c r="V677" s="66"/>
      <c r="W677" s="106"/>
      <c r="X677" s="106" t="s">
        <v>76</v>
      </c>
      <c r="Y677" s="26" t="s">
        <v>76</v>
      </c>
      <c r="Z677" s="75" t="s">
        <v>193</v>
      </c>
      <c r="AA677" s="30" t="s">
        <v>76</v>
      </c>
    </row>
    <row r="678" spans="1:29" ht="49.5" hidden="1">
      <c r="A678" s="88">
        <v>668</v>
      </c>
      <c r="B678" s="79" t="s">
        <v>3271</v>
      </c>
      <c r="C678" s="148" t="s">
        <v>8</v>
      </c>
      <c r="D678" s="80" t="s">
        <v>63</v>
      </c>
      <c r="E678" s="27" t="s">
        <v>3166</v>
      </c>
      <c r="F678" s="80" t="s">
        <v>65</v>
      </c>
      <c r="G678" s="81" t="s">
        <v>1701</v>
      </c>
      <c r="H678" s="80" t="s">
        <v>3167</v>
      </c>
      <c r="I678" s="83">
        <v>45600</v>
      </c>
      <c r="J678" s="80" t="s">
        <v>657</v>
      </c>
      <c r="K678" s="80" t="s">
        <v>188</v>
      </c>
      <c r="L678" s="84" t="s">
        <v>189</v>
      </c>
      <c r="M678" s="84" t="s">
        <v>221</v>
      </c>
      <c r="N678" s="84" t="s">
        <v>72</v>
      </c>
      <c r="O678" s="33" t="s">
        <v>3272</v>
      </c>
      <c r="P678" s="28"/>
      <c r="Q678" s="49" t="s">
        <v>91</v>
      </c>
      <c r="R678" s="25"/>
      <c r="S678" s="26">
        <v>16</v>
      </c>
      <c r="T678" s="26"/>
      <c r="U678" s="33" t="s">
        <v>3273</v>
      </c>
      <c r="V678" s="66"/>
      <c r="W678" s="106"/>
      <c r="X678" s="106" t="s">
        <v>76</v>
      </c>
      <c r="Y678" s="26" t="s">
        <v>76</v>
      </c>
      <c r="Z678" s="75" t="s">
        <v>193</v>
      </c>
      <c r="AA678" s="30" t="s">
        <v>76</v>
      </c>
      <c r="AB678" s="25" t="s">
        <v>75</v>
      </c>
    </row>
    <row r="679" spans="1:29" ht="49.5" hidden="1">
      <c r="A679" s="88">
        <v>669</v>
      </c>
      <c r="B679" s="79" t="s">
        <v>3274</v>
      </c>
      <c r="C679" s="148" t="s">
        <v>8</v>
      </c>
      <c r="D679" s="80" t="s">
        <v>63</v>
      </c>
      <c r="E679" s="27" t="s">
        <v>3166</v>
      </c>
      <c r="F679" s="80" t="s">
        <v>65</v>
      </c>
      <c r="G679" s="81" t="s">
        <v>1701</v>
      </c>
      <c r="H679" s="80" t="s">
        <v>3167</v>
      </c>
      <c r="I679" s="83">
        <v>45600</v>
      </c>
      <c r="J679" s="80" t="s">
        <v>657</v>
      </c>
      <c r="K679" s="80" t="s">
        <v>188</v>
      </c>
      <c r="L679" s="84" t="s">
        <v>189</v>
      </c>
      <c r="M679" s="84" t="s">
        <v>221</v>
      </c>
      <c r="N679" s="84" t="s">
        <v>72</v>
      </c>
      <c r="O679" s="33" t="s">
        <v>3275</v>
      </c>
      <c r="P679" s="28"/>
      <c r="Q679" s="49" t="s">
        <v>75</v>
      </c>
      <c r="R679" s="25" t="s">
        <v>91</v>
      </c>
      <c r="S679" s="26">
        <v>18</v>
      </c>
      <c r="T679" s="26">
        <v>61</v>
      </c>
      <c r="U679" s="33" t="s">
        <v>1560</v>
      </c>
      <c r="V679" s="66"/>
      <c r="W679" s="106"/>
      <c r="X679" s="106" t="s">
        <v>369</v>
      </c>
      <c r="Y679" s="26" t="s">
        <v>76</v>
      </c>
      <c r="Z679" s="75" t="s">
        <v>93</v>
      </c>
      <c r="AA679" s="30" t="s">
        <v>76</v>
      </c>
    </row>
    <row r="680" spans="1:29" ht="49.5" hidden="1">
      <c r="A680" s="88">
        <v>670</v>
      </c>
      <c r="B680" s="79" t="s">
        <v>3276</v>
      </c>
      <c r="C680" s="148" t="s">
        <v>8</v>
      </c>
      <c r="D680" s="80" t="s">
        <v>63</v>
      </c>
      <c r="E680" s="27" t="s">
        <v>2298</v>
      </c>
      <c r="F680" s="80" t="s">
        <v>338</v>
      </c>
      <c r="G680" s="81" t="s">
        <v>2299</v>
      </c>
      <c r="H680" s="80" t="s">
        <v>2300</v>
      </c>
      <c r="I680" s="83">
        <v>45600</v>
      </c>
      <c r="J680" s="80" t="s">
        <v>657</v>
      </c>
      <c r="K680" s="80" t="s">
        <v>188</v>
      </c>
      <c r="L680" s="84" t="s">
        <v>189</v>
      </c>
      <c r="M680" s="84" t="s">
        <v>221</v>
      </c>
      <c r="N680" s="84" t="s">
        <v>72</v>
      </c>
      <c r="O680" s="33" t="s">
        <v>3277</v>
      </c>
      <c r="P680" s="28"/>
      <c r="Q680" s="49" t="s">
        <v>91</v>
      </c>
      <c r="R680" s="25"/>
      <c r="S680" s="26">
        <v>4</v>
      </c>
      <c r="T680" s="26"/>
      <c r="U680" s="33" t="s">
        <v>3278</v>
      </c>
      <c r="V680" s="66"/>
      <c r="W680" s="106"/>
      <c r="X680" s="106" t="s">
        <v>76</v>
      </c>
      <c r="Y680" s="26" t="s">
        <v>76</v>
      </c>
      <c r="Z680" s="75" t="s">
        <v>193</v>
      </c>
      <c r="AA680" s="30" t="s">
        <v>76</v>
      </c>
      <c r="AB680" s="25" t="s">
        <v>75</v>
      </c>
    </row>
    <row r="681" spans="1:29" ht="49.5" hidden="1">
      <c r="A681" s="88">
        <v>671</v>
      </c>
      <c r="B681" s="79" t="s">
        <v>3279</v>
      </c>
      <c r="C681" s="148" t="s">
        <v>8</v>
      </c>
      <c r="D681" s="80" t="s">
        <v>63</v>
      </c>
      <c r="E681" s="27" t="s">
        <v>1992</v>
      </c>
      <c r="F681" s="80" t="s">
        <v>338</v>
      </c>
      <c r="G681" s="81" t="s">
        <v>995</v>
      </c>
      <c r="H681" s="80" t="s">
        <v>1993</v>
      </c>
      <c r="I681" s="83">
        <v>45600</v>
      </c>
      <c r="J681" s="80" t="s">
        <v>220</v>
      </c>
      <c r="K681" s="80" t="s">
        <v>112</v>
      </c>
      <c r="L681" s="84" t="s">
        <v>122</v>
      </c>
      <c r="M681" s="84" t="s">
        <v>221</v>
      </c>
      <c r="N681" s="84" t="s">
        <v>72</v>
      </c>
      <c r="O681" s="33" t="s">
        <v>3280</v>
      </c>
      <c r="P681" s="28"/>
      <c r="Q681" s="49" t="s">
        <v>75</v>
      </c>
      <c r="R681" s="25" t="s">
        <v>91</v>
      </c>
      <c r="S681" s="26">
        <v>23</v>
      </c>
      <c r="T681" s="26">
        <v>67</v>
      </c>
      <c r="U681" s="33" t="s">
        <v>3281</v>
      </c>
      <c r="V681" s="66"/>
      <c r="W681" s="106"/>
      <c r="X681" s="106" t="s">
        <v>369</v>
      </c>
      <c r="Y681" s="26" t="s">
        <v>76</v>
      </c>
      <c r="Z681" s="75" t="s">
        <v>93</v>
      </c>
      <c r="AA681" s="30" t="s">
        <v>76</v>
      </c>
    </row>
    <row r="682" spans="1:29" ht="33" hidden="1">
      <c r="A682" s="88">
        <v>672</v>
      </c>
      <c r="B682" s="79" t="s">
        <v>3282</v>
      </c>
      <c r="C682" s="148" t="s">
        <v>8</v>
      </c>
      <c r="D682" s="80" t="s">
        <v>83</v>
      </c>
      <c r="E682" s="27" t="s">
        <v>668</v>
      </c>
      <c r="F682" s="80" t="s">
        <v>338</v>
      </c>
      <c r="G682" s="81" t="s">
        <v>669</v>
      </c>
      <c r="H682" s="80" t="s">
        <v>670</v>
      </c>
      <c r="I682" s="83">
        <v>45600</v>
      </c>
      <c r="J682" s="80" t="s">
        <v>657</v>
      </c>
      <c r="K682" s="80" t="s">
        <v>188</v>
      </c>
      <c r="L682" s="84" t="s">
        <v>189</v>
      </c>
      <c r="M682" s="84" t="s">
        <v>221</v>
      </c>
      <c r="N682" s="84" t="s">
        <v>72</v>
      </c>
      <c r="O682" s="115" t="s">
        <v>3283</v>
      </c>
      <c r="P682" s="28"/>
      <c r="Q682" s="49" t="s">
        <v>91</v>
      </c>
      <c r="R682" s="25"/>
      <c r="S682" s="26">
        <v>4</v>
      </c>
      <c r="T682" s="26"/>
      <c r="U682" s="33" t="s">
        <v>3284</v>
      </c>
      <c r="V682" s="66"/>
      <c r="W682" s="106"/>
      <c r="X682" s="106" t="s">
        <v>76</v>
      </c>
      <c r="Y682" s="26" t="s">
        <v>76</v>
      </c>
      <c r="Z682" s="75" t="s">
        <v>193</v>
      </c>
      <c r="AA682" s="30" t="s">
        <v>76</v>
      </c>
      <c r="AB682" s="25" t="s">
        <v>75</v>
      </c>
    </row>
    <row r="683" spans="1:29" ht="49.5" hidden="1">
      <c r="A683" s="88">
        <v>673</v>
      </c>
      <c r="B683" s="79" t="s">
        <v>3285</v>
      </c>
      <c r="C683" s="148" t="s">
        <v>8</v>
      </c>
      <c r="D683" s="80" t="s">
        <v>63</v>
      </c>
      <c r="E683" s="27" t="s">
        <v>3023</v>
      </c>
      <c r="F683" s="80" t="s">
        <v>120</v>
      </c>
      <c r="G683" s="81" t="s">
        <v>818</v>
      </c>
      <c r="H683" s="80" t="s">
        <v>3024</v>
      </c>
      <c r="I683" s="83">
        <v>45600</v>
      </c>
      <c r="J683" s="80" t="s">
        <v>187</v>
      </c>
      <c r="K683" s="80" t="s">
        <v>156</v>
      </c>
      <c r="L683" s="84" t="s">
        <v>189</v>
      </c>
      <c r="M683" s="84" t="s">
        <v>114</v>
      </c>
      <c r="N683" s="84" t="s">
        <v>72</v>
      </c>
      <c r="O683" s="33" t="s">
        <v>3286</v>
      </c>
      <c r="P683" s="28"/>
      <c r="Q683" s="49" t="s">
        <v>75</v>
      </c>
      <c r="R683" s="25" t="s">
        <v>91</v>
      </c>
      <c r="S683" s="26">
        <v>18</v>
      </c>
      <c r="T683" s="26">
        <v>66</v>
      </c>
      <c r="U683" s="32" t="s">
        <v>3287</v>
      </c>
      <c r="V683" s="66"/>
      <c r="W683" s="106"/>
      <c r="X683" s="106" t="s">
        <v>369</v>
      </c>
      <c r="Y683" s="26" t="s">
        <v>76</v>
      </c>
      <c r="Z683" s="75" t="s">
        <v>93</v>
      </c>
      <c r="AA683" s="30" t="s">
        <v>76</v>
      </c>
    </row>
    <row r="684" spans="1:29" ht="49.5" hidden="1">
      <c r="A684" s="88">
        <v>674</v>
      </c>
      <c r="B684" s="79" t="s">
        <v>3288</v>
      </c>
      <c r="C684" s="148" t="s">
        <v>8</v>
      </c>
      <c r="D684" s="80" t="s">
        <v>63</v>
      </c>
      <c r="E684" s="27" t="s">
        <v>3289</v>
      </c>
      <c r="F684" s="80" t="s">
        <v>109</v>
      </c>
      <c r="G684" s="81" t="s">
        <v>1132</v>
      </c>
      <c r="H684" s="80" t="s">
        <v>3290</v>
      </c>
      <c r="I684" s="83">
        <v>45601</v>
      </c>
      <c r="J684" s="80" t="s">
        <v>745</v>
      </c>
      <c r="K684" s="80" t="s">
        <v>69</v>
      </c>
      <c r="L684" s="84" t="s">
        <v>100</v>
      </c>
      <c r="M684" s="84" t="s">
        <v>601</v>
      </c>
      <c r="N684" s="84" t="s">
        <v>72</v>
      </c>
      <c r="O684" s="33" t="s">
        <v>3291</v>
      </c>
      <c r="P684" s="28"/>
      <c r="Q684" s="49" t="s">
        <v>91</v>
      </c>
      <c r="R684" s="25"/>
      <c r="S684" s="26">
        <v>14</v>
      </c>
      <c r="T684" s="26"/>
      <c r="U684" s="32" t="s">
        <v>3292</v>
      </c>
      <c r="V684" s="66"/>
      <c r="W684" s="106"/>
      <c r="X684" s="106" t="s">
        <v>76</v>
      </c>
      <c r="Y684" s="26" t="s">
        <v>76</v>
      </c>
      <c r="Z684" s="93" t="s">
        <v>193</v>
      </c>
      <c r="AA684" s="30" t="s">
        <v>76</v>
      </c>
    </row>
    <row r="685" spans="1:29" ht="33" hidden="1">
      <c r="A685" s="88">
        <v>675</v>
      </c>
      <c r="B685" s="79" t="s">
        <v>3293</v>
      </c>
      <c r="C685" s="148" t="s">
        <v>8</v>
      </c>
      <c r="D685" s="80" t="s">
        <v>63</v>
      </c>
      <c r="E685" s="27" t="s">
        <v>2591</v>
      </c>
      <c r="F685" s="80" t="s">
        <v>284</v>
      </c>
      <c r="G685" s="81" t="s">
        <v>1419</v>
      </c>
      <c r="H685" s="80" t="s">
        <v>2592</v>
      </c>
      <c r="I685" s="83">
        <v>45601</v>
      </c>
      <c r="J685" s="80" t="s">
        <v>332</v>
      </c>
      <c r="K685" s="80" t="s">
        <v>198</v>
      </c>
      <c r="L685" s="84" t="s">
        <v>189</v>
      </c>
      <c r="M685" s="84" t="s">
        <v>200</v>
      </c>
      <c r="N685" s="84" t="s">
        <v>72</v>
      </c>
      <c r="O685" s="33" t="s">
        <v>3294</v>
      </c>
      <c r="P685" s="28"/>
      <c r="Q685" s="49" t="s">
        <v>75</v>
      </c>
      <c r="R685" s="25" t="s">
        <v>91</v>
      </c>
      <c r="S685" s="114">
        <v>18</v>
      </c>
      <c r="T685" s="114">
        <v>52</v>
      </c>
      <c r="U685" s="115" t="s">
        <v>3295</v>
      </c>
      <c r="V685" s="66"/>
      <c r="W685" s="106"/>
      <c r="X685" s="106" t="s">
        <v>369</v>
      </c>
      <c r="Y685" s="106" t="s">
        <v>76</v>
      </c>
      <c r="Z685" s="75" t="s">
        <v>93</v>
      </c>
      <c r="AA685" s="30" t="s">
        <v>76</v>
      </c>
      <c r="AB685" s="26"/>
      <c r="AC685" s="44"/>
    </row>
    <row r="686" spans="1:29" ht="33" hidden="1">
      <c r="A686" s="88">
        <v>676</v>
      </c>
      <c r="B686" s="79" t="s">
        <v>3296</v>
      </c>
      <c r="C686" s="148" t="s">
        <v>8</v>
      </c>
      <c r="D686" s="80" t="s">
        <v>63</v>
      </c>
      <c r="E686" s="27" t="s">
        <v>2591</v>
      </c>
      <c r="F686" s="80" t="s">
        <v>284</v>
      </c>
      <c r="G686" s="81" t="s">
        <v>1419</v>
      </c>
      <c r="H686" s="80" t="s">
        <v>2592</v>
      </c>
      <c r="I686" s="83">
        <v>45601</v>
      </c>
      <c r="J686" s="80" t="s">
        <v>657</v>
      </c>
      <c r="K686" s="80" t="s">
        <v>188</v>
      </c>
      <c r="L686" s="84" t="s">
        <v>189</v>
      </c>
      <c r="M686" s="84" t="s">
        <v>221</v>
      </c>
      <c r="N686" s="84" t="s">
        <v>72</v>
      </c>
      <c r="O686" s="33" t="s">
        <v>3297</v>
      </c>
      <c r="P686" s="28"/>
      <c r="Q686" s="49" t="s">
        <v>75</v>
      </c>
      <c r="R686" s="25" t="s">
        <v>91</v>
      </c>
      <c r="S686" s="26">
        <v>18</v>
      </c>
      <c r="T686" s="26">
        <v>61</v>
      </c>
      <c r="U686" s="33" t="s">
        <v>1560</v>
      </c>
      <c r="V686" s="66"/>
      <c r="W686" s="106"/>
      <c r="X686" s="106" t="s">
        <v>369</v>
      </c>
      <c r="Y686" s="26" t="s">
        <v>76</v>
      </c>
      <c r="Z686" s="75" t="s">
        <v>93</v>
      </c>
      <c r="AA686" s="30" t="s">
        <v>76</v>
      </c>
    </row>
    <row r="687" spans="1:29" ht="33" hidden="1">
      <c r="A687" s="88">
        <v>677</v>
      </c>
      <c r="B687" s="79" t="s">
        <v>3298</v>
      </c>
      <c r="C687" s="148" t="s">
        <v>8</v>
      </c>
      <c r="D687" s="80" t="s">
        <v>63</v>
      </c>
      <c r="E687" s="27" t="s">
        <v>3299</v>
      </c>
      <c r="F687" s="80" t="s">
        <v>65</v>
      </c>
      <c r="G687" s="81" t="s">
        <v>757</v>
      </c>
      <c r="H687" s="80" t="s">
        <v>3250</v>
      </c>
      <c r="I687" s="83">
        <v>45602</v>
      </c>
      <c r="J687" s="80" t="s">
        <v>1003</v>
      </c>
      <c r="K687" s="80" t="s">
        <v>69</v>
      </c>
      <c r="L687" s="84" t="s">
        <v>100</v>
      </c>
      <c r="M687" s="84" t="s">
        <v>252</v>
      </c>
      <c r="N687" s="84" t="s">
        <v>253</v>
      </c>
      <c r="O687" s="33" t="s">
        <v>3300</v>
      </c>
      <c r="P687" s="28"/>
      <c r="Q687" s="49" t="s">
        <v>75</v>
      </c>
      <c r="R687" s="25" t="s">
        <v>91</v>
      </c>
      <c r="S687" s="26">
        <v>18</v>
      </c>
      <c r="T687" s="26">
        <v>42</v>
      </c>
      <c r="U687" s="33" t="s">
        <v>3301</v>
      </c>
      <c r="V687" s="66"/>
      <c r="W687" s="106"/>
      <c r="X687" s="106" t="s">
        <v>369</v>
      </c>
      <c r="Y687" s="26" t="s">
        <v>76</v>
      </c>
      <c r="Z687" s="75" t="s">
        <v>93</v>
      </c>
      <c r="AA687" s="30" t="s">
        <v>76</v>
      </c>
    </row>
    <row r="688" spans="1:29" ht="49.5" hidden="1">
      <c r="A688" s="88">
        <v>678</v>
      </c>
      <c r="B688" s="79" t="s">
        <v>3302</v>
      </c>
      <c r="C688" s="148" t="s">
        <v>8</v>
      </c>
      <c r="D688" s="80" t="s">
        <v>63</v>
      </c>
      <c r="E688" s="27" t="s">
        <v>2389</v>
      </c>
      <c r="F688" s="80" t="s">
        <v>120</v>
      </c>
      <c r="G688" s="81" t="s">
        <v>757</v>
      </c>
      <c r="H688" s="80" t="s">
        <v>2390</v>
      </c>
      <c r="I688" s="83">
        <v>45602</v>
      </c>
      <c r="J688" s="80" t="s">
        <v>241</v>
      </c>
      <c r="K688" s="80" t="s">
        <v>198</v>
      </c>
      <c r="L688" s="84" t="s">
        <v>199</v>
      </c>
      <c r="M688" s="84" t="s">
        <v>221</v>
      </c>
      <c r="N688" s="84" t="s">
        <v>72</v>
      </c>
      <c r="O688" s="33" t="s">
        <v>3303</v>
      </c>
      <c r="P688" s="28" t="s">
        <v>3304</v>
      </c>
      <c r="Q688" s="49" t="s">
        <v>75</v>
      </c>
      <c r="R688" s="25" t="s">
        <v>91</v>
      </c>
      <c r="S688" s="26">
        <v>18</v>
      </c>
      <c r="T688" s="26">
        <v>52</v>
      </c>
      <c r="U688" s="32" t="s">
        <v>3305</v>
      </c>
      <c r="V688" s="66"/>
      <c r="W688" s="106"/>
      <c r="X688" s="106" t="s">
        <v>369</v>
      </c>
      <c r="Y688" s="106" t="s">
        <v>76</v>
      </c>
      <c r="Z688" s="75" t="s">
        <v>93</v>
      </c>
      <c r="AA688" s="30" t="s">
        <v>76</v>
      </c>
      <c r="AB688" s="26"/>
      <c r="AC688" s="44"/>
    </row>
    <row r="689" spans="1:29" ht="49.5" hidden="1">
      <c r="A689" s="88">
        <v>679</v>
      </c>
      <c r="B689" s="79" t="s">
        <v>3306</v>
      </c>
      <c r="C689" s="148" t="s">
        <v>8</v>
      </c>
      <c r="D689" s="80" t="s">
        <v>63</v>
      </c>
      <c r="E689" s="27" t="s">
        <v>3023</v>
      </c>
      <c r="F689" s="80" t="s">
        <v>120</v>
      </c>
      <c r="G689" s="81" t="s">
        <v>818</v>
      </c>
      <c r="H689" s="80" t="s">
        <v>3024</v>
      </c>
      <c r="I689" s="83">
        <v>45602</v>
      </c>
      <c r="J689" s="80" t="s">
        <v>482</v>
      </c>
      <c r="K689" s="80" t="s">
        <v>156</v>
      </c>
      <c r="L689" s="84" t="s">
        <v>189</v>
      </c>
      <c r="M689" s="84" t="s">
        <v>71</v>
      </c>
      <c r="N689" s="84" t="s">
        <v>72</v>
      </c>
      <c r="O689" s="33" t="s">
        <v>3307</v>
      </c>
      <c r="P689" s="28"/>
      <c r="Q689" s="49" t="s">
        <v>75</v>
      </c>
      <c r="R689" s="25" t="s">
        <v>91</v>
      </c>
      <c r="S689" s="26">
        <v>18</v>
      </c>
      <c r="T689" s="26">
        <v>66</v>
      </c>
      <c r="U689" s="32" t="s">
        <v>3308</v>
      </c>
      <c r="V689" s="66"/>
      <c r="W689" s="106"/>
      <c r="X689" s="106" t="s">
        <v>369</v>
      </c>
      <c r="Y689" s="26" t="s">
        <v>76</v>
      </c>
      <c r="Z689" s="75" t="s">
        <v>93</v>
      </c>
      <c r="AA689" s="30" t="s">
        <v>76</v>
      </c>
    </row>
    <row r="690" spans="1:29" ht="33" hidden="1">
      <c r="A690" s="88">
        <v>680</v>
      </c>
      <c r="B690" s="79" t="s">
        <v>3309</v>
      </c>
      <c r="C690" s="148" t="s">
        <v>8</v>
      </c>
      <c r="D690" s="80" t="s">
        <v>63</v>
      </c>
      <c r="E690" s="27" t="s">
        <v>2116</v>
      </c>
      <c r="F690" s="80" t="s">
        <v>120</v>
      </c>
      <c r="G690" s="81" t="s">
        <v>1041</v>
      </c>
      <c r="H690" s="80" t="s">
        <v>2117</v>
      </c>
      <c r="I690" s="83">
        <v>45603</v>
      </c>
      <c r="J690" s="80" t="s">
        <v>111</v>
      </c>
      <c r="K690" s="80" t="s">
        <v>112</v>
      </c>
      <c r="L690" s="84" t="s">
        <v>122</v>
      </c>
      <c r="M690" s="84" t="s">
        <v>114</v>
      </c>
      <c r="N690" s="84" t="s">
        <v>72</v>
      </c>
      <c r="O690" s="33" t="s">
        <v>3310</v>
      </c>
      <c r="P690" s="28" t="s">
        <v>3311</v>
      </c>
      <c r="Q690" s="49" t="s">
        <v>91</v>
      </c>
      <c r="R690" s="25"/>
      <c r="S690" s="26">
        <v>9</v>
      </c>
      <c r="T690" s="26"/>
      <c r="U690" s="32" t="s">
        <v>3312</v>
      </c>
      <c r="V690" s="66"/>
      <c r="W690" s="106"/>
      <c r="X690" s="106" t="s">
        <v>76</v>
      </c>
      <c r="Y690" s="26" t="s">
        <v>76</v>
      </c>
      <c r="Z690" s="75" t="s">
        <v>193</v>
      </c>
      <c r="AA690" s="30" t="s">
        <v>76</v>
      </c>
    </row>
    <row r="691" spans="1:29" ht="33" hidden="1">
      <c r="A691" s="98">
        <v>681</v>
      </c>
      <c r="B691" s="79" t="s">
        <v>3313</v>
      </c>
      <c r="C691" s="148" t="s">
        <v>2146</v>
      </c>
      <c r="D691" s="80" t="s">
        <v>83</v>
      </c>
      <c r="E691" s="27" t="s">
        <v>3314</v>
      </c>
      <c r="F691" s="80" t="s">
        <v>109</v>
      </c>
      <c r="G691" s="81" t="s">
        <v>2148</v>
      </c>
      <c r="H691" s="80" t="s">
        <v>3315</v>
      </c>
      <c r="I691" s="83">
        <v>45604</v>
      </c>
      <c r="J691" s="80" t="s">
        <v>250</v>
      </c>
      <c r="K691" s="80" t="s">
        <v>69</v>
      </c>
      <c r="L691" s="84" t="s">
        <v>251</v>
      </c>
      <c r="M691" s="84" t="s">
        <v>252</v>
      </c>
      <c r="N691" s="84" t="s">
        <v>72</v>
      </c>
      <c r="O691" s="33" t="s">
        <v>3316</v>
      </c>
      <c r="P691" s="28"/>
      <c r="Q691" s="49" t="s">
        <v>75</v>
      </c>
      <c r="R691" s="25" t="s">
        <v>75</v>
      </c>
      <c r="S691" s="26">
        <v>26</v>
      </c>
      <c r="T691" s="26">
        <v>80</v>
      </c>
      <c r="U691" s="29" t="s">
        <v>3317</v>
      </c>
      <c r="V691" s="66" t="s">
        <v>75</v>
      </c>
      <c r="W691" s="106" t="s">
        <v>721</v>
      </c>
      <c r="X691" s="106" t="s">
        <v>369</v>
      </c>
      <c r="Y691" s="106" t="s">
        <v>516</v>
      </c>
      <c r="Z691" s="75" t="s">
        <v>106</v>
      </c>
      <c r="AA691" s="30" t="s">
        <v>76</v>
      </c>
    </row>
    <row r="692" spans="1:29" ht="33" hidden="1">
      <c r="A692" s="98">
        <v>682</v>
      </c>
      <c r="B692" s="79" t="s">
        <v>3318</v>
      </c>
      <c r="C692" s="148" t="s">
        <v>8</v>
      </c>
      <c r="D692" s="80" t="s">
        <v>63</v>
      </c>
      <c r="E692" s="27" t="s">
        <v>2006</v>
      </c>
      <c r="F692" s="80" t="s">
        <v>109</v>
      </c>
      <c r="G692" s="81" t="s">
        <v>277</v>
      </c>
      <c r="H692" s="80" t="s">
        <v>2007</v>
      </c>
      <c r="I692" s="83">
        <v>45604</v>
      </c>
      <c r="J692" s="80" t="s">
        <v>332</v>
      </c>
      <c r="K692" s="80" t="s">
        <v>198</v>
      </c>
      <c r="L692" s="84" t="s">
        <v>189</v>
      </c>
      <c r="M692" s="84" t="s">
        <v>200</v>
      </c>
      <c r="N692" s="84" t="s">
        <v>72</v>
      </c>
      <c r="O692" s="33" t="s">
        <v>3319</v>
      </c>
      <c r="P692" s="28"/>
      <c r="Q692" s="49" t="s">
        <v>75</v>
      </c>
      <c r="R692" s="25" t="s">
        <v>91</v>
      </c>
      <c r="S692" s="114">
        <v>18</v>
      </c>
      <c r="T692" s="114">
        <v>52</v>
      </c>
      <c r="U692" s="33" t="s">
        <v>3115</v>
      </c>
      <c r="V692" s="66"/>
      <c r="W692" s="106"/>
      <c r="X692" s="106" t="s">
        <v>369</v>
      </c>
      <c r="Y692" s="106" t="s">
        <v>76</v>
      </c>
      <c r="Z692" s="75" t="s">
        <v>93</v>
      </c>
      <c r="AA692" s="30" t="s">
        <v>76</v>
      </c>
    </row>
    <row r="693" spans="1:29" ht="33" hidden="1">
      <c r="A693" s="98">
        <v>683</v>
      </c>
      <c r="B693" s="79" t="s">
        <v>3320</v>
      </c>
      <c r="C693" s="148" t="s">
        <v>8</v>
      </c>
      <c r="D693" s="80" t="s">
        <v>63</v>
      </c>
      <c r="E693" s="27" t="s">
        <v>2945</v>
      </c>
      <c r="F693" s="80" t="s">
        <v>120</v>
      </c>
      <c r="G693" s="81" t="s">
        <v>2076</v>
      </c>
      <c r="H693" s="80" t="s">
        <v>2946</v>
      </c>
      <c r="I693" s="83">
        <v>45604</v>
      </c>
      <c r="J693" s="80" t="s">
        <v>187</v>
      </c>
      <c r="K693" s="80" t="s">
        <v>156</v>
      </c>
      <c r="L693" s="84" t="s">
        <v>189</v>
      </c>
      <c r="M693" s="84" t="s">
        <v>114</v>
      </c>
      <c r="N693" s="84" t="s">
        <v>72</v>
      </c>
      <c r="O693" s="33" t="s">
        <v>3321</v>
      </c>
      <c r="P693" s="28"/>
      <c r="Q693" s="49" t="s">
        <v>75</v>
      </c>
      <c r="R693" s="196" t="s">
        <v>91</v>
      </c>
      <c r="S693" s="26">
        <v>20</v>
      </c>
      <c r="T693" s="198" t="s">
        <v>313</v>
      </c>
      <c r="U693" s="32" t="s">
        <v>3322</v>
      </c>
      <c r="V693" s="66"/>
      <c r="W693" s="106"/>
      <c r="X693" s="106" t="s">
        <v>369</v>
      </c>
      <c r="Y693" s="26" t="s">
        <v>76</v>
      </c>
      <c r="Z693" s="75" t="s">
        <v>106</v>
      </c>
      <c r="AA693" s="30" t="s">
        <v>76</v>
      </c>
    </row>
    <row r="694" spans="1:29" ht="33" hidden="1">
      <c r="A694" s="98">
        <v>684</v>
      </c>
      <c r="B694" s="79" t="s">
        <v>3323</v>
      </c>
      <c r="C694" s="148" t="s">
        <v>8</v>
      </c>
      <c r="D694" s="80" t="s">
        <v>63</v>
      </c>
      <c r="E694" s="27" t="s">
        <v>2344</v>
      </c>
      <c r="F694" s="80" t="s">
        <v>120</v>
      </c>
      <c r="G694" s="81" t="s">
        <v>1653</v>
      </c>
      <c r="H694" s="80" t="s">
        <v>2345</v>
      </c>
      <c r="I694" s="83">
        <v>45604</v>
      </c>
      <c r="J694" s="80" t="s">
        <v>187</v>
      </c>
      <c r="K694" s="80" t="s">
        <v>112</v>
      </c>
      <c r="L694" s="84" t="s">
        <v>189</v>
      </c>
      <c r="M694" s="84" t="s">
        <v>114</v>
      </c>
      <c r="N694" s="84" t="s">
        <v>72</v>
      </c>
      <c r="O694" s="33" t="s">
        <v>3324</v>
      </c>
      <c r="P694" s="28"/>
      <c r="Q694" s="49" t="s">
        <v>75</v>
      </c>
      <c r="R694" s="25" t="s">
        <v>91</v>
      </c>
      <c r="S694" s="26">
        <v>20</v>
      </c>
      <c r="T694" s="26">
        <v>61</v>
      </c>
      <c r="U694" s="33" t="s">
        <v>3325</v>
      </c>
      <c r="V694" s="66"/>
      <c r="W694" s="106"/>
      <c r="X694" s="106" t="s">
        <v>369</v>
      </c>
      <c r="Y694" s="26" t="s">
        <v>76</v>
      </c>
      <c r="Z694" s="75" t="s">
        <v>93</v>
      </c>
      <c r="AA694" s="30" t="s">
        <v>76</v>
      </c>
    </row>
    <row r="695" spans="1:29" ht="33" hidden="1">
      <c r="A695" s="98">
        <v>685</v>
      </c>
      <c r="B695" s="79" t="s">
        <v>3326</v>
      </c>
      <c r="C695" s="148" t="s">
        <v>8</v>
      </c>
      <c r="D695" s="80" t="s">
        <v>63</v>
      </c>
      <c r="E695" s="27" t="s">
        <v>2703</v>
      </c>
      <c r="F695" s="80" t="s">
        <v>65</v>
      </c>
      <c r="G695" s="81" t="s">
        <v>2076</v>
      </c>
      <c r="H695" s="80" t="s">
        <v>2704</v>
      </c>
      <c r="I695" s="83">
        <v>45604</v>
      </c>
      <c r="J695" s="80" t="s">
        <v>187</v>
      </c>
      <c r="K695" s="80" t="s">
        <v>188</v>
      </c>
      <c r="L695" s="84" t="s">
        <v>189</v>
      </c>
      <c r="M695" s="84" t="s">
        <v>114</v>
      </c>
      <c r="N695" s="84" t="s">
        <v>72</v>
      </c>
      <c r="O695" s="33" t="s">
        <v>3327</v>
      </c>
      <c r="P695" s="28"/>
      <c r="Q695" s="49" t="s">
        <v>75</v>
      </c>
      <c r="R695" s="25" t="s">
        <v>91</v>
      </c>
      <c r="S695" s="26">
        <v>18</v>
      </c>
      <c r="T695" s="26">
        <v>50</v>
      </c>
      <c r="U695" s="33" t="s">
        <v>3328</v>
      </c>
      <c r="V695" s="66"/>
      <c r="W695" s="106"/>
      <c r="X695" s="106" t="s">
        <v>369</v>
      </c>
      <c r="Y695" s="26" t="s">
        <v>76</v>
      </c>
      <c r="Z695" s="75" t="s">
        <v>93</v>
      </c>
      <c r="AA695" s="30" t="s">
        <v>76</v>
      </c>
    </row>
    <row r="696" spans="1:29" ht="33" hidden="1">
      <c r="A696" s="98">
        <v>686</v>
      </c>
      <c r="B696" s="79" t="s">
        <v>3329</v>
      </c>
      <c r="C696" s="148" t="s">
        <v>8</v>
      </c>
      <c r="D696" s="80" t="s">
        <v>83</v>
      </c>
      <c r="E696" s="27" t="s">
        <v>378</v>
      </c>
      <c r="F696" s="80" t="s">
        <v>109</v>
      </c>
      <c r="G696" s="81" t="s">
        <v>339</v>
      </c>
      <c r="H696" s="80" t="s">
        <v>379</v>
      </c>
      <c r="I696" s="83">
        <v>45604</v>
      </c>
      <c r="J696" s="80" t="s">
        <v>332</v>
      </c>
      <c r="K696" s="80" t="s">
        <v>198</v>
      </c>
      <c r="L696" s="84" t="s">
        <v>189</v>
      </c>
      <c r="M696" s="84" t="s">
        <v>200</v>
      </c>
      <c r="N696" s="84" t="s">
        <v>72</v>
      </c>
      <c r="O696" s="33" t="s">
        <v>3330</v>
      </c>
      <c r="P696" s="28"/>
      <c r="Q696" s="49" t="s">
        <v>75</v>
      </c>
      <c r="R696" s="25" t="s">
        <v>75</v>
      </c>
      <c r="S696" s="26">
        <v>18</v>
      </c>
      <c r="T696" s="26">
        <v>81</v>
      </c>
      <c r="U696" s="61" t="s">
        <v>3331</v>
      </c>
      <c r="V696" s="66" t="s">
        <v>75</v>
      </c>
      <c r="W696" s="106" t="s">
        <v>721</v>
      </c>
      <c r="X696" s="135" t="s">
        <v>369</v>
      </c>
      <c r="Y696" s="106" t="s">
        <v>105</v>
      </c>
      <c r="Z696" s="93" t="s">
        <v>79</v>
      </c>
      <c r="AA696" s="30" t="s">
        <v>76</v>
      </c>
      <c r="AB696" s="26"/>
      <c r="AC696" s="44"/>
    </row>
    <row r="697" spans="1:29" ht="49.5" hidden="1">
      <c r="A697" s="98">
        <v>687</v>
      </c>
      <c r="B697" s="79" t="s">
        <v>3332</v>
      </c>
      <c r="C697" s="148" t="s">
        <v>8</v>
      </c>
      <c r="D697" s="80" t="s">
        <v>63</v>
      </c>
      <c r="E697" s="27" t="s">
        <v>1694</v>
      </c>
      <c r="F697" s="80" t="s">
        <v>109</v>
      </c>
      <c r="G697" s="81" t="s">
        <v>1522</v>
      </c>
      <c r="H697" s="80" t="s">
        <v>1695</v>
      </c>
      <c r="I697" s="83">
        <v>45604</v>
      </c>
      <c r="J697" s="80" t="s">
        <v>332</v>
      </c>
      <c r="K697" s="80" t="s">
        <v>188</v>
      </c>
      <c r="L697" s="84" t="s">
        <v>189</v>
      </c>
      <c r="M697" s="84" t="s">
        <v>200</v>
      </c>
      <c r="N697" s="84" t="s">
        <v>72</v>
      </c>
      <c r="O697" s="33" t="s">
        <v>3333</v>
      </c>
      <c r="P697" s="28"/>
      <c r="Q697" s="49" t="s">
        <v>75</v>
      </c>
      <c r="R697" s="25" t="s">
        <v>91</v>
      </c>
      <c r="S697" s="26">
        <v>18</v>
      </c>
      <c r="T697" s="26">
        <v>61</v>
      </c>
      <c r="U697" s="33" t="s">
        <v>1560</v>
      </c>
      <c r="V697" s="66"/>
      <c r="W697" s="106"/>
      <c r="X697" s="106" t="s">
        <v>369</v>
      </c>
      <c r="Y697" s="26" t="s">
        <v>76</v>
      </c>
      <c r="Z697" s="75" t="s">
        <v>93</v>
      </c>
      <c r="AA697" s="30" t="s">
        <v>76</v>
      </c>
    </row>
    <row r="698" spans="1:29" ht="180.75" hidden="1">
      <c r="A698" s="98">
        <v>688</v>
      </c>
      <c r="B698" s="79" t="s">
        <v>3334</v>
      </c>
      <c r="C698" s="148" t="s">
        <v>8</v>
      </c>
      <c r="D698" s="80" t="s">
        <v>63</v>
      </c>
      <c r="E698" s="27" t="s">
        <v>2044</v>
      </c>
      <c r="F698" s="80" t="s">
        <v>120</v>
      </c>
      <c r="G698" s="81" t="s">
        <v>818</v>
      </c>
      <c r="H698" s="80" t="s">
        <v>2045</v>
      </c>
      <c r="I698" s="83">
        <v>45604</v>
      </c>
      <c r="J698" s="80" t="s">
        <v>187</v>
      </c>
      <c r="K698" s="80" t="s">
        <v>188</v>
      </c>
      <c r="L698" s="84" t="s">
        <v>189</v>
      </c>
      <c r="M698" s="84" t="s">
        <v>114</v>
      </c>
      <c r="N698" s="84" t="s">
        <v>72</v>
      </c>
      <c r="O698" s="33" t="s">
        <v>3335</v>
      </c>
      <c r="P698" s="28" t="s">
        <v>3336</v>
      </c>
      <c r="Q698" s="49" t="s">
        <v>75</v>
      </c>
      <c r="R698" s="25" t="s">
        <v>91</v>
      </c>
      <c r="S698" s="26">
        <v>18</v>
      </c>
      <c r="T698" s="26">
        <v>61</v>
      </c>
      <c r="U698" s="33" t="s">
        <v>1560</v>
      </c>
      <c r="V698" s="66"/>
      <c r="W698" s="106"/>
      <c r="X698" s="106" t="s">
        <v>369</v>
      </c>
      <c r="Y698" s="26" t="s">
        <v>76</v>
      </c>
      <c r="Z698" s="75" t="s">
        <v>106</v>
      </c>
      <c r="AA698" s="30" t="s">
        <v>76</v>
      </c>
    </row>
    <row r="699" spans="1:29" ht="33" hidden="1">
      <c r="A699" s="98">
        <v>689</v>
      </c>
      <c r="B699" s="79" t="s">
        <v>3337</v>
      </c>
      <c r="C699" s="148" t="s">
        <v>8</v>
      </c>
      <c r="D699" s="80" t="s">
        <v>63</v>
      </c>
      <c r="E699" s="27" t="s">
        <v>2933</v>
      </c>
      <c r="F699" s="80" t="s">
        <v>65</v>
      </c>
      <c r="G699" s="81" t="s">
        <v>2076</v>
      </c>
      <c r="H699" s="80" t="s">
        <v>2934</v>
      </c>
      <c r="I699" s="83">
        <v>45607</v>
      </c>
      <c r="J699" s="80" t="s">
        <v>833</v>
      </c>
      <c r="K699" s="80" t="s">
        <v>188</v>
      </c>
      <c r="L699" s="84" t="s">
        <v>189</v>
      </c>
      <c r="M699" s="84" t="s">
        <v>252</v>
      </c>
      <c r="N699" s="84" t="s">
        <v>72</v>
      </c>
      <c r="O699" s="33" t="s">
        <v>3338</v>
      </c>
      <c r="P699" s="28"/>
      <c r="Q699" s="49" t="s">
        <v>75</v>
      </c>
      <c r="R699" s="25" t="s">
        <v>91</v>
      </c>
      <c r="S699" s="26">
        <v>18</v>
      </c>
      <c r="T699" s="26">
        <v>54</v>
      </c>
      <c r="U699" s="33" t="s">
        <v>3339</v>
      </c>
      <c r="V699" s="66"/>
      <c r="W699" s="106"/>
      <c r="X699" s="106" t="s">
        <v>369</v>
      </c>
      <c r="Y699" s="26" t="s">
        <v>76</v>
      </c>
      <c r="Z699" s="75" t="s">
        <v>93</v>
      </c>
      <c r="AA699" s="30" t="s">
        <v>76</v>
      </c>
    </row>
    <row r="700" spans="1:29" ht="33" hidden="1">
      <c r="A700" s="98">
        <v>690</v>
      </c>
      <c r="B700" s="79" t="s">
        <v>3340</v>
      </c>
      <c r="C700" s="148" t="s">
        <v>8</v>
      </c>
      <c r="D700" s="80" t="s">
        <v>83</v>
      </c>
      <c r="E700" s="27" t="s">
        <v>668</v>
      </c>
      <c r="F700" s="80" t="s">
        <v>338</v>
      </c>
      <c r="G700" s="81" t="s">
        <v>669</v>
      </c>
      <c r="H700" s="80" t="s">
        <v>670</v>
      </c>
      <c r="I700" s="83">
        <v>45608</v>
      </c>
      <c r="J700" s="80" t="s">
        <v>657</v>
      </c>
      <c r="K700" s="80" t="s">
        <v>188</v>
      </c>
      <c r="L700" s="84" t="s">
        <v>189</v>
      </c>
      <c r="M700" s="84" t="s">
        <v>221</v>
      </c>
      <c r="N700" s="84" t="s">
        <v>72</v>
      </c>
      <c r="O700" s="115" t="s">
        <v>3341</v>
      </c>
      <c r="P700" s="28"/>
      <c r="Q700" s="49" t="s">
        <v>91</v>
      </c>
      <c r="R700" s="25"/>
      <c r="S700" s="26">
        <v>13</v>
      </c>
      <c r="T700" s="26"/>
      <c r="U700" s="32" t="s">
        <v>3342</v>
      </c>
      <c r="V700" s="66"/>
      <c r="W700" s="106"/>
      <c r="X700" s="106" t="s">
        <v>76</v>
      </c>
      <c r="Y700" s="26" t="s">
        <v>76</v>
      </c>
      <c r="Z700" s="75" t="s">
        <v>193</v>
      </c>
      <c r="AA700" s="30" t="s">
        <v>76</v>
      </c>
    </row>
    <row r="701" spans="1:29" ht="49.5" hidden="1">
      <c r="A701" s="98">
        <v>691</v>
      </c>
      <c r="B701" s="79" t="s">
        <v>3343</v>
      </c>
      <c r="C701" s="148" t="s">
        <v>8</v>
      </c>
      <c r="D701" s="80" t="s">
        <v>63</v>
      </c>
      <c r="E701" s="27" t="s">
        <v>1694</v>
      </c>
      <c r="F701" s="80" t="s">
        <v>109</v>
      </c>
      <c r="G701" s="81" t="s">
        <v>1522</v>
      </c>
      <c r="H701" s="80" t="s">
        <v>1695</v>
      </c>
      <c r="I701" s="83">
        <v>45608</v>
      </c>
      <c r="J701" s="80" t="s">
        <v>783</v>
      </c>
      <c r="K701" s="80" t="s">
        <v>188</v>
      </c>
      <c r="L701" s="84" t="s">
        <v>189</v>
      </c>
      <c r="M701" s="84" t="s">
        <v>784</v>
      </c>
      <c r="N701" s="84" t="s">
        <v>72</v>
      </c>
      <c r="O701" s="33" t="s">
        <v>3344</v>
      </c>
      <c r="P701" s="28"/>
      <c r="Q701" s="49" t="s">
        <v>75</v>
      </c>
      <c r="R701" s="25" t="s">
        <v>91</v>
      </c>
      <c r="S701" s="26">
        <v>18</v>
      </c>
      <c r="T701" s="26">
        <v>61</v>
      </c>
      <c r="U701" s="33" t="s">
        <v>1560</v>
      </c>
      <c r="V701" s="66"/>
      <c r="W701" s="106"/>
      <c r="X701" s="106" t="s">
        <v>369</v>
      </c>
      <c r="Y701" s="26" t="s">
        <v>76</v>
      </c>
      <c r="Z701" s="75" t="s">
        <v>93</v>
      </c>
      <c r="AA701" s="30" t="s">
        <v>76</v>
      </c>
    </row>
    <row r="702" spans="1:29" ht="49.5" hidden="1">
      <c r="A702" s="98">
        <v>692</v>
      </c>
      <c r="B702" s="79" t="s">
        <v>3345</v>
      </c>
      <c r="C702" s="148" t="s">
        <v>8</v>
      </c>
      <c r="D702" s="80" t="s">
        <v>63</v>
      </c>
      <c r="E702" s="27" t="s">
        <v>1548</v>
      </c>
      <c r="F702" s="80" t="s">
        <v>338</v>
      </c>
      <c r="G702" s="81" t="s">
        <v>1522</v>
      </c>
      <c r="H702" s="80" t="s">
        <v>1549</v>
      </c>
      <c r="I702" s="83">
        <v>45608</v>
      </c>
      <c r="J702" s="80" t="s">
        <v>332</v>
      </c>
      <c r="K702" s="80" t="s">
        <v>198</v>
      </c>
      <c r="L702" s="84" t="s">
        <v>189</v>
      </c>
      <c r="M702" s="84" t="s">
        <v>200</v>
      </c>
      <c r="N702" s="84" t="s">
        <v>72</v>
      </c>
      <c r="O702" s="33" t="s">
        <v>3346</v>
      </c>
      <c r="P702" s="28"/>
      <c r="Q702" s="49" t="s">
        <v>91</v>
      </c>
      <c r="R702" s="25"/>
      <c r="S702" s="26">
        <v>16</v>
      </c>
      <c r="T702" s="26"/>
      <c r="U702" s="33" t="s">
        <v>3347</v>
      </c>
      <c r="V702" s="66"/>
      <c r="W702" s="106"/>
      <c r="X702" s="106" t="s">
        <v>76</v>
      </c>
      <c r="Y702" s="26" t="s">
        <v>76</v>
      </c>
      <c r="Z702" s="75" t="s">
        <v>193</v>
      </c>
      <c r="AA702" s="30" t="s">
        <v>76</v>
      </c>
      <c r="AB702" s="25" t="s">
        <v>75</v>
      </c>
    </row>
    <row r="703" spans="1:29" ht="33" hidden="1">
      <c r="A703" s="98">
        <v>693</v>
      </c>
      <c r="B703" s="79" t="s">
        <v>3348</v>
      </c>
      <c r="C703" s="148" t="s">
        <v>8</v>
      </c>
      <c r="D703" s="80" t="s">
        <v>178</v>
      </c>
      <c r="E703" s="27" t="s">
        <v>2537</v>
      </c>
      <c r="F703" s="80" t="s">
        <v>109</v>
      </c>
      <c r="G703" s="81" t="s">
        <v>180</v>
      </c>
      <c r="H703" s="80" t="s">
        <v>2538</v>
      </c>
      <c r="I703" s="83">
        <v>45609</v>
      </c>
      <c r="J703" s="80" t="s">
        <v>170</v>
      </c>
      <c r="K703" s="80" t="s">
        <v>156</v>
      </c>
      <c r="L703" s="84" t="s">
        <v>171</v>
      </c>
      <c r="M703" s="84" t="s">
        <v>71</v>
      </c>
      <c r="N703" s="84" t="s">
        <v>72</v>
      </c>
      <c r="O703" s="33" t="s">
        <v>3349</v>
      </c>
      <c r="P703" s="28"/>
      <c r="Q703" s="49" t="s">
        <v>91</v>
      </c>
      <c r="R703" s="25"/>
      <c r="S703" s="26">
        <v>16</v>
      </c>
      <c r="T703" s="26"/>
      <c r="U703" s="33" t="s">
        <v>3350</v>
      </c>
      <c r="V703" s="66"/>
      <c r="W703" s="106"/>
      <c r="X703" s="106" t="s">
        <v>76</v>
      </c>
      <c r="Y703" s="26" t="s">
        <v>76</v>
      </c>
      <c r="Z703" s="75" t="s">
        <v>193</v>
      </c>
      <c r="AA703" s="30" t="s">
        <v>76</v>
      </c>
    </row>
    <row r="704" spans="1:29" ht="33" hidden="1">
      <c r="A704" s="98">
        <v>694</v>
      </c>
      <c r="B704" s="79" t="s">
        <v>3351</v>
      </c>
      <c r="C704" s="148" t="s">
        <v>8</v>
      </c>
      <c r="D704" s="80" t="s">
        <v>178</v>
      </c>
      <c r="E704" s="27" t="s">
        <v>2537</v>
      </c>
      <c r="F704" s="80" t="s">
        <v>109</v>
      </c>
      <c r="G704" s="81" t="s">
        <v>180</v>
      </c>
      <c r="H704" s="80" t="s">
        <v>2538</v>
      </c>
      <c r="I704" s="83">
        <v>45609</v>
      </c>
      <c r="J704" s="80" t="s">
        <v>1003</v>
      </c>
      <c r="K704" s="80" t="s">
        <v>69</v>
      </c>
      <c r="L704" s="84" t="s">
        <v>100</v>
      </c>
      <c r="M704" s="84" t="s">
        <v>252</v>
      </c>
      <c r="N704" s="84" t="s">
        <v>72</v>
      </c>
      <c r="O704" s="33" t="s">
        <v>3352</v>
      </c>
      <c r="P704" s="28"/>
      <c r="Q704" s="49" t="s">
        <v>91</v>
      </c>
      <c r="R704" s="25"/>
      <c r="S704" s="26">
        <v>12</v>
      </c>
      <c r="T704" s="26"/>
      <c r="U704" s="32" t="s">
        <v>3353</v>
      </c>
      <c r="V704" s="66"/>
      <c r="W704" s="106"/>
      <c r="X704" s="106" t="s">
        <v>76</v>
      </c>
      <c r="Y704" s="26" t="s">
        <v>76</v>
      </c>
      <c r="Z704" s="93" t="s">
        <v>193</v>
      </c>
      <c r="AA704" s="30" t="s">
        <v>76</v>
      </c>
    </row>
    <row r="705" spans="1:29" ht="49.5" hidden="1">
      <c r="A705" s="98">
        <v>695</v>
      </c>
      <c r="B705" s="79" t="s">
        <v>3354</v>
      </c>
      <c r="C705" s="148" t="s">
        <v>8</v>
      </c>
      <c r="D705" s="80" t="s">
        <v>63</v>
      </c>
      <c r="E705" s="27" t="s">
        <v>2044</v>
      </c>
      <c r="F705" s="80" t="s">
        <v>120</v>
      </c>
      <c r="G705" s="81" t="s">
        <v>818</v>
      </c>
      <c r="H705" s="80" t="s">
        <v>2045</v>
      </c>
      <c r="I705" s="83">
        <v>45610</v>
      </c>
      <c r="J705" s="80" t="s">
        <v>187</v>
      </c>
      <c r="K705" s="80" t="s">
        <v>188</v>
      </c>
      <c r="L705" s="84" t="s">
        <v>189</v>
      </c>
      <c r="M705" s="84" t="s">
        <v>114</v>
      </c>
      <c r="N705" s="84" t="s">
        <v>72</v>
      </c>
      <c r="O705" s="33" t="s">
        <v>3355</v>
      </c>
      <c r="P705" s="28"/>
      <c r="Q705" s="49" t="s">
        <v>75</v>
      </c>
      <c r="R705" s="25" t="s">
        <v>91</v>
      </c>
      <c r="S705" s="26">
        <v>18</v>
      </c>
      <c r="T705" s="26">
        <v>61</v>
      </c>
      <c r="U705" s="33" t="s">
        <v>1560</v>
      </c>
      <c r="V705" s="66"/>
      <c r="W705" s="106"/>
      <c r="X705" s="106" t="s">
        <v>369</v>
      </c>
      <c r="Y705" s="26" t="s">
        <v>76</v>
      </c>
      <c r="Z705" s="75" t="s">
        <v>106</v>
      </c>
      <c r="AA705" s="30" t="s">
        <v>76</v>
      </c>
    </row>
    <row r="706" spans="1:29" ht="49.5" hidden="1">
      <c r="A706" s="98">
        <v>696</v>
      </c>
      <c r="B706" s="79" t="s">
        <v>3356</v>
      </c>
      <c r="C706" s="148" t="s">
        <v>8</v>
      </c>
      <c r="D706" s="80" t="s">
        <v>63</v>
      </c>
      <c r="E706" s="27" t="s">
        <v>3357</v>
      </c>
      <c r="F706" s="80" t="s">
        <v>338</v>
      </c>
      <c r="G706" s="81" t="s">
        <v>1522</v>
      </c>
      <c r="H706" s="80" t="s">
        <v>3358</v>
      </c>
      <c r="I706" s="83">
        <v>45610</v>
      </c>
      <c r="J706" s="80" t="s">
        <v>833</v>
      </c>
      <c r="K706" s="80" t="s">
        <v>69</v>
      </c>
      <c r="L706" s="84" t="s">
        <v>189</v>
      </c>
      <c r="M706" s="84" t="s">
        <v>252</v>
      </c>
      <c r="N706" s="84" t="s">
        <v>72</v>
      </c>
      <c r="O706" s="33" t="s">
        <v>3359</v>
      </c>
      <c r="P706" s="28"/>
      <c r="Q706" s="49" t="s">
        <v>75</v>
      </c>
      <c r="R706" s="25" t="s">
        <v>91</v>
      </c>
      <c r="S706" s="55">
        <v>18</v>
      </c>
      <c r="T706" s="26">
        <v>50</v>
      </c>
      <c r="U706" s="32" t="s">
        <v>3360</v>
      </c>
      <c r="V706" s="66"/>
      <c r="W706" s="106"/>
      <c r="X706" s="106" t="s">
        <v>369</v>
      </c>
      <c r="Y706" s="26" t="s">
        <v>76</v>
      </c>
      <c r="Z706" s="75" t="s">
        <v>93</v>
      </c>
      <c r="AA706" s="30" t="s">
        <v>76</v>
      </c>
    </row>
    <row r="707" spans="1:29" ht="49.5" hidden="1">
      <c r="A707" s="98">
        <v>697</v>
      </c>
      <c r="B707" s="79" t="s">
        <v>3361</v>
      </c>
      <c r="C707" s="148" t="s">
        <v>8</v>
      </c>
      <c r="D707" s="80" t="s">
        <v>63</v>
      </c>
      <c r="E707" s="27" t="s">
        <v>3362</v>
      </c>
      <c r="F707" s="80" t="s">
        <v>338</v>
      </c>
      <c r="G707" s="81" t="s">
        <v>995</v>
      </c>
      <c r="H707" s="80" t="s">
        <v>3363</v>
      </c>
      <c r="I707" s="83">
        <v>45611</v>
      </c>
      <c r="J707" s="80" t="s">
        <v>1144</v>
      </c>
      <c r="K707" s="80" t="s">
        <v>146</v>
      </c>
      <c r="L707" s="84" t="s">
        <v>189</v>
      </c>
      <c r="M707" s="84" t="s">
        <v>148</v>
      </c>
      <c r="N707" s="84" t="s">
        <v>72</v>
      </c>
      <c r="O707" s="33" t="s">
        <v>3364</v>
      </c>
      <c r="P707" s="28"/>
      <c r="Q707" s="49" t="s">
        <v>75</v>
      </c>
      <c r="R707" s="25" t="s">
        <v>91</v>
      </c>
      <c r="S707" s="26">
        <v>19</v>
      </c>
      <c r="T707" s="26">
        <v>69</v>
      </c>
      <c r="U707" s="61" t="s">
        <v>3057</v>
      </c>
      <c r="V707" s="66"/>
      <c r="W707" s="106"/>
      <c r="X707" s="106" t="s">
        <v>369</v>
      </c>
      <c r="Y707" s="26" t="s">
        <v>76</v>
      </c>
      <c r="Z707" s="75" t="s">
        <v>93</v>
      </c>
      <c r="AA707" s="30" t="s">
        <v>76</v>
      </c>
    </row>
    <row r="708" spans="1:29" ht="49.5" hidden="1">
      <c r="A708" s="98">
        <v>698</v>
      </c>
      <c r="B708" s="79" t="s">
        <v>3365</v>
      </c>
      <c r="C708" s="148" t="s">
        <v>8</v>
      </c>
      <c r="D708" s="80" t="s">
        <v>63</v>
      </c>
      <c r="E708" s="27" t="s">
        <v>2631</v>
      </c>
      <c r="F708" s="80" t="s">
        <v>109</v>
      </c>
      <c r="G708" s="81" t="s">
        <v>995</v>
      </c>
      <c r="H708" s="80" t="s">
        <v>2632</v>
      </c>
      <c r="I708" s="83">
        <v>45614</v>
      </c>
      <c r="J708" s="80" t="s">
        <v>663</v>
      </c>
      <c r="K708" s="80" t="s">
        <v>69</v>
      </c>
      <c r="L708" s="84" t="s">
        <v>100</v>
      </c>
      <c r="M708" s="84" t="s">
        <v>595</v>
      </c>
      <c r="N708" s="84" t="s">
        <v>72</v>
      </c>
      <c r="O708" s="33" t="s">
        <v>3366</v>
      </c>
      <c r="P708" s="28"/>
      <c r="Q708" s="49" t="s">
        <v>75</v>
      </c>
      <c r="R708" s="25" t="s">
        <v>91</v>
      </c>
      <c r="S708" s="26">
        <v>19</v>
      </c>
      <c r="T708" s="26">
        <v>51</v>
      </c>
      <c r="U708" s="32" t="s">
        <v>3367</v>
      </c>
      <c r="V708" s="66"/>
      <c r="W708" s="106"/>
      <c r="X708" s="106" t="s">
        <v>369</v>
      </c>
      <c r="Y708" s="26" t="s">
        <v>76</v>
      </c>
      <c r="Z708" s="93" t="s">
        <v>93</v>
      </c>
      <c r="AA708" s="30" t="s">
        <v>76</v>
      </c>
    </row>
    <row r="709" spans="1:29" ht="33" hidden="1">
      <c r="A709" s="98">
        <v>699</v>
      </c>
      <c r="B709" s="79" t="s">
        <v>3368</v>
      </c>
      <c r="C709" s="148" t="s">
        <v>10</v>
      </c>
      <c r="D709" s="80" t="s">
        <v>83</v>
      </c>
      <c r="E709" s="27" t="s">
        <v>3369</v>
      </c>
      <c r="F709" s="80" t="s">
        <v>120</v>
      </c>
      <c r="G709" s="81" t="s">
        <v>3370</v>
      </c>
      <c r="H709" s="80" t="s">
        <v>3371</v>
      </c>
      <c r="I709" s="83">
        <v>45614</v>
      </c>
      <c r="J709" s="80" t="s">
        <v>3372</v>
      </c>
      <c r="K709" s="80" t="s">
        <v>3373</v>
      </c>
      <c r="L709" s="84" t="s">
        <v>100</v>
      </c>
      <c r="M709" s="84" t="s">
        <v>88</v>
      </c>
      <c r="N709" s="84" t="s">
        <v>253</v>
      </c>
      <c r="O709" s="306" t="s">
        <v>3374</v>
      </c>
      <c r="P709" s="28"/>
      <c r="Q709" s="49" t="s">
        <v>75</v>
      </c>
      <c r="R709" s="25" t="s">
        <v>75</v>
      </c>
      <c r="S709" s="26"/>
      <c r="T709" s="26"/>
      <c r="U709" s="31" t="s">
        <v>76</v>
      </c>
      <c r="V709" s="66" t="s">
        <v>75</v>
      </c>
      <c r="W709" s="106" t="s">
        <v>949</v>
      </c>
      <c r="X709" s="106" t="s">
        <v>369</v>
      </c>
      <c r="Y709" s="26" t="s">
        <v>3375</v>
      </c>
      <c r="Z709" s="93" t="s">
        <v>93</v>
      </c>
      <c r="AA709" s="30" t="s">
        <v>76</v>
      </c>
    </row>
    <row r="710" spans="1:29" ht="66" hidden="1">
      <c r="A710" s="98">
        <v>700</v>
      </c>
      <c r="B710" s="79" t="s">
        <v>3376</v>
      </c>
      <c r="C710" s="148" t="s">
        <v>9</v>
      </c>
      <c r="D710" s="80" t="s">
        <v>83</v>
      </c>
      <c r="E710" s="27" t="s">
        <v>1321</v>
      </c>
      <c r="F710" s="80" t="s">
        <v>65</v>
      </c>
      <c r="G710" s="81" t="s">
        <v>1286</v>
      </c>
      <c r="H710" s="80" t="s">
        <v>1322</v>
      </c>
      <c r="I710" s="83">
        <v>45614</v>
      </c>
      <c r="J710" s="80" t="s">
        <v>250</v>
      </c>
      <c r="K710" s="80" t="s">
        <v>491</v>
      </c>
      <c r="L710" s="84" t="s">
        <v>251</v>
      </c>
      <c r="M710" s="84" t="s">
        <v>252</v>
      </c>
      <c r="N710" s="84" t="s">
        <v>72</v>
      </c>
      <c r="O710" s="33" t="s">
        <v>3377</v>
      </c>
      <c r="P710" s="28" t="s">
        <v>3378</v>
      </c>
      <c r="Q710" s="49" t="s">
        <v>75</v>
      </c>
      <c r="R710" s="25" t="s">
        <v>91</v>
      </c>
      <c r="S710" s="26">
        <v>18</v>
      </c>
      <c r="T710" s="26"/>
      <c r="U710" s="29" t="s">
        <v>3379</v>
      </c>
      <c r="V710" s="66"/>
      <c r="W710" s="106"/>
      <c r="X710" s="106" t="s">
        <v>369</v>
      </c>
      <c r="Y710" s="26" t="s">
        <v>76</v>
      </c>
      <c r="Z710" s="75" t="s">
        <v>93</v>
      </c>
      <c r="AA710" s="30" t="s">
        <v>76</v>
      </c>
    </row>
    <row r="711" spans="1:29" ht="33" hidden="1">
      <c r="A711" s="98">
        <v>701</v>
      </c>
      <c r="B711" s="79" t="s">
        <v>3380</v>
      </c>
      <c r="C711" s="148" t="s">
        <v>8</v>
      </c>
      <c r="D711" s="80" t="s">
        <v>63</v>
      </c>
      <c r="E711" s="27" t="s">
        <v>3381</v>
      </c>
      <c r="F711" s="80" t="s">
        <v>109</v>
      </c>
      <c r="G711" s="81" t="s">
        <v>2100</v>
      </c>
      <c r="H711" s="80" t="s">
        <v>3382</v>
      </c>
      <c r="I711" s="83">
        <v>45614</v>
      </c>
      <c r="J711" s="80" t="s">
        <v>187</v>
      </c>
      <c r="K711" s="80" t="s">
        <v>146</v>
      </c>
      <c r="L711" s="84" t="s">
        <v>189</v>
      </c>
      <c r="M711" s="84" t="s">
        <v>114</v>
      </c>
      <c r="N711" s="84" t="s">
        <v>72</v>
      </c>
      <c r="O711" s="33" t="s">
        <v>3383</v>
      </c>
      <c r="P711" s="28"/>
      <c r="Q711" s="49" t="s">
        <v>75</v>
      </c>
      <c r="R711" s="25" t="s">
        <v>91</v>
      </c>
      <c r="S711" s="26">
        <v>19</v>
      </c>
      <c r="T711" s="26">
        <v>67</v>
      </c>
      <c r="U711" s="32" t="s">
        <v>3384</v>
      </c>
      <c r="V711" s="66"/>
      <c r="W711" s="106"/>
      <c r="X711" s="106" t="s">
        <v>369</v>
      </c>
      <c r="Y711" s="26" t="s">
        <v>76</v>
      </c>
      <c r="Z711" s="75" t="s">
        <v>93</v>
      </c>
      <c r="AA711" s="30" t="s">
        <v>76</v>
      </c>
    </row>
    <row r="712" spans="1:29" ht="33" hidden="1">
      <c r="A712" s="98">
        <v>702</v>
      </c>
      <c r="B712" s="79" t="s">
        <v>3385</v>
      </c>
      <c r="C712" s="148" t="s">
        <v>8</v>
      </c>
      <c r="D712" s="80" t="s">
        <v>63</v>
      </c>
      <c r="E712" s="27" t="s">
        <v>1418</v>
      </c>
      <c r="F712" s="80" t="s">
        <v>65</v>
      </c>
      <c r="G712" s="81" t="s">
        <v>1419</v>
      </c>
      <c r="H712" s="80" t="s">
        <v>1420</v>
      </c>
      <c r="I712" s="83">
        <v>45615</v>
      </c>
      <c r="J712" s="80" t="s">
        <v>250</v>
      </c>
      <c r="K712" s="80" t="s">
        <v>491</v>
      </c>
      <c r="L712" s="84" t="s">
        <v>251</v>
      </c>
      <c r="M712" s="84" t="s">
        <v>252</v>
      </c>
      <c r="N712" s="84" t="s">
        <v>253</v>
      </c>
      <c r="O712" s="28" t="s">
        <v>3386</v>
      </c>
      <c r="P712" s="28"/>
      <c r="Q712" s="49" t="s">
        <v>91</v>
      </c>
      <c r="R712" s="25"/>
      <c r="S712" s="26"/>
      <c r="T712" s="26"/>
      <c r="U712" s="29" t="s">
        <v>3387</v>
      </c>
      <c r="V712" s="66"/>
      <c r="W712" s="106"/>
      <c r="X712" s="106" t="s">
        <v>76</v>
      </c>
      <c r="Y712" s="26" t="s">
        <v>76</v>
      </c>
      <c r="Z712" s="75" t="s">
        <v>193</v>
      </c>
      <c r="AA712" s="30" t="s">
        <v>76</v>
      </c>
      <c r="AB712" s="25" t="s">
        <v>75</v>
      </c>
    </row>
    <row r="713" spans="1:29" ht="49.5" hidden="1">
      <c r="A713" s="98">
        <v>703</v>
      </c>
      <c r="B713" s="79" t="s">
        <v>3388</v>
      </c>
      <c r="C713" s="148" t="s">
        <v>8</v>
      </c>
      <c r="D713" s="80" t="s">
        <v>63</v>
      </c>
      <c r="E713" s="27" t="s">
        <v>3362</v>
      </c>
      <c r="F713" s="80" t="s">
        <v>338</v>
      </c>
      <c r="G713" s="81" t="s">
        <v>995</v>
      </c>
      <c r="H713" s="80" t="s">
        <v>3363</v>
      </c>
      <c r="I713" s="83">
        <v>45615</v>
      </c>
      <c r="J713" s="80" t="s">
        <v>1144</v>
      </c>
      <c r="K713" s="80" t="s">
        <v>146</v>
      </c>
      <c r="L713" s="84" t="s">
        <v>189</v>
      </c>
      <c r="M713" s="84" t="s">
        <v>148</v>
      </c>
      <c r="N713" s="84" t="s">
        <v>253</v>
      </c>
      <c r="O713" s="28" t="s">
        <v>3389</v>
      </c>
      <c r="P713" s="28"/>
      <c r="Q713" s="49" t="s">
        <v>75</v>
      </c>
      <c r="R713" s="25" t="s">
        <v>91</v>
      </c>
      <c r="S713" s="26">
        <v>19</v>
      </c>
      <c r="T713" s="26">
        <v>67</v>
      </c>
      <c r="U713" s="61" t="s">
        <v>3057</v>
      </c>
      <c r="V713" s="66"/>
      <c r="W713" s="106"/>
      <c r="X713" s="106" t="s">
        <v>369</v>
      </c>
      <c r="Y713" s="26" t="s">
        <v>76</v>
      </c>
      <c r="Z713" s="75" t="s">
        <v>93</v>
      </c>
      <c r="AA713" s="30" t="s">
        <v>76</v>
      </c>
    </row>
    <row r="714" spans="1:29" ht="49.5" hidden="1">
      <c r="A714" s="98">
        <v>704</v>
      </c>
      <c r="B714" s="79" t="s">
        <v>3390</v>
      </c>
      <c r="C714" s="148" t="s">
        <v>8</v>
      </c>
      <c r="D714" s="80" t="s">
        <v>63</v>
      </c>
      <c r="E714" s="27" t="s">
        <v>994</v>
      </c>
      <c r="F714" s="80" t="s">
        <v>109</v>
      </c>
      <c r="G714" s="81" t="s">
        <v>995</v>
      </c>
      <c r="H714" s="80" t="s">
        <v>996</v>
      </c>
      <c r="I714" s="83">
        <v>45615</v>
      </c>
      <c r="J714" s="80" t="s">
        <v>1400</v>
      </c>
      <c r="K714" s="80" t="s">
        <v>188</v>
      </c>
      <c r="L714" s="84" t="s">
        <v>189</v>
      </c>
      <c r="M714" s="84" t="s">
        <v>601</v>
      </c>
      <c r="N714" s="84" t="s">
        <v>72</v>
      </c>
      <c r="O714" s="28" t="s">
        <v>3391</v>
      </c>
      <c r="P714" s="28" t="s">
        <v>3392</v>
      </c>
      <c r="Q714" s="49" t="s">
        <v>75</v>
      </c>
      <c r="R714" s="25" t="s">
        <v>91</v>
      </c>
      <c r="S714" s="26">
        <v>18</v>
      </c>
      <c r="T714" s="26">
        <v>54</v>
      </c>
      <c r="U714" s="33" t="s">
        <v>3393</v>
      </c>
      <c r="V714" s="66"/>
      <c r="W714" s="106"/>
      <c r="X714" s="106" t="s">
        <v>369</v>
      </c>
      <c r="Y714" s="26" t="s">
        <v>76</v>
      </c>
      <c r="Z714" s="75" t="s">
        <v>106</v>
      </c>
      <c r="AA714" s="30" t="s">
        <v>76</v>
      </c>
    </row>
    <row r="715" spans="1:29" ht="33" hidden="1">
      <c r="A715" s="98">
        <v>705</v>
      </c>
      <c r="B715" s="79" t="s">
        <v>3394</v>
      </c>
      <c r="C715" s="148" t="s">
        <v>8</v>
      </c>
      <c r="D715" s="80" t="s">
        <v>63</v>
      </c>
      <c r="E715" s="27" t="s">
        <v>3395</v>
      </c>
      <c r="F715" s="80" t="s">
        <v>109</v>
      </c>
      <c r="G715" s="81" t="s">
        <v>154</v>
      </c>
      <c r="H715" s="80" t="s">
        <v>3396</v>
      </c>
      <c r="I715" s="83">
        <v>45616</v>
      </c>
      <c r="J715" s="80" t="s">
        <v>663</v>
      </c>
      <c r="K715" s="80" t="s">
        <v>69</v>
      </c>
      <c r="L715" s="84" t="s">
        <v>100</v>
      </c>
      <c r="M715" s="84" t="s">
        <v>595</v>
      </c>
      <c r="N715" s="84" t="s">
        <v>72</v>
      </c>
      <c r="O715" s="28" t="s">
        <v>3397</v>
      </c>
      <c r="P715" s="28"/>
      <c r="Q715" s="49" t="s">
        <v>75</v>
      </c>
      <c r="R715" s="25" t="s">
        <v>91</v>
      </c>
      <c r="S715" s="26">
        <v>18</v>
      </c>
      <c r="T715" s="26">
        <v>56</v>
      </c>
      <c r="U715" s="33" t="s">
        <v>3398</v>
      </c>
      <c r="V715" s="66"/>
      <c r="W715" s="106"/>
      <c r="X715" s="106" t="s">
        <v>369</v>
      </c>
      <c r="Y715" s="26" t="s">
        <v>76</v>
      </c>
      <c r="Z715" s="75" t="s">
        <v>93</v>
      </c>
      <c r="AA715" s="30" t="s">
        <v>76</v>
      </c>
    </row>
    <row r="716" spans="1:29" ht="66" hidden="1">
      <c r="A716" s="98">
        <v>706</v>
      </c>
      <c r="B716" s="79" t="s">
        <v>3399</v>
      </c>
      <c r="C716" s="148" t="s">
        <v>8</v>
      </c>
      <c r="D716" s="80" t="s">
        <v>63</v>
      </c>
      <c r="E716" s="27" t="s">
        <v>3400</v>
      </c>
      <c r="F716" s="80" t="s">
        <v>65</v>
      </c>
      <c r="G716" s="81" t="s">
        <v>818</v>
      </c>
      <c r="H716" s="80" t="s">
        <v>3401</v>
      </c>
      <c r="I716" s="83">
        <v>45616</v>
      </c>
      <c r="J716" s="80" t="s">
        <v>241</v>
      </c>
      <c r="K716" s="80" t="s">
        <v>198</v>
      </c>
      <c r="L716" s="84" t="s">
        <v>199</v>
      </c>
      <c r="M716" s="84" t="s">
        <v>221</v>
      </c>
      <c r="N716" s="84" t="s">
        <v>72</v>
      </c>
      <c r="O716" s="28" t="s">
        <v>3402</v>
      </c>
      <c r="P716" s="28" t="s">
        <v>3403</v>
      </c>
      <c r="Q716" s="49" t="s">
        <v>75</v>
      </c>
      <c r="R716" s="25" t="s">
        <v>91</v>
      </c>
      <c r="S716" s="26">
        <v>18</v>
      </c>
      <c r="T716" s="114">
        <v>52</v>
      </c>
      <c r="U716" s="110" t="s">
        <v>3115</v>
      </c>
      <c r="V716" s="117"/>
      <c r="W716" s="135"/>
      <c r="X716" s="135" t="s">
        <v>369</v>
      </c>
      <c r="Y716" s="106" t="s">
        <v>76</v>
      </c>
      <c r="Z716" s="75" t="s">
        <v>93</v>
      </c>
      <c r="AA716" s="30" t="s">
        <v>76</v>
      </c>
      <c r="AB716" s="26"/>
      <c r="AC716" s="44"/>
    </row>
    <row r="717" spans="1:29" ht="66" hidden="1">
      <c r="A717" s="98">
        <v>707</v>
      </c>
      <c r="B717" s="79" t="s">
        <v>3404</v>
      </c>
      <c r="C717" s="148" t="s">
        <v>8</v>
      </c>
      <c r="D717" s="80" t="s">
        <v>63</v>
      </c>
      <c r="E717" s="27" t="s">
        <v>3400</v>
      </c>
      <c r="F717" s="80" t="s">
        <v>65</v>
      </c>
      <c r="G717" s="81" t="s">
        <v>818</v>
      </c>
      <c r="H717" s="80" t="s">
        <v>3401</v>
      </c>
      <c r="I717" s="83">
        <v>45616</v>
      </c>
      <c r="J717" s="80" t="s">
        <v>197</v>
      </c>
      <c r="K717" s="80" t="s">
        <v>198</v>
      </c>
      <c r="L717" s="84" t="s">
        <v>199</v>
      </c>
      <c r="M717" s="84" t="s">
        <v>200</v>
      </c>
      <c r="N717" s="84" t="s">
        <v>72</v>
      </c>
      <c r="O717" s="28" t="s">
        <v>3405</v>
      </c>
      <c r="P717" s="28" t="s">
        <v>3406</v>
      </c>
      <c r="Q717" s="49" t="s">
        <v>75</v>
      </c>
      <c r="R717" s="25" t="s">
        <v>91</v>
      </c>
      <c r="S717" s="26">
        <v>18</v>
      </c>
      <c r="T717" s="114">
        <v>52</v>
      </c>
      <c r="U717" s="110" t="s">
        <v>3407</v>
      </c>
      <c r="V717" s="117"/>
      <c r="W717" s="135"/>
      <c r="X717" s="135" t="s">
        <v>369</v>
      </c>
      <c r="Y717" s="106" t="s">
        <v>76</v>
      </c>
      <c r="Z717" s="75" t="s">
        <v>93</v>
      </c>
      <c r="AA717" s="30" t="s">
        <v>76</v>
      </c>
      <c r="AB717" s="26"/>
      <c r="AC717" s="44"/>
    </row>
    <row r="718" spans="1:29" ht="66" hidden="1">
      <c r="A718" s="98">
        <v>708</v>
      </c>
      <c r="B718" s="79" t="s">
        <v>3408</v>
      </c>
      <c r="C718" s="148" t="s">
        <v>8</v>
      </c>
      <c r="D718" s="80" t="s">
        <v>63</v>
      </c>
      <c r="E718" s="27" t="s">
        <v>2272</v>
      </c>
      <c r="F718" s="80" t="s">
        <v>65</v>
      </c>
      <c r="G718" s="81" t="s">
        <v>66</v>
      </c>
      <c r="H718" s="80" t="s">
        <v>1812</v>
      </c>
      <c r="I718" s="83">
        <v>45617</v>
      </c>
      <c r="J718" s="80" t="s">
        <v>111</v>
      </c>
      <c r="K718" s="80" t="s">
        <v>146</v>
      </c>
      <c r="L718" s="84" t="s">
        <v>113</v>
      </c>
      <c r="M718" s="84" t="s">
        <v>114</v>
      </c>
      <c r="N718" s="84" t="s">
        <v>72</v>
      </c>
      <c r="O718" s="28" t="s">
        <v>3409</v>
      </c>
      <c r="P718" s="28"/>
      <c r="Q718" s="49" t="s">
        <v>75</v>
      </c>
      <c r="R718" s="25" t="s">
        <v>91</v>
      </c>
      <c r="S718" s="26">
        <v>19</v>
      </c>
      <c r="T718" s="26">
        <v>67</v>
      </c>
      <c r="U718" s="32" t="s">
        <v>3410</v>
      </c>
      <c r="V718" s="66"/>
      <c r="W718" s="106"/>
      <c r="X718" s="106" t="s">
        <v>369</v>
      </c>
      <c r="Y718" s="26" t="s">
        <v>76</v>
      </c>
      <c r="Z718" s="75" t="s">
        <v>93</v>
      </c>
      <c r="AA718" s="30" t="s">
        <v>76</v>
      </c>
    </row>
    <row r="719" spans="1:29" ht="49.5" hidden="1">
      <c r="A719" s="98">
        <v>709</v>
      </c>
      <c r="B719" s="79" t="s">
        <v>3411</v>
      </c>
      <c r="C719" s="148" t="s">
        <v>8</v>
      </c>
      <c r="D719" s="80" t="s">
        <v>63</v>
      </c>
      <c r="E719" s="27" t="s">
        <v>994</v>
      </c>
      <c r="F719" s="80" t="s">
        <v>109</v>
      </c>
      <c r="G719" s="81" t="s">
        <v>995</v>
      </c>
      <c r="H719" s="80" t="s">
        <v>996</v>
      </c>
      <c r="I719" s="83">
        <v>45618</v>
      </c>
      <c r="J719" s="80" t="s">
        <v>1003</v>
      </c>
      <c r="K719" s="80" t="s">
        <v>69</v>
      </c>
      <c r="L719" s="84" t="s">
        <v>100</v>
      </c>
      <c r="M719" s="84" t="s">
        <v>252</v>
      </c>
      <c r="N719" s="84" t="s">
        <v>920</v>
      </c>
      <c r="O719" s="28" t="s">
        <v>3412</v>
      </c>
      <c r="P719" s="28"/>
      <c r="Q719" s="49" t="s">
        <v>91</v>
      </c>
      <c r="R719" s="25"/>
      <c r="S719" s="26">
        <v>12</v>
      </c>
      <c r="T719" s="26"/>
      <c r="U719" s="33" t="s">
        <v>3413</v>
      </c>
      <c r="V719" s="66"/>
      <c r="W719" s="106"/>
      <c r="X719" s="106" t="s">
        <v>76</v>
      </c>
      <c r="Y719" s="26" t="s">
        <v>76</v>
      </c>
      <c r="Z719" s="75" t="s">
        <v>193</v>
      </c>
      <c r="AA719" s="30" t="s">
        <v>76</v>
      </c>
    </row>
    <row r="720" spans="1:29" ht="33" hidden="1">
      <c r="A720" s="98">
        <v>710</v>
      </c>
      <c r="B720" s="79" t="s">
        <v>3414</v>
      </c>
      <c r="C720" s="148" t="s">
        <v>8</v>
      </c>
      <c r="D720" s="80" t="s">
        <v>63</v>
      </c>
      <c r="E720" s="27" t="s">
        <v>2085</v>
      </c>
      <c r="F720" s="80" t="s">
        <v>109</v>
      </c>
      <c r="G720" s="81" t="s">
        <v>2076</v>
      </c>
      <c r="H720" s="80" t="s">
        <v>2086</v>
      </c>
      <c r="I720" s="83">
        <v>45618</v>
      </c>
      <c r="J720" s="80" t="s">
        <v>1003</v>
      </c>
      <c r="K720" s="80" t="s">
        <v>69</v>
      </c>
      <c r="L720" s="84" t="s">
        <v>100</v>
      </c>
      <c r="M720" s="84" t="s">
        <v>252</v>
      </c>
      <c r="N720" s="84" t="s">
        <v>310</v>
      </c>
      <c r="O720" s="28" t="s">
        <v>3415</v>
      </c>
      <c r="P720" s="28"/>
      <c r="Q720" s="49" t="s">
        <v>75</v>
      </c>
      <c r="R720" s="25" t="s">
        <v>91</v>
      </c>
      <c r="S720" s="26">
        <v>25</v>
      </c>
      <c r="T720" s="26" t="s">
        <v>313</v>
      </c>
      <c r="U720" s="32" t="s">
        <v>3416</v>
      </c>
      <c r="V720" s="66"/>
      <c r="W720" s="106"/>
      <c r="X720" s="106" t="s">
        <v>369</v>
      </c>
      <c r="Y720" s="26" t="s">
        <v>76</v>
      </c>
      <c r="Z720" s="93" t="s">
        <v>106</v>
      </c>
      <c r="AA720" s="30" t="s">
        <v>76</v>
      </c>
    </row>
    <row r="721" spans="1:28" ht="49.5" hidden="1">
      <c r="A721" s="98">
        <v>711</v>
      </c>
      <c r="B721" s="79" t="s">
        <v>3417</v>
      </c>
      <c r="C721" s="148" t="s">
        <v>8</v>
      </c>
      <c r="D721" s="80" t="s">
        <v>63</v>
      </c>
      <c r="E721" s="27" t="s">
        <v>2677</v>
      </c>
      <c r="F721" s="80" t="s">
        <v>120</v>
      </c>
      <c r="G721" s="81" t="s">
        <v>651</v>
      </c>
      <c r="H721" s="80" t="s">
        <v>2678</v>
      </c>
      <c r="I721" s="83">
        <v>45618</v>
      </c>
      <c r="J721" s="80" t="s">
        <v>250</v>
      </c>
      <c r="K721" s="80" t="s">
        <v>491</v>
      </c>
      <c r="L721" s="84" t="s">
        <v>251</v>
      </c>
      <c r="M721" s="84" t="s">
        <v>252</v>
      </c>
      <c r="N721" s="84" t="s">
        <v>920</v>
      </c>
      <c r="O721" s="28" t="s">
        <v>3418</v>
      </c>
      <c r="P721" s="28"/>
      <c r="Q721" s="49" t="s">
        <v>75</v>
      </c>
      <c r="R721" s="25" t="s">
        <v>91</v>
      </c>
      <c r="S721" s="26">
        <v>18</v>
      </c>
      <c r="T721" s="26"/>
      <c r="U721" s="28" t="s">
        <v>3419</v>
      </c>
      <c r="V721" s="66"/>
      <c r="W721" s="106"/>
      <c r="X721" s="106" t="s">
        <v>369</v>
      </c>
      <c r="Y721" s="26" t="s">
        <v>76</v>
      </c>
      <c r="Z721" s="75" t="s">
        <v>93</v>
      </c>
      <c r="AA721" s="30" t="s">
        <v>76</v>
      </c>
    </row>
    <row r="722" spans="1:28" ht="49.5" hidden="1">
      <c r="A722" s="98">
        <v>712</v>
      </c>
      <c r="B722" s="79" t="s">
        <v>3420</v>
      </c>
      <c r="C722" s="148" t="s">
        <v>8</v>
      </c>
      <c r="D722" s="80" t="s">
        <v>63</v>
      </c>
      <c r="E722" s="27" t="s">
        <v>2613</v>
      </c>
      <c r="F722" s="80" t="s">
        <v>109</v>
      </c>
      <c r="G722" s="81" t="s">
        <v>995</v>
      </c>
      <c r="H722" s="80" t="s">
        <v>2614</v>
      </c>
      <c r="I722" s="83">
        <v>45618</v>
      </c>
      <c r="J722" s="80" t="s">
        <v>2886</v>
      </c>
      <c r="K722" s="80" t="s">
        <v>198</v>
      </c>
      <c r="L722" s="84" t="s">
        <v>199</v>
      </c>
      <c r="M722" s="84" t="s">
        <v>252</v>
      </c>
      <c r="N722" s="84" t="s">
        <v>72</v>
      </c>
      <c r="O722" s="28" t="s">
        <v>3421</v>
      </c>
      <c r="P722" s="28"/>
      <c r="Q722" s="49" t="s">
        <v>91</v>
      </c>
      <c r="R722" s="25"/>
      <c r="S722" s="26">
        <v>16</v>
      </c>
      <c r="T722" s="26"/>
      <c r="U722" s="32" t="s">
        <v>3422</v>
      </c>
      <c r="V722" s="66"/>
      <c r="W722" s="106"/>
      <c r="X722" s="106"/>
      <c r="Y722" s="26" t="s">
        <v>76</v>
      </c>
      <c r="Z722" s="75" t="s">
        <v>193</v>
      </c>
      <c r="AA722" s="30" t="s">
        <v>76</v>
      </c>
      <c r="AB722" s="25" t="s">
        <v>75</v>
      </c>
    </row>
    <row r="723" spans="1:28" ht="49.5" hidden="1">
      <c r="A723" s="98">
        <v>713</v>
      </c>
      <c r="B723" s="79" t="s">
        <v>3423</v>
      </c>
      <c r="C723" s="148" t="s">
        <v>8</v>
      </c>
      <c r="D723" s="80" t="s">
        <v>63</v>
      </c>
      <c r="E723" s="27" t="s">
        <v>3424</v>
      </c>
      <c r="F723" s="80" t="s">
        <v>284</v>
      </c>
      <c r="G723" s="81" t="s">
        <v>3425</v>
      </c>
      <c r="H723" s="80" t="s">
        <v>3426</v>
      </c>
      <c r="I723" s="83">
        <v>45618</v>
      </c>
      <c r="J723" s="80" t="s">
        <v>111</v>
      </c>
      <c r="K723" s="80" t="s">
        <v>112</v>
      </c>
      <c r="L723" s="84" t="s">
        <v>122</v>
      </c>
      <c r="M723" s="84" t="s">
        <v>114</v>
      </c>
      <c r="N723" s="84" t="s">
        <v>72</v>
      </c>
      <c r="O723" s="28" t="s">
        <v>3427</v>
      </c>
      <c r="P723" s="28"/>
      <c r="Q723" s="49" t="s">
        <v>75</v>
      </c>
      <c r="R723" s="25" t="s">
        <v>91</v>
      </c>
      <c r="S723" s="26">
        <v>19</v>
      </c>
      <c r="T723" s="26">
        <v>61</v>
      </c>
      <c r="U723" s="33" t="s">
        <v>3428</v>
      </c>
      <c r="V723" s="66"/>
      <c r="W723" s="106"/>
      <c r="X723" s="106" t="s">
        <v>369</v>
      </c>
      <c r="Y723" s="26" t="s">
        <v>76</v>
      </c>
      <c r="Z723" s="75" t="s">
        <v>93</v>
      </c>
      <c r="AA723" s="30" t="s">
        <v>76</v>
      </c>
    </row>
    <row r="724" spans="1:28" ht="49.5" hidden="1">
      <c r="A724" s="98">
        <v>714</v>
      </c>
      <c r="B724" s="79" t="s">
        <v>3429</v>
      </c>
      <c r="C724" s="148" t="s">
        <v>8</v>
      </c>
      <c r="D724" s="80" t="s">
        <v>63</v>
      </c>
      <c r="E724" s="27" t="s">
        <v>2677</v>
      </c>
      <c r="F724" s="80" t="s">
        <v>120</v>
      </c>
      <c r="G724" s="81" t="s">
        <v>651</v>
      </c>
      <c r="H724" s="80" t="s">
        <v>2678</v>
      </c>
      <c r="I724" s="83">
        <v>45618</v>
      </c>
      <c r="J724" s="80" t="s">
        <v>3098</v>
      </c>
      <c r="K724" s="80" t="s">
        <v>188</v>
      </c>
      <c r="L724" s="84" t="s">
        <v>189</v>
      </c>
      <c r="M724" s="84" t="s">
        <v>853</v>
      </c>
      <c r="N724" s="84" t="s">
        <v>72</v>
      </c>
      <c r="O724" s="28" t="s">
        <v>3430</v>
      </c>
      <c r="P724" s="28"/>
      <c r="Q724" s="49" t="s">
        <v>75</v>
      </c>
      <c r="R724" s="25" t="s">
        <v>91</v>
      </c>
      <c r="S724" s="26">
        <v>18</v>
      </c>
      <c r="T724" s="26">
        <v>61</v>
      </c>
      <c r="U724" s="33" t="s">
        <v>1560</v>
      </c>
      <c r="V724" s="66"/>
      <c r="W724" s="106"/>
      <c r="X724" s="106" t="s">
        <v>369</v>
      </c>
      <c r="Y724" s="26" t="s">
        <v>76</v>
      </c>
      <c r="Z724" s="75" t="s">
        <v>93</v>
      </c>
      <c r="AA724" s="30" t="s">
        <v>76</v>
      </c>
    </row>
    <row r="725" spans="1:28" ht="49.5" hidden="1">
      <c r="A725" s="98">
        <v>715</v>
      </c>
      <c r="B725" s="79" t="s">
        <v>3431</v>
      </c>
      <c r="C725" s="148" t="s">
        <v>8</v>
      </c>
      <c r="D725" s="80" t="s">
        <v>63</v>
      </c>
      <c r="E725" s="27" t="s">
        <v>2636</v>
      </c>
      <c r="F725" s="80" t="s">
        <v>120</v>
      </c>
      <c r="G725" s="81" t="s">
        <v>995</v>
      </c>
      <c r="H725" s="80" t="s">
        <v>2637</v>
      </c>
      <c r="I725" s="83">
        <v>45622</v>
      </c>
      <c r="J725" s="80" t="s">
        <v>1400</v>
      </c>
      <c r="K725" s="80" t="s">
        <v>188</v>
      </c>
      <c r="L725" s="84" t="s">
        <v>189</v>
      </c>
      <c r="M725" s="84" t="s">
        <v>601</v>
      </c>
      <c r="N725" s="84" t="s">
        <v>72</v>
      </c>
      <c r="O725" s="28" t="s">
        <v>3432</v>
      </c>
      <c r="P725" s="28"/>
      <c r="Q725" s="49" t="s">
        <v>75</v>
      </c>
      <c r="R725" s="25" t="s">
        <v>91</v>
      </c>
      <c r="S725" s="26">
        <v>18</v>
      </c>
      <c r="T725" s="26">
        <v>61</v>
      </c>
      <c r="U725" s="33" t="s">
        <v>1560</v>
      </c>
      <c r="V725" s="66"/>
      <c r="W725" s="106"/>
      <c r="X725" s="106" t="s">
        <v>369</v>
      </c>
      <c r="Y725" s="26" t="s">
        <v>76</v>
      </c>
      <c r="Z725" s="75" t="s">
        <v>106</v>
      </c>
      <c r="AA725" s="30" t="s">
        <v>76</v>
      </c>
    </row>
    <row r="726" spans="1:28" ht="49.5" hidden="1">
      <c r="A726" s="98">
        <v>716</v>
      </c>
      <c r="B726" s="79" t="s">
        <v>3433</v>
      </c>
      <c r="C726" s="148" t="s">
        <v>8</v>
      </c>
      <c r="D726" s="80" t="s">
        <v>63</v>
      </c>
      <c r="E726" s="27" t="s">
        <v>3434</v>
      </c>
      <c r="F726" s="80" t="s">
        <v>120</v>
      </c>
      <c r="G726" s="81" t="s">
        <v>651</v>
      </c>
      <c r="H726" s="80" t="s">
        <v>3435</v>
      </c>
      <c r="I726" s="83">
        <v>45622</v>
      </c>
      <c r="J726" s="80" t="s">
        <v>332</v>
      </c>
      <c r="K726" s="80" t="s">
        <v>156</v>
      </c>
      <c r="L726" s="84" t="s">
        <v>189</v>
      </c>
      <c r="M726" s="84" t="s">
        <v>101</v>
      </c>
      <c r="N726" s="84" t="s">
        <v>72</v>
      </c>
      <c r="O726" s="28" t="s">
        <v>3436</v>
      </c>
      <c r="P726" s="28"/>
      <c r="Q726" s="49" t="s">
        <v>75</v>
      </c>
      <c r="R726" s="25" t="s">
        <v>91</v>
      </c>
      <c r="S726" s="26">
        <v>18</v>
      </c>
      <c r="T726" s="26">
        <v>66</v>
      </c>
      <c r="U726" s="32" t="s">
        <v>3437</v>
      </c>
      <c r="V726" s="66"/>
      <c r="W726" s="106"/>
      <c r="X726" s="106" t="s">
        <v>369</v>
      </c>
      <c r="Y726" s="26" t="s">
        <v>76</v>
      </c>
      <c r="Z726" s="75" t="s">
        <v>93</v>
      </c>
      <c r="AA726" s="30" t="s">
        <v>76</v>
      </c>
    </row>
    <row r="727" spans="1:28" ht="49.5" hidden="1">
      <c r="A727" s="98">
        <v>717</v>
      </c>
      <c r="B727" s="79" t="s">
        <v>3438</v>
      </c>
      <c r="C727" s="148" t="s">
        <v>8</v>
      </c>
      <c r="D727" s="80" t="s">
        <v>63</v>
      </c>
      <c r="E727" s="27" t="s">
        <v>3439</v>
      </c>
      <c r="F727" s="80" t="s">
        <v>109</v>
      </c>
      <c r="G727" s="81" t="s">
        <v>818</v>
      </c>
      <c r="H727" s="80" t="s">
        <v>3440</v>
      </c>
      <c r="I727" s="83">
        <v>45623</v>
      </c>
      <c r="J727" s="80" t="s">
        <v>187</v>
      </c>
      <c r="K727" s="80" t="s">
        <v>112</v>
      </c>
      <c r="L727" s="84" t="s">
        <v>189</v>
      </c>
      <c r="M727" s="84" t="s">
        <v>114</v>
      </c>
      <c r="N727" s="84" t="s">
        <v>72</v>
      </c>
      <c r="O727" s="28" t="s">
        <v>3441</v>
      </c>
      <c r="P727" s="28"/>
      <c r="Q727" s="49" t="s">
        <v>75</v>
      </c>
      <c r="R727" s="25" t="s">
        <v>91</v>
      </c>
      <c r="S727" s="26">
        <v>22</v>
      </c>
      <c r="T727" s="26">
        <v>62</v>
      </c>
      <c r="U727" s="107" t="s">
        <v>3442</v>
      </c>
      <c r="V727" s="66"/>
      <c r="W727" s="106"/>
      <c r="X727" s="106" t="s">
        <v>369</v>
      </c>
      <c r="Y727" s="26" t="s">
        <v>76</v>
      </c>
      <c r="Z727" s="75" t="s">
        <v>93</v>
      </c>
      <c r="AA727" s="30" t="s">
        <v>76</v>
      </c>
    </row>
    <row r="728" spans="1:28" ht="66" hidden="1">
      <c r="A728" s="98">
        <v>718</v>
      </c>
      <c r="B728" s="79" t="s">
        <v>3443</v>
      </c>
      <c r="C728" s="148" t="s">
        <v>8</v>
      </c>
      <c r="D728" s="80" t="s">
        <v>63</v>
      </c>
      <c r="E728" s="27" t="s">
        <v>3444</v>
      </c>
      <c r="F728" s="80" t="s">
        <v>338</v>
      </c>
      <c r="G728" s="81" t="s">
        <v>818</v>
      </c>
      <c r="H728" s="80" t="s">
        <v>3445</v>
      </c>
      <c r="I728" s="83">
        <v>45623</v>
      </c>
      <c r="J728" s="80" t="s">
        <v>187</v>
      </c>
      <c r="K728" s="80" t="s">
        <v>188</v>
      </c>
      <c r="L728" s="84" t="s">
        <v>189</v>
      </c>
      <c r="M728" s="84" t="s">
        <v>114</v>
      </c>
      <c r="N728" s="84" t="s">
        <v>72</v>
      </c>
      <c r="O728" s="28" t="s">
        <v>3446</v>
      </c>
      <c r="P728" s="28"/>
      <c r="Q728" s="49" t="s">
        <v>75</v>
      </c>
      <c r="R728" s="25" t="s">
        <v>91</v>
      </c>
      <c r="S728" s="26">
        <v>18</v>
      </c>
      <c r="T728" s="26">
        <v>59</v>
      </c>
      <c r="U728" s="33" t="s">
        <v>3447</v>
      </c>
      <c r="V728" s="66"/>
      <c r="W728" s="106"/>
      <c r="X728" s="106" t="s">
        <v>369</v>
      </c>
      <c r="Y728" s="26" t="s">
        <v>76</v>
      </c>
      <c r="Z728" s="75" t="s">
        <v>93</v>
      </c>
      <c r="AA728" s="30" t="s">
        <v>76</v>
      </c>
    </row>
    <row r="729" spans="1:28" ht="49.5" hidden="1">
      <c r="A729" s="98">
        <v>719</v>
      </c>
      <c r="B729" s="79" t="s">
        <v>3448</v>
      </c>
      <c r="C729" s="148" t="s">
        <v>8</v>
      </c>
      <c r="D729" s="80" t="s">
        <v>63</v>
      </c>
      <c r="E729" s="27" t="s">
        <v>3444</v>
      </c>
      <c r="F729" s="80" t="s">
        <v>338</v>
      </c>
      <c r="G729" s="81" t="s">
        <v>818</v>
      </c>
      <c r="H729" s="80" t="s">
        <v>3445</v>
      </c>
      <c r="I729" s="83">
        <v>45623</v>
      </c>
      <c r="J729" s="80" t="s">
        <v>187</v>
      </c>
      <c r="K729" s="80" t="s">
        <v>188</v>
      </c>
      <c r="L729" s="84" t="s">
        <v>189</v>
      </c>
      <c r="M729" s="84" t="s">
        <v>114</v>
      </c>
      <c r="N729" s="84" t="s">
        <v>72</v>
      </c>
      <c r="O729" s="28" t="s">
        <v>3449</v>
      </c>
      <c r="P729" s="28"/>
      <c r="Q729" s="49" t="s">
        <v>75</v>
      </c>
      <c r="R729" s="25" t="s">
        <v>91</v>
      </c>
      <c r="S729" s="26">
        <v>18</v>
      </c>
      <c r="T729" s="26">
        <v>68</v>
      </c>
      <c r="U729" s="33" t="s">
        <v>3450</v>
      </c>
      <c r="V729" s="66"/>
      <c r="W729" s="106"/>
      <c r="X729" s="106" t="s">
        <v>369</v>
      </c>
      <c r="Y729" s="26" t="s">
        <v>76</v>
      </c>
      <c r="Z729" s="75" t="s">
        <v>93</v>
      </c>
      <c r="AA729" s="30" t="s">
        <v>76</v>
      </c>
    </row>
    <row r="730" spans="1:28" ht="49.5" hidden="1">
      <c r="A730" s="98">
        <v>720</v>
      </c>
      <c r="B730" s="79" t="s">
        <v>3451</v>
      </c>
      <c r="C730" s="148" t="s">
        <v>8</v>
      </c>
      <c r="D730" s="80" t="s">
        <v>63</v>
      </c>
      <c r="E730" s="27" t="s">
        <v>3444</v>
      </c>
      <c r="F730" s="80" t="s">
        <v>338</v>
      </c>
      <c r="G730" s="81" t="s">
        <v>818</v>
      </c>
      <c r="H730" s="80" t="s">
        <v>3445</v>
      </c>
      <c r="I730" s="83">
        <v>45623</v>
      </c>
      <c r="J730" s="80" t="s">
        <v>332</v>
      </c>
      <c r="K730" s="80" t="s">
        <v>188</v>
      </c>
      <c r="L730" s="84" t="s">
        <v>189</v>
      </c>
      <c r="M730" s="84" t="s">
        <v>200</v>
      </c>
      <c r="N730" s="84" t="s">
        <v>72</v>
      </c>
      <c r="O730" s="28" t="s">
        <v>3452</v>
      </c>
      <c r="P730" s="28"/>
      <c r="Q730" s="49" t="s">
        <v>91</v>
      </c>
      <c r="R730" s="25"/>
      <c r="S730" s="26">
        <v>4</v>
      </c>
      <c r="T730" s="26"/>
      <c r="U730" s="33" t="s">
        <v>3284</v>
      </c>
      <c r="V730" s="66"/>
      <c r="W730" s="106"/>
      <c r="X730" s="106" t="s">
        <v>76</v>
      </c>
      <c r="Y730" s="26" t="s">
        <v>76</v>
      </c>
      <c r="Z730" s="75" t="s">
        <v>193</v>
      </c>
      <c r="AA730" s="30" t="s">
        <v>76</v>
      </c>
      <c r="AB730" s="25" t="s">
        <v>75</v>
      </c>
    </row>
    <row r="731" spans="1:28" ht="49.5" hidden="1">
      <c r="A731" s="281">
        <v>721</v>
      </c>
      <c r="B731" s="79" t="s">
        <v>3453</v>
      </c>
      <c r="C731" s="148" t="s">
        <v>8</v>
      </c>
      <c r="D731" s="80" t="s">
        <v>63</v>
      </c>
      <c r="E731" s="27" t="s">
        <v>3454</v>
      </c>
      <c r="F731" s="80" t="s">
        <v>65</v>
      </c>
      <c r="G731" s="81" t="s">
        <v>818</v>
      </c>
      <c r="H731" s="80" t="s">
        <v>3455</v>
      </c>
      <c r="I731" s="83">
        <v>45623</v>
      </c>
      <c r="J731" s="80" t="s">
        <v>657</v>
      </c>
      <c r="K731" s="80" t="s">
        <v>188</v>
      </c>
      <c r="L731" s="84" t="s">
        <v>189</v>
      </c>
      <c r="M731" s="84" t="s">
        <v>221</v>
      </c>
      <c r="N731" s="84" t="s">
        <v>72</v>
      </c>
      <c r="O731" s="28" t="s">
        <v>3456</v>
      </c>
      <c r="P731" s="28"/>
      <c r="Q731" s="49" t="s">
        <v>75</v>
      </c>
      <c r="R731" s="25" t="s">
        <v>91</v>
      </c>
      <c r="S731" s="26">
        <v>18</v>
      </c>
      <c r="T731" s="282">
        <v>42</v>
      </c>
      <c r="U731" s="33" t="s">
        <v>3457</v>
      </c>
      <c r="V731" s="66"/>
      <c r="W731" s="106"/>
      <c r="X731" s="106" t="s">
        <v>369</v>
      </c>
      <c r="Y731" s="26" t="s">
        <v>76</v>
      </c>
      <c r="Z731" s="75" t="s">
        <v>93</v>
      </c>
      <c r="AA731" s="30" t="s">
        <v>76</v>
      </c>
    </row>
    <row r="732" spans="1:28" ht="49.5" hidden="1">
      <c r="A732" s="98">
        <v>722</v>
      </c>
      <c r="B732" s="79" t="s">
        <v>3458</v>
      </c>
      <c r="C732" s="148" t="s">
        <v>8</v>
      </c>
      <c r="D732" s="80" t="s">
        <v>63</v>
      </c>
      <c r="E732" s="27" t="s">
        <v>2619</v>
      </c>
      <c r="F732" s="80" t="s">
        <v>120</v>
      </c>
      <c r="G732" s="81" t="s">
        <v>2076</v>
      </c>
      <c r="H732" s="80" t="s">
        <v>2620</v>
      </c>
      <c r="I732" s="83">
        <v>45624</v>
      </c>
      <c r="J732" s="80" t="s">
        <v>187</v>
      </c>
      <c r="K732" s="80" t="s">
        <v>112</v>
      </c>
      <c r="L732" s="84" t="s">
        <v>189</v>
      </c>
      <c r="M732" s="84" t="s">
        <v>114</v>
      </c>
      <c r="N732" s="84" t="s">
        <v>72</v>
      </c>
      <c r="O732" s="28" t="s">
        <v>3459</v>
      </c>
      <c r="P732" s="28"/>
      <c r="Q732" s="49" t="s">
        <v>75</v>
      </c>
      <c r="R732" s="25" t="s">
        <v>91</v>
      </c>
      <c r="S732" s="26">
        <v>19</v>
      </c>
      <c r="T732" s="26">
        <v>57</v>
      </c>
      <c r="U732" s="33" t="s">
        <v>3460</v>
      </c>
      <c r="V732" s="66"/>
      <c r="W732" s="106"/>
      <c r="X732" s="106" t="s">
        <v>369</v>
      </c>
      <c r="Y732" s="26" t="s">
        <v>76</v>
      </c>
      <c r="Z732" s="75" t="s">
        <v>93</v>
      </c>
      <c r="AA732" s="30" t="s">
        <v>76</v>
      </c>
    </row>
    <row r="733" spans="1:28" ht="66" hidden="1">
      <c r="A733" s="98">
        <v>723</v>
      </c>
      <c r="B733" s="79" t="s">
        <v>3461</v>
      </c>
      <c r="C733" s="148" t="s">
        <v>8</v>
      </c>
      <c r="D733" s="80" t="s">
        <v>63</v>
      </c>
      <c r="E733" s="27" t="s">
        <v>2344</v>
      </c>
      <c r="F733" s="80" t="s">
        <v>120</v>
      </c>
      <c r="G733" s="81" t="s">
        <v>1653</v>
      </c>
      <c r="H733" s="80" t="s">
        <v>2345</v>
      </c>
      <c r="I733" s="83">
        <v>45628</v>
      </c>
      <c r="J733" s="80" t="s">
        <v>482</v>
      </c>
      <c r="K733" s="80" t="s">
        <v>156</v>
      </c>
      <c r="L733" s="84" t="s">
        <v>189</v>
      </c>
      <c r="M733" s="84" t="s">
        <v>71</v>
      </c>
      <c r="N733" s="84" t="s">
        <v>72</v>
      </c>
      <c r="O733" s="28" t="s">
        <v>3462</v>
      </c>
      <c r="P733" s="33" t="s">
        <v>3463</v>
      </c>
      <c r="Q733" s="49" t="s">
        <v>91</v>
      </c>
      <c r="R733" s="25"/>
      <c r="S733" s="26">
        <v>16</v>
      </c>
      <c r="T733" s="26"/>
      <c r="U733" s="33" t="s">
        <v>59</v>
      </c>
      <c r="V733" s="66"/>
      <c r="W733" s="106"/>
      <c r="X733" s="106" t="s">
        <v>76</v>
      </c>
      <c r="Y733" s="26" t="s">
        <v>76</v>
      </c>
      <c r="Z733" s="75" t="s">
        <v>193</v>
      </c>
      <c r="AA733" s="30" t="s">
        <v>76</v>
      </c>
      <c r="AB733" s="25" t="s">
        <v>75</v>
      </c>
    </row>
    <row r="734" spans="1:28" ht="66" hidden="1">
      <c r="A734" s="98">
        <v>724</v>
      </c>
      <c r="B734" s="79" t="s">
        <v>3464</v>
      </c>
      <c r="C734" s="148" t="s">
        <v>8</v>
      </c>
      <c r="D734" s="80" t="s">
        <v>63</v>
      </c>
      <c r="E734" s="27" t="s">
        <v>2767</v>
      </c>
      <c r="F734" s="80" t="s">
        <v>65</v>
      </c>
      <c r="G734" s="81" t="s">
        <v>995</v>
      </c>
      <c r="H734" s="80" t="s">
        <v>2768</v>
      </c>
      <c r="I734" s="83">
        <v>45629</v>
      </c>
      <c r="J734" s="80" t="s">
        <v>745</v>
      </c>
      <c r="K734" s="80" t="s">
        <v>188</v>
      </c>
      <c r="L734" s="84" t="s">
        <v>100</v>
      </c>
      <c r="M734" s="84" t="s">
        <v>601</v>
      </c>
      <c r="N734" s="84" t="s">
        <v>72</v>
      </c>
      <c r="O734" s="28" t="s">
        <v>3465</v>
      </c>
      <c r="P734" s="33" t="s">
        <v>3466</v>
      </c>
      <c r="Q734" s="49" t="s">
        <v>75</v>
      </c>
      <c r="R734" s="25" t="s">
        <v>91</v>
      </c>
      <c r="S734" s="26">
        <v>18</v>
      </c>
      <c r="T734" s="26">
        <v>52</v>
      </c>
      <c r="U734" s="33" t="s">
        <v>3467</v>
      </c>
      <c r="V734" s="66"/>
      <c r="W734" s="106"/>
      <c r="X734" s="106" t="s">
        <v>369</v>
      </c>
      <c r="Y734" s="26" t="s">
        <v>76</v>
      </c>
      <c r="Z734" s="75" t="s">
        <v>93</v>
      </c>
      <c r="AA734" s="30" t="s">
        <v>76</v>
      </c>
    </row>
    <row r="735" spans="1:28" ht="49.5" hidden="1">
      <c r="A735" s="98">
        <v>725</v>
      </c>
      <c r="B735" s="79" t="s">
        <v>3468</v>
      </c>
      <c r="C735" s="148" t="s">
        <v>8</v>
      </c>
      <c r="D735" s="80" t="s">
        <v>63</v>
      </c>
      <c r="E735" s="27" t="s">
        <v>2677</v>
      </c>
      <c r="F735" s="80" t="s">
        <v>120</v>
      </c>
      <c r="G735" s="81" t="s">
        <v>651</v>
      </c>
      <c r="H735" s="80" t="s">
        <v>2678</v>
      </c>
      <c r="I735" s="83">
        <v>45630</v>
      </c>
      <c r="J735" s="80" t="s">
        <v>745</v>
      </c>
      <c r="K735" s="80" t="s">
        <v>86</v>
      </c>
      <c r="L735" s="84" t="s">
        <v>100</v>
      </c>
      <c r="M735" s="84" t="s">
        <v>601</v>
      </c>
      <c r="N735" s="84" t="s">
        <v>72</v>
      </c>
      <c r="O735" s="28" t="s">
        <v>3469</v>
      </c>
      <c r="P735" s="33" t="s">
        <v>3470</v>
      </c>
      <c r="Q735" s="49" t="s">
        <v>75</v>
      </c>
      <c r="R735" s="25" t="s">
        <v>91</v>
      </c>
      <c r="S735" s="26">
        <v>18</v>
      </c>
      <c r="T735" s="26">
        <v>54</v>
      </c>
      <c r="U735" s="33" t="s">
        <v>3471</v>
      </c>
      <c r="V735" s="66"/>
      <c r="W735" s="106"/>
      <c r="X735" s="106" t="s">
        <v>369</v>
      </c>
      <c r="Y735" s="26" t="s">
        <v>76</v>
      </c>
      <c r="Z735" s="93" t="s">
        <v>106</v>
      </c>
      <c r="AA735" s="30" t="s">
        <v>76</v>
      </c>
    </row>
    <row r="736" spans="1:28" ht="33" hidden="1">
      <c r="A736" s="98">
        <v>726</v>
      </c>
      <c r="B736" s="79" t="s">
        <v>3472</v>
      </c>
      <c r="C736" s="148" t="s">
        <v>8</v>
      </c>
      <c r="D736" s="80" t="s">
        <v>63</v>
      </c>
      <c r="E736" s="27" t="s">
        <v>3299</v>
      </c>
      <c r="F736" s="80" t="s">
        <v>65</v>
      </c>
      <c r="G736" s="81" t="s">
        <v>757</v>
      </c>
      <c r="H736" s="80" t="s">
        <v>3250</v>
      </c>
      <c r="I736" s="83">
        <v>45630</v>
      </c>
      <c r="J736" s="80" t="s">
        <v>745</v>
      </c>
      <c r="K736" s="80" t="s">
        <v>69</v>
      </c>
      <c r="L736" s="84" t="s">
        <v>100</v>
      </c>
      <c r="M736" s="84" t="s">
        <v>601</v>
      </c>
      <c r="N736" s="84" t="s">
        <v>72</v>
      </c>
      <c r="O736" s="28" t="s">
        <v>3473</v>
      </c>
      <c r="P736" s="33" t="s">
        <v>3474</v>
      </c>
      <c r="Q736" s="49" t="s">
        <v>75</v>
      </c>
      <c r="R736" s="25" t="s">
        <v>91</v>
      </c>
      <c r="S736" s="26">
        <v>20</v>
      </c>
      <c r="T736" s="26">
        <v>62</v>
      </c>
      <c r="U736" s="33" t="s">
        <v>3475</v>
      </c>
      <c r="V736" s="66"/>
      <c r="W736" s="106"/>
      <c r="X736" s="106" t="s">
        <v>369</v>
      </c>
      <c r="Y736" s="26" t="s">
        <v>76</v>
      </c>
      <c r="Z736" s="93" t="s">
        <v>106</v>
      </c>
      <c r="AA736" s="30" t="s">
        <v>76</v>
      </c>
    </row>
    <row r="737" spans="1:28" ht="66" hidden="1">
      <c r="A737" s="98">
        <v>727</v>
      </c>
      <c r="B737" s="79" t="s">
        <v>3476</v>
      </c>
      <c r="C737" s="148" t="s">
        <v>8</v>
      </c>
      <c r="D737" s="80" t="s">
        <v>63</v>
      </c>
      <c r="E737" s="27" t="s">
        <v>2389</v>
      </c>
      <c r="F737" s="80" t="s">
        <v>120</v>
      </c>
      <c r="G737" s="81" t="s">
        <v>757</v>
      </c>
      <c r="H737" s="80" t="s">
        <v>2390</v>
      </c>
      <c r="I737" s="83">
        <v>45630</v>
      </c>
      <c r="J737" s="80" t="s">
        <v>745</v>
      </c>
      <c r="K737" s="80" t="s">
        <v>69</v>
      </c>
      <c r="L737" s="84" t="s">
        <v>100</v>
      </c>
      <c r="M737" s="84" t="s">
        <v>601</v>
      </c>
      <c r="N737" s="84" t="s">
        <v>72</v>
      </c>
      <c r="O737" s="28" t="s">
        <v>3477</v>
      </c>
      <c r="P737" s="33" t="s">
        <v>3478</v>
      </c>
      <c r="Q737" s="49" t="s">
        <v>75</v>
      </c>
      <c r="R737" s="25" t="s">
        <v>91</v>
      </c>
      <c r="S737" s="26">
        <v>18</v>
      </c>
      <c r="T737" s="26">
        <v>56</v>
      </c>
      <c r="U737" s="33" t="s">
        <v>3479</v>
      </c>
      <c r="V737" s="66"/>
      <c r="W737" s="106"/>
      <c r="X737" s="106" t="s">
        <v>369</v>
      </c>
      <c r="Y737" s="26" t="s">
        <v>76</v>
      </c>
      <c r="Z737" s="93" t="s">
        <v>106</v>
      </c>
      <c r="AA737" s="30" t="s">
        <v>76</v>
      </c>
    </row>
    <row r="738" spans="1:28" ht="49.5" hidden="1">
      <c r="A738" s="98">
        <v>728</v>
      </c>
      <c r="B738" s="79" t="s">
        <v>3480</v>
      </c>
      <c r="C738" s="148" t="s">
        <v>10</v>
      </c>
      <c r="D738" s="80" t="s">
        <v>63</v>
      </c>
      <c r="E738" s="27" t="s">
        <v>3197</v>
      </c>
      <c r="F738" s="80" t="s">
        <v>120</v>
      </c>
      <c r="G738" s="81" t="s">
        <v>3198</v>
      </c>
      <c r="H738" s="80" t="s">
        <v>3199</v>
      </c>
      <c r="I738" s="83">
        <v>45631</v>
      </c>
      <c r="J738" s="80" t="s">
        <v>663</v>
      </c>
      <c r="K738" s="80" t="s">
        <v>69</v>
      </c>
      <c r="L738" s="84" t="s">
        <v>100</v>
      </c>
      <c r="M738" s="84" t="s">
        <v>595</v>
      </c>
      <c r="N738" s="84" t="s">
        <v>72</v>
      </c>
      <c r="O738" s="307" t="s">
        <v>3481</v>
      </c>
      <c r="P738" s="33" t="s">
        <v>3482</v>
      </c>
      <c r="Q738" s="49" t="s">
        <v>91</v>
      </c>
      <c r="R738" s="25"/>
      <c r="S738" s="26">
        <v>15</v>
      </c>
      <c r="T738" s="26"/>
      <c r="U738" s="33" t="s">
        <v>3483</v>
      </c>
      <c r="V738" s="66"/>
      <c r="W738" s="106"/>
      <c r="X738" s="106" t="s">
        <v>76</v>
      </c>
      <c r="Y738" s="26" t="s">
        <v>76</v>
      </c>
      <c r="Z738" s="93" t="s">
        <v>193</v>
      </c>
      <c r="AA738" s="30" t="s">
        <v>76</v>
      </c>
    </row>
    <row r="739" spans="1:28" ht="99" hidden="1">
      <c r="A739" s="98">
        <v>729</v>
      </c>
      <c r="B739" s="79" t="s">
        <v>3484</v>
      </c>
      <c r="C739" s="148" t="s">
        <v>10</v>
      </c>
      <c r="D739" s="80" t="s">
        <v>63</v>
      </c>
      <c r="E739" s="27" t="s">
        <v>3197</v>
      </c>
      <c r="F739" s="80" t="s">
        <v>120</v>
      </c>
      <c r="G739" s="81" t="s">
        <v>3198</v>
      </c>
      <c r="H739" s="80" t="s">
        <v>3199</v>
      </c>
      <c r="I739" s="83">
        <v>45631</v>
      </c>
      <c r="J739" s="80" t="s">
        <v>663</v>
      </c>
      <c r="K739" s="80" t="s">
        <v>86</v>
      </c>
      <c r="L739" s="84" t="s">
        <v>100</v>
      </c>
      <c r="M739" s="84" t="s">
        <v>595</v>
      </c>
      <c r="N739" s="84" t="s">
        <v>72</v>
      </c>
      <c r="O739" s="307" t="s">
        <v>3485</v>
      </c>
      <c r="P739" s="107" t="s">
        <v>3486</v>
      </c>
      <c r="Q739" s="49" t="s">
        <v>75</v>
      </c>
      <c r="R739" s="25" t="s">
        <v>91</v>
      </c>
      <c r="S739" s="26">
        <v>18</v>
      </c>
      <c r="T739" s="26">
        <v>54</v>
      </c>
      <c r="U739" s="33" t="s">
        <v>3487</v>
      </c>
      <c r="V739" s="66"/>
      <c r="W739" s="106"/>
      <c r="X739" s="106" t="s">
        <v>369</v>
      </c>
      <c r="Y739" s="26" t="s">
        <v>76</v>
      </c>
      <c r="Z739" s="93" t="s">
        <v>106</v>
      </c>
      <c r="AA739" s="30" t="s">
        <v>76</v>
      </c>
    </row>
    <row r="740" spans="1:28" ht="66" hidden="1">
      <c r="A740" s="98">
        <v>730</v>
      </c>
      <c r="B740" s="79" t="s">
        <v>3488</v>
      </c>
      <c r="C740" s="148" t="s">
        <v>8</v>
      </c>
      <c r="D740" s="80" t="s">
        <v>63</v>
      </c>
      <c r="E740" s="27" t="s">
        <v>2272</v>
      </c>
      <c r="F740" s="80" t="s">
        <v>65</v>
      </c>
      <c r="G740" s="81" t="s">
        <v>66</v>
      </c>
      <c r="H740" s="80" t="s">
        <v>1812</v>
      </c>
      <c r="I740" s="83">
        <v>45635</v>
      </c>
      <c r="J740" s="80" t="s">
        <v>3489</v>
      </c>
      <c r="K740" s="80" t="s">
        <v>146</v>
      </c>
      <c r="L740" s="84" t="s">
        <v>100</v>
      </c>
      <c r="M740" s="84" t="s">
        <v>148</v>
      </c>
      <c r="N740" s="84" t="s">
        <v>72</v>
      </c>
      <c r="O740" s="28" t="s">
        <v>3490</v>
      </c>
      <c r="P740" s="33" t="s">
        <v>3491</v>
      </c>
      <c r="Q740" s="49" t="s">
        <v>75</v>
      </c>
      <c r="R740" s="25" t="s">
        <v>91</v>
      </c>
      <c r="S740" s="26">
        <v>19</v>
      </c>
      <c r="T740" s="26">
        <v>65</v>
      </c>
      <c r="U740" s="32" t="s">
        <v>3410</v>
      </c>
      <c r="V740" s="66"/>
      <c r="W740" s="106"/>
      <c r="X740" s="106" t="s">
        <v>369</v>
      </c>
      <c r="Y740" s="26" t="s">
        <v>76</v>
      </c>
      <c r="Z740" s="75" t="s">
        <v>93</v>
      </c>
      <c r="AA740" s="53" t="s">
        <v>3492</v>
      </c>
    </row>
    <row r="741" spans="1:28" ht="99" hidden="1">
      <c r="A741" s="98">
        <v>731</v>
      </c>
      <c r="B741" s="79" t="s">
        <v>3493</v>
      </c>
      <c r="C741" s="148" t="s">
        <v>8</v>
      </c>
      <c r="D741" s="80" t="s">
        <v>63</v>
      </c>
      <c r="E741" s="27" t="s">
        <v>3166</v>
      </c>
      <c r="F741" s="80" t="s">
        <v>65</v>
      </c>
      <c r="G741" s="81" t="s">
        <v>1701</v>
      </c>
      <c r="H741" s="80" t="s">
        <v>3167</v>
      </c>
      <c r="I741" s="83">
        <v>45638</v>
      </c>
      <c r="J741" s="80" t="s">
        <v>3494</v>
      </c>
      <c r="K741" s="80" t="s">
        <v>198</v>
      </c>
      <c r="L741" s="84" t="s">
        <v>199</v>
      </c>
      <c r="M741" s="84" t="s">
        <v>200</v>
      </c>
      <c r="N741" s="84" t="s">
        <v>72</v>
      </c>
      <c r="O741" s="28" t="s">
        <v>3495</v>
      </c>
      <c r="P741" s="33" t="s">
        <v>3496</v>
      </c>
      <c r="Q741" s="49" t="s">
        <v>75</v>
      </c>
      <c r="R741" s="25" t="s">
        <v>75</v>
      </c>
      <c r="S741" s="143">
        <v>25</v>
      </c>
      <c r="T741" s="143">
        <v>85</v>
      </c>
      <c r="U741" s="33" t="s">
        <v>3497</v>
      </c>
      <c r="V741" s="66" t="s">
        <v>75</v>
      </c>
      <c r="W741" s="106" t="s">
        <v>425</v>
      </c>
      <c r="X741" s="106" t="s">
        <v>516</v>
      </c>
      <c r="Y741" s="116" t="s">
        <v>516</v>
      </c>
      <c r="Z741" s="75" t="s">
        <v>79</v>
      </c>
      <c r="AA741" s="176" t="s">
        <v>3498</v>
      </c>
    </row>
    <row r="742" spans="1:28" ht="66" hidden="1">
      <c r="A742" s="98">
        <v>732</v>
      </c>
      <c r="B742" s="79" t="s">
        <v>3499</v>
      </c>
      <c r="C742" s="148" t="s">
        <v>8</v>
      </c>
      <c r="D742" s="80" t="s">
        <v>63</v>
      </c>
      <c r="E742" s="27" t="s">
        <v>2677</v>
      </c>
      <c r="F742" s="80" t="s">
        <v>120</v>
      </c>
      <c r="G742" s="81" t="s">
        <v>651</v>
      </c>
      <c r="H742" s="80" t="s">
        <v>2678</v>
      </c>
      <c r="I742" s="83">
        <v>45642</v>
      </c>
      <c r="J742" s="80" t="s">
        <v>3500</v>
      </c>
      <c r="K742" s="80" t="s">
        <v>198</v>
      </c>
      <c r="L742" s="84" t="s">
        <v>199</v>
      </c>
      <c r="M742" s="84" t="s">
        <v>221</v>
      </c>
      <c r="N742" s="84" t="s">
        <v>72</v>
      </c>
      <c r="O742" s="28" t="s">
        <v>3501</v>
      </c>
      <c r="P742" s="33" t="s">
        <v>3502</v>
      </c>
      <c r="Q742" s="49" t="s">
        <v>75</v>
      </c>
      <c r="R742" s="25" t="s">
        <v>91</v>
      </c>
      <c r="S742" s="26">
        <v>18</v>
      </c>
      <c r="T742" s="26">
        <v>58</v>
      </c>
      <c r="U742" s="33" t="s">
        <v>3503</v>
      </c>
      <c r="V742" s="66"/>
      <c r="W742" s="106"/>
      <c r="X742" s="106" t="s">
        <v>516</v>
      </c>
      <c r="Y742" s="106" t="s">
        <v>76</v>
      </c>
      <c r="Z742" s="75" t="s">
        <v>93</v>
      </c>
      <c r="AA742" s="30" t="s">
        <v>76</v>
      </c>
    </row>
    <row r="743" spans="1:28" ht="69.75" hidden="1">
      <c r="A743" s="98">
        <v>733</v>
      </c>
      <c r="B743" s="79" t="s">
        <v>3504</v>
      </c>
      <c r="C743" s="148" t="s">
        <v>10</v>
      </c>
      <c r="D743" s="80" t="s">
        <v>63</v>
      </c>
      <c r="E743" s="27" t="s">
        <v>3197</v>
      </c>
      <c r="F743" s="80" t="s">
        <v>120</v>
      </c>
      <c r="G743" s="81" t="s">
        <v>3198</v>
      </c>
      <c r="H743" s="80" t="s">
        <v>3199</v>
      </c>
      <c r="I743" s="83">
        <v>45643</v>
      </c>
      <c r="J743" s="80" t="s">
        <v>3505</v>
      </c>
      <c r="K743" s="80" t="s">
        <v>69</v>
      </c>
      <c r="L743" s="84" t="s">
        <v>100</v>
      </c>
      <c r="M743" s="84" t="s">
        <v>252</v>
      </c>
      <c r="N743" s="84" t="s">
        <v>72</v>
      </c>
      <c r="O743" s="307" t="s">
        <v>3506</v>
      </c>
      <c r="P743" s="33" t="s">
        <v>3507</v>
      </c>
      <c r="Q743" s="49" t="s">
        <v>75</v>
      </c>
      <c r="R743" s="25" t="s">
        <v>91</v>
      </c>
      <c r="S743" s="26">
        <v>18</v>
      </c>
      <c r="T743" s="26">
        <v>52</v>
      </c>
      <c r="U743" s="33" t="s">
        <v>3508</v>
      </c>
      <c r="V743" s="66"/>
      <c r="W743" s="106"/>
      <c r="X743" s="106" t="s">
        <v>516</v>
      </c>
      <c r="Y743" s="26" t="s">
        <v>76</v>
      </c>
      <c r="Z743" s="75" t="s">
        <v>93</v>
      </c>
      <c r="AA743" s="30" t="s">
        <v>76</v>
      </c>
    </row>
    <row r="744" spans="1:28" ht="49.5" hidden="1">
      <c r="A744" s="98">
        <v>734</v>
      </c>
      <c r="B744" s="79" t="s">
        <v>3509</v>
      </c>
      <c r="C744" s="148" t="s">
        <v>8</v>
      </c>
      <c r="D744" s="80" t="s">
        <v>63</v>
      </c>
      <c r="E744" s="27" t="s">
        <v>3510</v>
      </c>
      <c r="F744" s="80" t="s">
        <v>120</v>
      </c>
      <c r="G744" s="81" t="s">
        <v>818</v>
      </c>
      <c r="H744" s="80" t="s">
        <v>3511</v>
      </c>
      <c r="I744" s="83">
        <v>45644</v>
      </c>
      <c r="J744" s="80" t="s">
        <v>3512</v>
      </c>
      <c r="K744" s="80" t="s">
        <v>299</v>
      </c>
      <c r="L744" s="84" t="s">
        <v>189</v>
      </c>
      <c r="M744" s="84" t="s">
        <v>221</v>
      </c>
      <c r="N744" s="84" t="s">
        <v>72</v>
      </c>
      <c r="O744" s="28" t="s">
        <v>3513</v>
      </c>
      <c r="P744" s="28" t="s">
        <v>3514</v>
      </c>
      <c r="Q744" s="49" t="s">
        <v>75</v>
      </c>
      <c r="R744" s="25" t="s">
        <v>91</v>
      </c>
      <c r="S744" s="26">
        <v>21</v>
      </c>
      <c r="T744" s="26">
        <v>64</v>
      </c>
      <c r="U744" s="28" t="s">
        <v>3515</v>
      </c>
      <c r="V744" s="66"/>
      <c r="W744" s="106"/>
      <c r="X744" s="106" t="s">
        <v>516</v>
      </c>
      <c r="Y744" s="26" t="s">
        <v>76</v>
      </c>
      <c r="Z744" s="93" t="s">
        <v>93</v>
      </c>
      <c r="AA744" s="30" t="s">
        <v>76</v>
      </c>
    </row>
    <row r="745" spans="1:28" ht="66" hidden="1">
      <c r="A745" s="98">
        <v>735</v>
      </c>
      <c r="B745" s="79" t="s">
        <v>3516</v>
      </c>
      <c r="C745" s="148" t="s">
        <v>8</v>
      </c>
      <c r="D745" s="80" t="s">
        <v>63</v>
      </c>
      <c r="E745" s="27" t="s">
        <v>3510</v>
      </c>
      <c r="F745" s="80" t="s">
        <v>120</v>
      </c>
      <c r="G745" s="81" t="s">
        <v>818</v>
      </c>
      <c r="H745" s="80" t="s">
        <v>3511</v>
      </c>
      <c r="I745" s="83">
        <v>45644</v>
      </c>
      <c r="J745" s="80" t="s">
        <v>3517</v>
      </c>
      <c r="K745" s="80" t="s">
        <v>299</v>
      </c>
      <c r="L745" s="84" t="s">
        <v>189</v>
      </c>
      <c r="M745" s="84" t="s">
        <v>200</v>
      </c>
      <c r="N745" s="84" t="s">
        <v>72</v>
      </c>
      <c r="O745" s="28" t="s">
        <v>3518</v>
      </c>
      <c r="P745" s="28" t="s">
        <v>3519</v>
      </c>
      <c r="Q745" s="49" t="s">
        <v>91</v>
      </c>
      <c r="R745" s="25"/>
      <c r="S745" s="26">
        <v>14</v>
      </c>
      <c r="T745" s="26"/>
      <c r="U745" s="28" t="s">
        <v>3520</v>
      </c>
      <c r="V745" s="66"/>
      <c r="W745" s="106"/>
      <c r="X745" s="106" t="s">
        <v>76</v>
      </c>
      <c r="Y745" s="26" t="s">
        <v>76</v>
      </c>
      <c r="Z745" s="75" t="s">
        <v>193</v>
      </c>
      <c r="AA745" s="30" t="s">
        <v>76</v>
      </c>
    </row>
    <row r="746" spans="1:28" ht="148.5" hidden="1">
      <c r="A746" s="98">
        <v>736</v>
      </c>
      <c r="B746" s="79" t="s">
        <v>3521</v>
      </c>
      <c r="C746" s="148" t="s">
        <v>8</v>
      </c>
      <c r="D746" s="80" t="s">
        <v>63</v>
      </c>
      <c r="E746" s="27" t="s">
        <v>2379</v>
      </c>
      <c r="F746" s="80" t="s">
        <v>109</v>
      </c>
      <c r="G746" s="81" t="s">
        <v>2380</v>
      </c>
      <c r="H746" s="80" t="s">
        <v>2381</v>
      </c>
      <c r="I746" s="83">
        <v>45644</v>
      </c>
      <c r="J746" s="80" t="s">
        <v>3494</v>
      </c>
      <c r="K746" s="80" t="s">
        <v>198</v>
      </c>
      <c r="L746" s="84" t="s">
        <v>199</v>
      </c>
      <c r="M746" s="84" t="s">
        <v>200</v>
      </c>
      <c r="N746" s="84" t="s">
        <v>72</v>
      </c>
      <c r="O746" s="28" t="s">
        <v>3522</v>
      </c>
      <c r="P746" s="149" t="s">
        <v>3523</v>
      </c>
      <c r="Q746" s="49" t="s">
        <v>75</v>
      </c>
      <c r="R746" s="25" t="s">
        <v>91</v>
      </c>
      <c r="S746" s="26">
        <v>18</v>
      </c>
      <c r="T746" s="105"/>
      <c r="U746" s="149" t="s">
        <v>3524</v>
      </c>
      <c r="V746" s="66"/>
      <c r="W746" s="106"/>
      <c r="X746" s="106" t="s">
        <v>516</v>
      </c>
      <c r="Y746" s="106" t="s">
        <v>76</v>
      </c>
      <c r="Z746" s="75" t="s">
        <v>93</v>
      </c>
      <c r="AA746" s="30" t="s">
        <v>76</v>
      </c>
    </row>
    <row r="747" spans="1:28" ht="132" hidden="1">
      <c r="A747" s="98">
        <v>737</v>
      </c>
      <c r="B747" s="79" t="s">
        <v>3525</v>
      </c>
      <c r="C747" s="148" t="s">
        <v>8</v>
      </c>
      <c r="D747" s="80" t="s">
        <v>63</v>
      </c>
      <c r="E747" s="27" t="s">
        <v>1992</v>
      </c>
      <c r="F747" s="80" t="s">
        <v>338</v>
      </c>
      <c r="G747" s="81" t="s">
        <v>995</v>
      </c>
      <c r="H747" s="80" t="s">
        <v>1993</v>
      </c>
      <c r="I747" s="83">
        <v>45644</v>
      </c>
      <c r="J747" s="80" t="s">
        <v>3526</v>
      </c>
      <c r="K747" s="80" t="s">
        <v>299</v>
      </c>
      <c r="L747" s="84" t="s">
        <v>189</v>
      </c>
      <c r="M747" s="84" t="s">
        <v>114</v>
      </c>
      <c r="N747" s="84" t="s">
        <v>72</v>
      </c>
      <c r="O747" s="28" t="s">
        <v>3527</v>
      </c>
      <c r="P747" s="28" t="s">
        <v>3528</v>
      </c>
      <c r="Q747" s="49" t="s">
        <v>91</v>
      </c>
      <c r="R747" s="25"/>
      <c r="S747" s="26">
        <v>11</v>
      </c>
      <c r="T747" s="26"/>
      <c r="U747" s="28" t="s">
        <v>3529</v>
      </c>
      <c r="V747" s="66"/>
      <c r="W747" s="106"/>
      <c r="X747" s="106" t="s">
        <v>76</v>
      </c>
      <c r="Y747" s="26" t="s">
        <v>76</v>
      </c>
      <c r="Z747" s="75" t="s">
        <v>193</v>
      </c>
      <c r="AA747" s="30" t="s">
        <v>76</v>
      </c>
      <c r="AB747" s="25" t="s">
        <v>75</v>
      </c>
    </row>
    <row r="748" spans="1:28" ht="66" hidden="1">
      <c r="A748" s="98">
        <v>738</v>
      </c>
      <c r="B748" s="79" t="s">
        <v>3530</v>
      </c>
      <c r="C748" s="148" t="s">
        <v>8</v>
      </c>
      <c r="D748" s="80" t="s">
        <v>63</v>
      </c>
      <c r="E748" s="27" t="s">
        <v>3023</v>
      </c>
      <c r="F748" s="80" t="s">
        <v>120</v>
      </c>
      <c r="G748" s="81" t="s">
        <v>818</v>
      </c>
      <c r="H748" s="80" t="s">
        <v>3024</v>
      </c>
      <c r="I748" s="83">
        <v>45645</v>
      </c>
      <c r="J748" s="80" t="s">
        <v>1179</v>
      </c>
      <c r="K748" s="80" t="s">
        <v>299</v>
      </c>
      <c r="L748" s="84" t="s">
        <v>189</v>
      </c>
      <c r="M748" s="84" t="s">
        <v>71</v>
      </c>
      <c r="N748" s="84" t="s">
        <v>72</v>
      </c>
      <c r="O748" s="28" t="s">
        <v>3531</v>
      </c>
      <c r="P748" s="28" t="s">
        <v>3532</v>
      </c>
      <c r="Q748" s="49" t="s">
        <v>91</v>
      </c>
      <c r="R748" s="25"/>
      <c r="S748" s="26">
        <v>11</v>
      </c>
      <c r="T748" s="26"/>
      <c r="U748" s="28" t="s">
        <v>3533</v>
      </c>
      <c r="V748" s="66"/>
      <c r="W748" s="106"/>
      <c r="X748" s="106" t="s">
        <v>76</v>
      </c>
      <c r="Y748" s="26" t="s">
        <v>76</v>
      </c>
      <c r="Z748" s="75" t="s">
        <v>193</v>
      </c>
      <c r="AA748" s="30" t="s">
        <v>76</v>
      </c>
      <c r="AB748" s="25" t="s">
        <v>75</v>
      </c>
    </row>
    <row r="749" spans="1:28" ht="99" hidden="1">
      <c r="A749" s="98">
        <v>739</v>
      </c>
      <c r="B749" s="79" t="s">
        <v>3534</v>
      </c>
      <c r="C749" s="148" t="s">
        <v>8</v>
      </c>
      <c r="D749" s="80" t="s">
        <v>83</v>
      </c>
      <c r="E749" s="27" t="s">
        <v>668</v>
      </c>
      <c r="F749" s="80" t="s">
        <v>338</v>
      </c>
      <c r="G749" s="81" t="s">
        <v>669</v>
      </c>
      <c r="H749" s="80" t="s">
        <v>670</v>
      </c>
      <c r="I749" s="83">
        <v>45645</v>
      </c>
      <c r="J749" s="80" t="s">
        <v>3526</v>
      </c>
      <c r="K749" s="80" t="s">
        <v>112</v>
      </c>
      <c r="L749" s="84" t="s">
        <v>189</v>
      </c>
      <c r="M749" s="84" t="s">
        <v>114</v>
      </c>
      <c r="N749" s="84" t="s">
        <v>72</v>
      </c>
      <c r="O749" s="28" t="s">
        <v>3535</v>
      </c>
      <c r="P749" s="28" t="s">
        <v>3536</v>
      </c>
      <c r="Q749" s="49" t="s">
        <v>75</v>
      </c>
      <c r="R749" s="25" t="s">
        <v>91</v>
      </c>
      <c r="S749" s="26">
        <v>22</v>
      </c>
      <c r="T749" s="26">
        <v>72</v>
      </c>
      <c r="U749" s="28" t="s">
        <v>3537</v>
      </c>
      <c r="V749" s="66"/>
      <c r="W749" s="106"/>
      <c r="X749" s="106" t="s">
        <v>516</v>
      </c>
      <c r="Y749" s="26" t="s">
        <v>76</v>
      </c>
      <c r="Z749" s="75" t="s">
        <v>93</v>
      </c>
      <c r="AA749" s="30" t="s">
        <v>76</v>
      </c>
    </row>
    <row r="750" spans="1:28" ht="132" hidden="1">
      <c r="A750" s="98">
        <v>740</v>
      </c>
      <c r="B750" s="79" t="s">
        <v>3538</v>
      </c>
      <c r="C750" s="148" t="s">
        <v>9</v>
      </c>
      <c r="D750" s="80" t="s">
        <v>3539</v>
      </c>
      <c r="E750" s="27" t="s">
        <v>3540</v>
      </c>
      <c r="F750" s="80" t="s">
        <v>284</v>
      </c>
      <c r="G750" s="81" t="s">
        <v>3541</v>
      </c>
      <c r="H750" s="80" t="s">
        <v>3542</v>
      </c>
      <c r="I750" s="83">
        <v>45645</v>
      </c>
      <c r="J750" s="80" t="s">
        <v>3543</v>
      </c>
      <c r="K750" s="80" t="s">
        <v>112</v>
      </c>
      <c r="L750" s="84" t="s">
        <v>113</v>
      </c>
      <c r="M750" s="84" t="s">
        <v>114</v>
      </c>
      <c r="N750" s="84" t="s">
        <v>72</v>
      </c>
      <c r="O750" s="28" t="s">
        <v>3544</v>
      </c>
      <c r="P750" s="28" t="s">
        <v>3545</v>
      </c>
      <c r="Q750" s="49" t="s">
        <v>75</v>
      </c>
      <c r="R750" s="25" t="s">
        <v>75</v>
      </c>
      <c r="S750" s="26">
        <v>20</v>
      </c>
      <c r="T750" s="26">
        <v>70</v>
      </c>
      <c r="U750" s="28" t="s">
        <v>3546</v>
      </c>
      <c r="V750" s="66" t="s">
        <v>75</v>
      </c>
      <c r="W750" s="106" t="s">
        <v>175</v>
      </c>
      <c r="X750" s="106" t="s">
        <v>516</v>
      </c>
      <c r="Y750" s="26" t="s">
        <v>176</v>
      </c>
      <c r="Z750" s="75" t="s">
        <v>79</v>
      </c>
      <c r="AA750" s="30" t="s">
        <v>3547</v>
      </c>
    </row>
    <row r="751" spans="1:28" ht="99" hidden="1">
      <c r="A751" s="98">
        <v>741</v>
      </c>
      <c r="B751" s="79" t="s">
        <v>3548</v>
      </c>
      <c r="C751" s="148" t="s">
        <v>8</v>
      </c>
      <c r="D751" s="80" t="s">
        <v>63</v>
      </c>
      <c r="E751" s="27" t="s">
        <v>3549</v>
      </c>
      <c r="F751" s="80" t="s">
        <v>65</v>
      </c>
      <c r="G751" s="81" t="s">
        <v>154</v>
      </c>
      <c r="H751" s="80" t="s">
        <v>3550</v>
      </c>
      <c r="I751" s="83">
        <v>45646</v>
      </c>
      <c r="J751" s="80" t="s">
        <v>3512</v>
      </c>
      <c r="K751" s="80" t="s">
        <v>198</v>
      </c>
      <c r="L751" s="84" t="s">
        <v>189</v>
      </c>
      <c r="M751" s="84" t="s">
        <v>221</v>
      </c>
      <c r="N751" s="84" t="s">
        <v>72</v>
      </c>
      <c r="O751" s="28" t="s">
        <v>3551</v>
      </c>
      <c r="P751" s="28" t="s">
        <v>3552</v>
      </c>
      <c r="Q751" s="49" t="s">
        <v>75</v>
      </c>
      <c r="R751" s="181" t="s">
        <v>504</v>
      </c>
      <c r="S751" s="26">
        <v>18</v>
      </c>
      <c r="T751" s="26"/>
      <c r="U751" s="28" t="s">
        <v>3553</v>
      </c>
      <c r="V751" s="66"/>
      <c r="W751" s="106"/>
      <c r="X751" s="106" t="s">
        <v>516</v>
      </c>
      <c r="Y751" s="106" t="s">
        <v>76</v>
      </c>
      <c r="Z751" s="75" t="s">
        <v>93</v>
      </c>
      <c r="AA751" s="30" t="s">
        <v>76</v>
      </c>
    </row>
    <row r="752" spans="1:28" ht="33" hidden="1">
      <c r="A752" s="98">
        <v>742</v>
      </c>
      <c r="B752" s="79" t="s">
        <v>3554</v>
      </c>
      <c r="C752" s="148" t="s">
        <v>8</v>
      </c>
      <c r="D752" s="80" t="s">
        <v>63</v>
      </c>
      <c r="E752" s="27" t="s">
        <v>3555</v>
      </c>
      <c r="F752" s="80" t="s">
        <v>65</v>
      </c>
      <c r="G752" s="81" t="s">
        <v>2762</v>
      </c>
      <c r="H752" s="80" t="s">
        <v>3556</v>
      </c>
      <c r="I752" s="83">
        <v>45646</v>
      </c>
      <c r="J752" s="80" t="s">
        <v>3505</v>
      </c>
      <c r="K752" s="80" t="s">
        <v>69</v>
      </c>
      <c r="L752" s="84" t="s">
        <v>251</v>
      </c>
      <c r="M752" s="84" t="s">
        <v>601</v>
      </c>
      <c r="N752" s="84" t="s">
        <v>72</v>
      </c>
      <c r="O752" s="28" t="s">
        <v>3557</v>
      </c>
      <c r="P752" s="28" t="s">
        <v>3558</v>
      </c>
      <c r="Q752" s="49" t="s">
        <v>75</v>
      </c>
      <c r="R752" s="25" t="s">
        <v>91</v>
      </c>
      <c r="S752" s="26">
        <v>20</v>
      </c>
      <c r="T752" s="26">
        <v>62</v>
      </c>
      <c r="U752" s="28" t="s">
        <v>3559</v>
      </c>
      <c r="V752" s="66"/>
      <c r="W752" s="106"/>
      <c r="X752" s="106" t="s">
        <v>516</v>
      </c>
      <c r="Y752" s="26" t="s">
        <v>76</v>
      </c>
      <c r="Z752" s="75" t="s">
        <v>93</v>
      </c>
      <c r="AA752" s="30" t="s">
        <v>76</v>
      </c>
    </row>
    <row r="753" spans="1:27" ht="49.5" hidden="1">
      <c r="A753" s="98">
        <v>743</v>
      </c>
      <c r="B753" s="79" t="s">
        <v>3560</v>
      </c>
      <c r="C753" s="148" t="s">
        <v>8</v>
      </c>
      <c r="D753" s="80" t="s">
        <v>63</v>
      </c>
      <c r="E753" s="27" t="s">
        <v>2761</v>
      </c>
      <c r="F753" s="80" t="s">
        <v>284</v>
      </c>
      <c r="G753" s="81" t="s">
        <v>2762</v>
      </c>
      <c r="H753" s="80" t="s">
        <v>2763</v>
      </c>
      <c r="I753" s="83">
        <v>45646</v>
      </c>
      <c r="J753" s="80" t="s">
        <v>3505</v>
      </c>
      <c r="K753" s="80" t="s">
        <v>69</v>
      </c>
      <c r="L753" s="84" t="s">
        <v>251</v>
      </c>
      <c r="M753" s="84" t="s">
        <v>904</v>
      </c>
      <c r="N753" s="84" t="s">
        <v>72</v>
      </c>
      <c r="O753" s="28" t="s">
        <v>3561</v>
      </c>
      <c r="P753" s="28" t="s">
        <v>3562</v>
      </c>
      <c r="Q753" s="49" t="s">
        <v>91</v>
      </c>
      <c r="R753" s="25"/>
      <c r="S753" s="26">
        <v>15</v>
      </c>
      <c r="T753" s="26"/>
      <c r="U753" s="28" t="s">
        <v>3563</v>
      </c>
      <c r="V753" s="66"/>
      <c r="W753" s="106"/>
      <c r="X753" s="106" t="s">
        <v>76</v>
      </c>
      <c r="Y753" s="26" t="s">
        <v>76</v>
      </c>
      <c r="Z753" s="75" t="s">
        <v>193</v>
      </c>
      <c r="AA753" s="30" t="s">
        <v>76</v>
      </c>
    </row>
    <row r="754" spans="1:27" ht="66" hidden="1">
      <c r="A754" s="98">
        <v>744</v>
      </c>
      <c r="B754" s="79" t="s">
        <v>3564</v>
      </c>
      <c r="C754" s="148" t="s">
        <v>8</v>
      </c>
      <c r="D754" s="80" t="s">
        <v>63</v>
      </c>
      <c r="E754" s="27" t="s">
        <v>2761</v>
      </c>
      <c r="F754" s="80" t="s">
        <v>284</v>
      </c>
      <c r="G754" s="81" t="s">
        <v>2762</v>
      </c>
      <c r="H754" s="80" t="s">
        <v>2763</v>
      </c>
      <c r="I754" s="83">
        <v>45646</v>
      </c>
      <c r="J754" s="80" t="s">
        <v>3565</v>
      </c>
      <c r="K754" s="80" t="s">
        <v>69</v>
      </c>
      <c r="L754" s="84" t="s">
        <v>189</v>
      </c>
      <c r="M754" s="84" t="s">
        <v>601</v>
      </c>
      <c r="N754" s="84" t="s">
        <v>72</v>
      </c>
      <c r="O754" s="28" t="s">
        <v>3566</v>
      </c>
      <c r="P754" s="28" t="s">
        <v>3567</v>
      </c>
      <c r="Q754" s="49" t="s">
        <v>91</v>
      </c>
      <c r="R754" s="25"/>
      <c r="S754" s="26">
        <v>11</v>
      </c>
      <c r="T754" s="26"/>
      <c r="U754" s="28" t="s">
        <v>3568</v>
      </c>
      <c r="V754" s="66"/>
      <c r="W754" s="106"/>
      <c r="X754" s="106" t="s">
        <v>76</v>
      </c>
      <c r="Y754" s="26" t="s">
        <v>76</v>
      </c>
      <c r="Z754" s="75" t="s">
        <v>193</v>
      </c>
      <c r="AA754" s="30" t="s">
        <v>76</v>
      </c>
    </row>
    <row r="755" spans="1:27" ht="66" hidden="1">
      <c r="A755" s="98">
        <v>745</v>
      </c>
      <c r="B755" s="79" t="s">
        <v>3569</v>
      </c>
      <c r="C755" s="148" t="s">
        <v>8</v>
      </c>
      <c r="D755" s="80" t="s">
        <v>63</v>
      </c>
      <c r="E755" s="27" t="s">
        <v>2761</v>
      </c>
      <c r="F755" s="80" t="s">
        <v>284</v>
      </c>
      <c r="G755" s="81" t="s">
        <v>2762</v>
      </c>
      <c r="H755" s="80" t="s">
        <v>2763</v>
      </c>
      <c r="I755" s="83">
        <v>45646</v>
      </c>
      <c r="J755" s="80" t="s">
        <v>3570</v>
      </c>
      <c r="K755" s="80" t="s">
        <v>69</v>
      </c>
      <c r="L755" s="84" t="s">
        <v>100</v>
      </c>
      <c r="M755" s="84" t="s">
        <v>2640</v>
      </c>
      <c r="N755" s="84" t="s">
        <v>72</v>
      </c>
      <c r="O755" s="28" t="s">
        <v>3571</v>
      </c>
      <c r="P755" s="28" t="s">
        <v>3572</v>
      </c>
      <c r="Q755" s="49" t="s">
        <v>91</v>
      </c>
      <c r="R755" s="25"/>
      <c r="S755" s="26">
        <v>14</v>
      </c>
      <c r="T755" s="26"/>
      <c r="U755" s="28" t="s">
        <v>3573</v>
      </c>
      <c r="V755" s="66"/>
      <c r="W755" s="106"/>
      <c r="X755" s="106" t="s">
        <v>76</v>
      </c>
      <c r="Y755" s="26" t="s">
        <v>76</v>
      </c>
      <c r="Z755" s="75" t="s">
        <v>193</v>
      </c>
      <c r="AA755" s="30" t="s">
        <v>76</v>
      </c>
    </row>
    <row r="756" spans="1:27" ht="148.5" hidden="1">
      <c r="A756" s="98">
        <v>746</v>
      </c>
      <c r="B756" s="79" t="s">
        <v>3574</v>
      </c>
      <c r="C756" s="148" t="s">
        <v>8</v>
      </c>
      <c r="D756" s="80" t="s">
        <v>63</v>
      </c>
      <c r="E756" s="27" t="s">
        <v>2636</v>
      </c>
      <c r="F756" s="80" t="s">
        <v>120</v>
      </c>
      <c r="G756" s="81" t="s">
        <v>995</v>
      </c>
      <c r="H756" s="80" t="s">
        <v>2637</v>
      </c>
      <c r="I756" s="83">
        <v>45646</v>
      </c>
      <c r="J756" s="80" t="s">
        <v>3505</v>
      </c>
      <c r="K756" s="80" t="s">
        <v>69</v>
      </c>
      <c r="L756" s="84" t="s">
        <v>251</v>
      </c>
      <c r="M756" s="84" t="s">
        <v>601</v>
      </c>
      <c r="N756" s="84" t="s">
        <v>72</v>
      </c>
      <c r="O756" s="28" t="s">
        <v>3575</v>
      </c>
      <c r="P756" s="28" t="s">
        <v>3576</v>
      </c>
      <c r="Q756" s="49" t="s">
        <v>75</v>
      </c>
      <c r="R756" s="25" t="s">
        <v>91</v>
      </c>
      <c r="S756" s="26">
        <v>19</v>
      </c>
      <c r="T756" s="26">
        <v>51</v>
      </c>
      <c r="U756" s="28" t="s">
        <v>3577</v>
      </c>
      <c r="V756" s="66"/>
      <c r="W756" s="106"/>
      <c r="X756" s="106" t="s">
        <v>516</v>
      </c>
      <c r="Y756" s="26" t="s">
        <v>76</v>
      </c>
      <c r="Z756" s="75" t="s">
        <v>93</v>
      </c>
      <c r="AA756" s="30" t="s">
        <v>76</v>
      </c>
    </row>
    <row r="757" spans="1:27" ht="49.5" hidden="1">
      <c r="A757" s="98">
        <v>747</v>
      </c>
      <c r="B757" s="79" t="s">
        <v>3578</v>
      </c>
      <c r="C757" s="148" t="s">
        <v>8</v>
      </c>
      <c r="D757" s="80" t="s">
        <v>63</v>
      </c>
      <c r="E757" s="27" t="s">
        <v>3579</v>
      </c>
      <c r="F757" s="80" t="s">
        <v>284</v>
      </c>
      <c r="G757" s="81" t="s">
        <v>2762</v>
      </c>
      <c r="H757" s="80" t="s">
        <v>3580</v>
      </c>
      <c r="I757" s="83">
        <v>45646</v>
      </c>
      <c r="J757" s="80" t="s">
        <v>3505</v>
      </c>
      <c r="K757" s="80" t="s">
        <v>69</v>
      </c>
      <c r="L757" s="84" t="s">
        <v>251</v>
      </c>
      <c r="M757" s="84" t="s">
        <v>601</v>
      </c>
      <c r="N757" s="84" t="s">
        <v>72</v>
      </c>
      <c r="O757" s="28" t="s">
        <v>3581</v>
      </c>
      <c r="P757" s="28" t="s">
        <v>3582</v>
      </c>
      <c r="Q757" s="49" t="s">
        <v>75</v>
      </c>
      <c r="R757" s="25" t="s">
        <v>91</v>
      </c>
      <c r="S757" s="26">
        <v>18</v>
      </c>
      <c r="T757" s="26">
        <v>54</v>
      </c>
      <c r="U757" s="28" t="s">
        <v>3583</v>
      </c>
      <c r="V757" s="66"/>
      <c r="W757" s="106"/>
      <c r="X757" s="106" t="s">
        <v>516</v>
      </c>
      <c r="Y757" s="26" t="s">
        <v>76</v>
      </c>
      <c r="Z757" s="75" t="s">
        <v>93</v>
      </c>
      <c r="AA757" s="30" t="s">
        <v>76</v>
      </c>
    </row>
    <row r="758" spans="1:27" ht="33" hidden="1">
      <c r="A758" s="98">
        <v>748</v>
      </c>
      <c r="B758" s="79" t="s">
        <v>3584</v>
      </c>
      <c r="C758" s="148" t="s">
        <v>8</v>
      </c>
      <c r="D758" s="80" t="s">
        <v>63</v>
      </c>
      <c r="E758" s="27" t="s">
        <v>2482</v>
      </c>
      <c r="F758" s="80" t="s">
        <v>109</v>
      </c>
      <c r="G758" s="81" t="s">
        <v>1562</v>
      </c>
      <c r="H758" s="80" t="s">
        <v>670</v>
      </c>
      <c r="I758" s="83">
        <v>45646</v>
      </c>
      <c r="J758" s="80" t="s">
        <v>145</v>
      </c>
      <c r="K758" s="80" t="s">
        <v>146</v>
      </c>
      <c r="L758" s="84" t="s">
        <v>147</v>
      </c>
      <c r="M758" s="84" t="s">
        <v>148</v>
      </c>
      <c r="N758" s="84" t="s">
        <v>72</v>
      </c>
      <c r="O758" s="28" t="s">
        <v>3585</v>
      </c>
      <c r="P758" s="149" t="s">
        <v>3586</v>
      </c>
      <c r="Q758" s="49" t="s">
        <v>75</v>
      </c>
      <c r="R758" s="25" t="s">
        <v>91</v>
      </c>
      <c r="S758" s="26">
        <v>18</v>
      </c>
      <c r="T758" s="26">
        <v>60</v>
      </c>
      <c r="U758" s="228" t="s">
        <v>3587</v>
      </c>
      <c r="V758" s="66"/>
      <c r="W758" s="106"/>
      <c r="X758" s="106" t="s">
        <v>516</v>
      </c>
      <c r="Y758" s="26" t="s">
        <v>76</v>
      </c>
      <c r="Z758" s="75" t="s">
        <v>93</v>
      </c>
      <c r="AA758" s="30" t="s">
        <v>76</v>
      </c>
    </row>
    <row r="759" spans="1:27" ht="49.5" hidden="1">
      <c r="A759" s="98">
        <v>749</v>
      </c>
      <c r="B759" s="79" t="s">
        <v>3588</v>
      </c>
      <c r="C759" s="148" t="s">
        <v>8</v>
      </c>
      <c r="D759" s="80" t="s">
        <v>63</v>
      </c>
      <c r="E759" s="27" t="s">
        <v>3589</v>
      </c>
      <c r="F759" s="80" t="s">
        <v>109</v>
      </c>
      <c r="G759" s="81" t="s">
        <v>995</v>
      </c>
      <c r="H759" s="80" t="s">
        <v>3590</v>
      </c>
      <c r="I759" s="83">
        <v>45647</v>
      </c>
      <c r="J759" s="80" t="s">
        <v>3505</v>
      </c>
      <c r="K759" s="80" t="s">
        <v>69</v>
      </c>
      <c r="L759" s="84" t="s">
        <v>251</v>
      </c>
      <c r="M759" s="84" t="s">
        <v>252</v>
      </c>
      <c r="N759" s="84" t="s">
        <v>72</v>
      </c>
      <c r="O759" s="28" t="s">
        <v>3591</v>
      </c>
      <c r="P759" s="149" t="s">
        <v>3592</v>
      </c>
      <c r="Q759" s="49" t="s">
        <v>91</v>
      </c>
      <c r="R759" s="25"/>
      <c r="S759" s="26">
        <v>14</v>
      </c>
      <c r="T759" s="26"/>
      <c r="U759" s="28" t="s">
        <v>3593</v>
      </c>
      <c r="V759" s="66"/>
      <c r="W759" s="106"/>
      <c r="X759" s="106" t="s">
        <v>76</v>
      </c>
      <c r="Y759" s="26" t="s">
        <v>76</v>
      </c>
      <c r="Z759" s="75" t="s">
        <v>193</v>
      </c>
      <c r="AA759" s="30" t="s">
        <v>76</v>
      </c>
    </row>
    <row r="760" spans="1:27" ht="148.5" hidden="1">
      <c r="A760" s="98">
        <v>750</v>
      </c>
      <c r="B760" s="79" t="s">
        <v>3594</v>
      </c>
      <c r="C760" s="148" t="s">
        <v>8</v>
      </c>
      <c r="D760" s="80" t="s">
        <v>63</v>
      </c>
      <c r="E760" s="27" t="s">
        <v>2272</v>
      </c>
      <c r="F760" s="80" t="s">
        <v>65</v>
      </c>
      <c r="G760" s="81" t="s">
        <v>66</v>
      </c>
      <c r="H760" s="80" t="s">
        <v>1812</v>
      </c>
      <c r="I760" s="83">
        <v>45647</v>
      </c>
      <c r="J760" s="80" t="s">
        <v>3595</v>
      </c>
      <c r="K760" s="80" t="s">
        <v>146</v>
      </c>
      <c r="L760" s="84" t="s">
        <v>100</v>
      </c>
      <c r="M760" s="84" t="s">
        <v>101</v>
      </c>
      <c r="N760" s="84" t="s">
        <v>72</v>
      </c>
      <c r="O760" s="28" t="s">
        <v>3596</v>
      </c>
      <c r="P760" s="149" t="s">
        <v>3597</v>
      </c>
      <c r="Q760" s="49" t="s">
        <v>75</v>
      </c>
      <c r="R760" s="25" t="s">
        <v>91</v>
      </c>
      <c r="S760" s="26">
        <v>18</v>
      </c>
      <c r="T760" s="26">
        <v>60</v>
      </c>
      <c r="U760" s="28" t="s">
        <v>3598</v>
      </c>
      <c r="V760" s="66"/>
      <c r="W760" s="106"/>
      <c r="X760" s="106" t="s">
        <v>516</v>
      </c>
      <c r="Y760" s="26" t="s">
        <v>76</v>
      </c>
      <c r="Z760" s="75" t="s">
        <v>93</v>
      </c>
      <c r="AA760" s="30" t="s">
        <v>76</v>
      </c>
    </row>
    <row r="761" spans="1:27" ht="99" hidden="1">
      <c r="A761" s="98">
        <v>751</v>
      </c>
      <c r="B761" s="79" t="s">
        <v>3599</v>
      </c>
      <c r="C761" s="148" t="s">
        <v>8</v>
      </c>
      <c r="D761" s="80" t="s">
        <v>63</v>
      </c>
      <c r="E761" s="27" t="s">
        <v>3600</v>
      </c>
      <c r="F761" s="80" t="s">
        <v>109</v>
      </c>
      <c r="G761" s="81" t="s">
        <v>818</v>
      </c>
      <c r="H761" s="80" t="s">
        <v>3601</v>
      </c>
      <c r="I761" s="83">
        <v>45647</v>
      </c>
      <c r="J761" s="80" t="s">
        <v>3526</v>
      </c>
      <c r="K761" s="80" t="s">
        <v>299</v>
      </c>
      <c r="L761" s="84" t="s">
        <v>189</v>
      </c>
      <c r="M761" s="84" t="s">
        <v>114</v>
      </c>
      <c r="N761" s="84" t="s">
        <v>72</v>
      </c>
      <c r="O761" s="28" t="s">
        <v>3602</v>
      </c>
      <c r="P761" s="149" t="s">
        <v>3603</v>
      </c>
      <c r="Q761" s="49" t="s">
        <v>75</v>
      </c>
      <c r="R761" s="25" t="s">
        <v>91</v>
      </c>
      <c r="S761" s="26">
        <v>19</v>
      </c>
      <c r="T761" s="26">
        <v>65</v>
      </c>
      <c r="U761" s="28" t="s">
        <v>3604</v>
      </c>
      <c r="V761" s="66"/>
      <c r="W761" s="106"/>
      <c r="X761" s="106" t="s">
        <v>516</v>
      </c>
      <c r="Y761" s="26" t="s">
        <v>76</v>
      </c>
      <c r="Z761" s="93" t="s">
        <v>93</v>
      </c>
      <c r="AA761" s="30" t="s">
        <v>76</v>
      </c>
    </row>
    <row r="762" spans="1:27" ht="148.5" hidden="1">
      <c r="A762" s="98">
        <v>752</v>
      </c>
      <c r="B762" s="79" t="s">
        <v>3605</v>
      </c>
      <c r="C762" s="148" t="s">
        <v>8</v>
      </c>
      <c r="D762" s="80" t="s">
        <v>63</v>
      </c>
      <c r="E762" s="27" t="s">
        <v>3600</v>
      </c>
      <c r="F762" s="80" t="s">
        <v>109</v>
      </c>
      <c r="G762" s="81" t="s">
        <v>818</v>
      </c>
      <c r="H762" s="80" t="s">
        <v>3601</v>
      </c>
      <c r="I762" s="83">
        <v>45647</v>
      </c>
      <c r="J762" s="80" t="s">
        <v>3526</v>
      </c>
      <c r="K762" s="80" t="s">
        <v>112</v>
      </c>
      <c r="L762" s="84" t="s">
        <v>189</v>
      </c>
      <c r="M762" s="84" t="s">
        <v>114</v>
      </c>
      <c r="N762" s="84" t="s">
        <v>72</v>
      </c>
      <c r="O762" s="28" t="s">
        <v>3606</v>
      </c>
      <c r="P762" s="149" t="s">
        <v>3607</v>
      </c>
      <c r="Q762" s="49" t="s">
        <v>75</v>
      </c>
      <c r="R762" s="25" t="s">
        <v>91</v>
      </c>
      <c r="S762" s="26">
        <v>24</v>
      </c>
      <c r="T762" s="26">
        <v>67</v>
      </c>
      <c r="U762" s="28" t="s">
        <v>3608</v>
      </c>
      <c r="V762" s="66"/>
      <c r="W762" s="106"/>
      <c r="X762" s="106" t="s">
        <v>516</v>
      </c>
      <c r="Y762" s="26" t="s">
        <v>76</v>
      </c>
      <c r="Z762" s="75" t="s">
        <v>93</v>
      </c>
      <c r="AA762" s="30" t="s">
        <v>76</v>
      </c>
    </row>
    <row r="763" spans="1:27" ht="66" hidden="1">
      <c r="A763" s="98">
        <v>753</v>
      </c>
      <c r="B763" s="79" t="s">
        <v>3609</v>
      </c>
      <c r="C763" s="148" t="s">
        <v>8</v>
      </c>
      <c r="D763" s="80" t="s">
        <v>63</v>
      </c>
      <c r="E763" s="27" t="s">
        <v>2990</v>
      </c>
      <c r="F763" s="80" t="s">
        <v>65</v>
      </c>
      <c r="G763" s="81" t="s">
        <v>2076</v>
      </c>
      <c r="H763" s="80" t="s">
        <v>2991</v>
      </c>
      <c r="I763" s="83">
        <v>45647</v>
      </c>
      <c r="J763" s="80" t="s">
        <v>170</v>
      </c>
      <c r="K763" s="80" t="s">
        <v>156</v>
      </c>
      <c r="L763" s="84" t="s">
        <v>171</v>
      </c>
      <c r="M763" s="84" t="s">
        <v>71</v>
      </c>
      <c r="N763" s="84" t="s">
        <v>72</v>
      </c>
      <c r="O763" s="28" t="s">
        <v>3610</v>
      </c>
      <c r="P763" s="149" t="s">
        <v>3611</v>
      </c>
      <c r="Q763" s="49" t="s">
        <v>75</v>
      </c>
      <c r="R763" s="25" t="s">
        <v>91</v>
      </c>
      <c r="S763" s="26">
        <v>20</v>
      </c>
      <c r="T763" s="26">
        <v>68</v>
      </c>
      <c r="U763" s="28" t="s">
        <v>3612</v>
      </c>
      <c r="V763" s="66"/>
      <c r="W763" s="106"/>
      <c r="X763" s="106" t="s">
        <v>516</v>
      </c>
      <c r="Y763" s="26" t="s">
        <v>76</v>
      </c>
      <c r="Z763" s="75" t="s">
        <v>93</v>
      </c>
      <c r="AA763" s="30" t="s">
        <v>76</v>
      </c>
    </row>
    <row r="764" spans="1:27" ht="66" hidden="1">
      <c r="A764" s="98">
        <v>754</v>
      </c>
      <c r="B764" s="79" t="s">
        <v>3613</v>
      </c>
      <c r="C764" s="148" t="s">
        <v>8</v>
      </c>
      <c r="D764" s="80" t="s">
        <v>63</v>
      </c>
      <c r="E764" s="27" t="s">
        <v>3614</v>
      </c>
      <c r="F764" s="80" t="s">
        <v>65</v>
      </c>
      <c r="G764" s="81" t="s">
        <v>66</v>
      </c>
      <c r="H764" s="80" t="s">
        <v>3615</v>
      </c>
      <c r="I764" s="83">
        <v>45647</v>
      </c>
      <c r="J764" s="80" t="s">
        <v>170</v>
      </c>
      <c r="K764" s="80" t="s">
        <v>156</v>
      </c>
      <c r="L764" s="84" t="s">
        <v>171</v>
      </c>
      <c r="M764" s="84" t="s">
        <v>71</v>
      </c>
      <c r="N764" s="84" t="s">
        <v>72</v>
      </c>
      <c r="O764" s="28" t="s">
        <v>3616</v>
      </c>
      <c r="P764" s="149" t="s">
        <v>3617</v>
      </c>
      <c r="Q764" s="49" t="s">
        <v>75</v>
      </c>
      <c r="R764" s="25" t="s">
        <v>91</v>
      </c>
      <c r="S764" s="26">
        <v>20</v>
      </c>
      <c r="T764" s="26">
        <v>68</v>
      </c>
      <c r="U764" s="28" t="s">
        <v>3618</v>
      </c>
      <c r="V764" s="66"/>
      <c r="W764" s="106"/>
      <c r="X764" s="106" t="s">
        <v>516</v>
      </c>
      <c r="Y764" s="26" t="s">
        <v>76</v>
      </c>
      <c r="Z764" s="75" t="s">
        <v>93</v>
      </c>
      <c r="AA764" s="30" t="s">
        <v>76</v>
      </c>
    </row>
    <row r="765" spans="1:27" ht="66" hidden="1">
      <c r="A765" s="98">
        <v>755</v>
      </c>
      <c r="B765" s="79" t="s">
        <v>3619</v>
      </c>
      <c r="C765" s="148" t="s">
        <v>8</v>
      </c>
      <c r="D765" s="80" t="s">
        <v>63</v>
      </c>
      <c r="E765" s="27" t="s">
        <v>3614</v>
      </c>
      <c r="F765" s="80" t="s">
        <v>65</v>
      </c>
      <c r="G765" s="81" t="s">
        <v>66</v>
      </c>
      <c r="H765" s="80" t="s">
        <v>3615</v>
      </c>
      <c r="I765" s="83">
        <v>45647</v>
      </c>
      <c r="J765" s="80" t="s">
        <v>3620</v>
      </c>
      <c r="K765" s="80" t="s">
        <v>146</v>
      </c>
      <c r="L765" s="84" t="s">
        <v>147</v>
      </c>
      <c r="M765" s="84" t="s">
        <v>101</v>
      </c>
      <c r="N765" s="84" t="s">
        <v>72</v>
      </c>
      <c r="O765" s="28" t="s">
        <v>3621</v>
      </c>
      <c r="P765" s="149" t="s">
        <v>3622</v>
      </c>
      <c r="Q765" s="49" t="s">
        <v>75</v>
      </c>
      <c r="R765" s="25" t="s">
        <v>91</v>
      </c>
      <c r="S765" s="26">
        <v>19</v>
      </c>
      <c r="T765" s="26">
        <v>61</v>
      </c>
      <c r="U765" s="28" t="s">
        <v>3623</v>
      </c>
      <c r="V765" s="66"/>
      <c r="W765" s="106"/>
      <c r="X765" s="106" t="s">
        <v>516</v>
      </c>
      <c r="Y765" s="26" t="s">
        <v>76</v>
      </c>
      <c r="Z765" s="75" t="s">
        <v>93</v>
      </c>
      <c r="AA765" s="30" t="s">
        <v>76</v>
      </c>
    </row>
    <row r="766" spans="1:27" ht="99" hidden="1">
      <c r="A766" s="98">
        <v>756</v>
      </c>
      <c r="B766" s="79" t="s">
        <v>3624</v>
      </c>
      <c r="C766" s="148" t="s">
        <v>8</v>
      </c>
      <c r="D766" s="80" t="s">
        <v>63</v>
      </c>
      <c r="E766" s="27" t="s">
        <v>3362</v>
      </c>
      <c r="F766" s="80" t="s">
        <v>338</v>
      </c>
      <c r="G766" s="81" t="s">
        <v>995</v>
      </c>
      <c r="H766" s="80" t="s">
        <v>3363</v>
      </c>
      <c r="I766" s="83">
        <v>45649</v>
      </c>
      <c r="J766" s="80" t="s">
        <v>3625</v>
      </c>
      <c r="K766" s="80" t="s">
        <v>146</v>
      </c>
      <c r="L766" s="84" t="s">
        <v>147</v>
      </c>
      <c r="M766" s="84" t="s">
        <v>853</v>
      </c>
      <c r="N766" s="84" t="s">
        <v>72</v>
      </c>
      <c r="O766" s="28" t="s">
        <v>3626</v>
      </c>
      <c r="P766" s="149" t="s">
        <v>3627</v>
      </c>
      <c r="Q766" s="49" t="s">
        <v>75</v>
      </c>
      <c r="R766" s="25" t="s">
        <v>91</v>
      </c>
      <c r="S766" s="26">
        <v>18</v>
      </c>
      <c r="T766" s="26">
        <v>60</v>
      </c>
      <c r="U766" s="228" t="s">
        <v>3628</v>
      </c>
      <c r="V766" s="66"/>
      <c r="W766" s="106"/>
      <c r="X766" s="106" t="s">
        <v>516</v>
      </c>
      <c r="Y766" s="26" t="s">
        <v>76</v>
      </c>
      <c r="Z766" s="75" t="s">
        <v>93</v>
      </c>
      <c r="AA766" s="30" t="s">
        <v>76</v>
      </c>
    </row>
    <row r="767" spans="1:27" ht="66" hidden="1">
      <c r="A767" s="98">
        <v>757</v>
      </c>
      <c r="B767" s="79" t="s">
        <v>3629</v>
      </c>
      <c r="C767" s="148" t="s">
        <v>8</v>
      </c>
      <c r="D767" s="80" t="s">
        <v>63</v>
      </c>
      <c r="E767" s="27" t="s">
        <v>2631</v>
      </c>
      <c r="F767" s="80" t="s">
        <v>109</v>
      </c>
      <c r="G767" s="81" t="s">
        <v>995</v>
      </c>
      <c r="H767" s="80" t="s">
        <v>2632</v>
      </c>
      <c r="I767" s="83">
        <v>45650</v>
      </c>
      <c r="J767" s="80" t="s">
        <v>3565</v>
      </c>
      <c r="K767" s="80" t="s">
        <v>299</v>
      </c>
      <c r="L767" s="84" t="s">
        <v>189</v>
      </c>
      <c r="M767" s="84" t="s">
        <v>601</v>
      </c>
      <c r="N767" s="84" t="s">
        <v>72</v>
      </c>
      <c r="O767" s="28" t="s">
        <v>3630</v>
      </c>
      <c r="P767" s="149" t="s">
        <v>3631</v>
      </c>
      <c r="Q767" s="49" t="s">
        <v>91</v>
      </c>
      <c r="R767" s="25"/>
      <c r="S767" s="26">
        <v>10</v>
      </c>
      <c r="T767" s="26"/>
      <c r="U767" s="28" t="s">
        <v>3632</v>
      </c>
      <c r="V767" s="66"/>
      <c r="W767" s="106"/>
      <c r="X767" s="106" t="s">
        <v>76</v>
      </c>
      <c r="Y767" s="26" t="s">
        <v>76</v>
      </c>
      <c r="Z767" s="75" t="s">
        <v>193</v>
      </c>
      <c r="AA767" s="30" t="s">
        <v>76</v>
      </c>
    </row>
    <row r="768" spans="1:27" ht="49.5" hidden="1">
      <c r="A768" s="98">
        <v>758</v>
      </c>
      <c r="B768" s="79" t="s">
        <v>3633</v>
      </c>
      <c r="C768" s="148" t="s">
        <v>8</v>
      </c>
      <c r="D768" s="80" t="s">
        <v>63</v>
      </c>
      <c r="E768" s="27" t="s">
        <v>3634</v>
      </c>
      <c r="F768" s="80" t="s">
        <v>284</v>
      </c>
      <c r="G768" s="81" t="s">
        <v>2762</v>
      </c>
      <c r="H768" s="80" t="s">
        <v>3635</v>
      </c>
      <c r="I768" s="83">
        <v>45651</v>
      </c>
      <c r="J768" s="80" t="s">
        <v>3517</v>
      </c>
      <c r="K768" s="80" t="s">
        <v>198</v>
      </c>
      <c r="L768" s="84" t="s">
        <v>189</v>
      </c>
      <c r="M768" s="84" t="s">
        <v>101</v>
      </c>
      <c r="N768" s="84" t="s">
        <v>72</v>
      </c>
      <c r="O768" s="28" t="s">
        <v>3636</v>
      </c>
      <c r="P768" s="149" t="s">
        <v>3637</v>
      </c>
      <c r="Q768" s="49" t="s">
        <v>75</v>
      </c>
      <c r="R768" s="25" t="s">
        <v>504</v>
      </c>
      <c r="S768" s="26">
        <v>18</v>
      </c>
      <c r="T768" s="26"/>
      <c r="U768" s="28" t="s">
        <v>3638</v>
      </c>
      <c r="V768" s="66"/>
      <c r="W768" s="106"/>
      <c r="X768" s="106" t="s">
        <v>516</v>
      </c>
      <c r="Y768" s="106" t="s">
        <v>76</v>
      </c>
      <c r="Z768" s="75" t="s">
        <v>106</v>
      </c>
      <c r="AA768" s="30" t="s">
        <v>2890</v>
      </c>
    </row>
    <row r="769" spans="1:28" ht="49.5" hidden="1">
      <c r="A769" s="98">
        <v>759</v>
      </c>
      <c r="B769" s="79" t="s">
        <v>3639</v>
      </c>
      <c r="C769" s="148" t="s">
        <v>8</v>
      </c>
      <c r="D769" s="80" t="s">
        <v>63</v>
      </c>
      <c r="E769" s="27" t="s">
        <v>994</v>
      </c>
      <c r="F769" s="80" t="s">
        <v>109</v>
      </c>
      <c r="G769" s="81" t="s">
        <v>995</v>
      </c>
      <c r="H769" s="80" t="s">
        <v>996</v>
      </c>
      <c r="I769" s="83">
        <v>45651</v>
      </c>
      <c r="J769" s="80" t="s">
        <v>3565</v>
      </c>
      <c r="K769" s="80" t="s">
        <v>299</v>
      </c>
      <c r="L769" s="84" t="s">
        <v>189</v>
      </c>
      <c r="M769" s="84" t="s">
        <v>601</v>
      </c>
      <c r="N769" s="84" t="s">
        <v>72</v>
      </c>
      <c r="O769" s="28" t="s">
        <v>3640</v>
      </c>
      <c r="P769" s="149" t="s">
        <v>3641</v>
      </c>
      <c r="Q769" s="49" t="s">
        <v>91</v>
      </c>
      <c r="R769" s="25"/>
      <c r="S769" s="26">
        <v>10</v>
      </c>
      <c r="T769" s="26"/>
      <c r="U769" s="28" t="s">
        <v>3642</v>
      </c>
      <c r="V769" s="66"/>
      <c r="W769" s="106"/>
      <c r="X769" s="106" t="s">
        <v>76</v>
      </c>
      <c r="Y769" s="26" t="s">
        <v>76</v>
      </c>
      <c r="Z769" s="75" t="s">
        <v>193</v>
      </c>
      <c r="AA769" s="30" t="s">
        <v>76</v>
      </c>
      <c r="AB769" s="25" t="s">
        <v>75</v>
      </c>
    </row>
    <row r="770" spans="1:28" ht="82.5" hidden="1">
      <c r="A770" s="98">
        <v>760</v>
      </c>
      <c r="B770" s="79" t="s">
        <v>3643</v>
      </c>
      <c r="C770" s="148" t="s">
        <v>8</v>
      </c>
      <c r="D770" s="80" t="s">
        <v>63</v>
      </c>
      <c r="E770" s="27" t="s">
        <v>2790</v>
      </c>
      <c r="F770" s="80" t="s">
        <v>338</v>
      </c>
      <c r="G770" s="81" t="s">
        <v>995</v>
      </c>
      <c r="H770" s="80" t="s">
        <v>2791</v>
      </c>
      <c r="I770" s="83">
        <v>45652</v>
      </c>
      <c r="J770" s="80" t="s">
        <v>3644</v>
      </c>
      <c r="K770" s="80" t="s">
        <v>156</v>
      </c>
      <c r="L770" s="84" t="s">
        <v>171</v>
      </c>
      <c r="M770" s="84" t="s">
        <v>101</v>
      </c>
      <c r="N770" s="84" t="s">
        <v>72</v>
      </c>
      <c r="O770" s="28" t="s">
        <v>3645</v>
      </c>
      <c r="P770" s="149" t="s">
        <v>3646</v>
      </c>
      <c r="Q770" s="49" t="s">
        <v>75</v>
      </c>
      <c r="R770" s="25" t="s">
        <v>91</v>
      </c>
      <c r="S770" s="26">
        <v>18</v>
      </c>
      <c r="T770" s="26">
        <v>66</v>
      </c>
      <c r="U770" s="28" t="s">
        <v>3647</v>
      </c>
      <c r="V770" s="66"/>
      <c r="W770" s="106"/>
      <c r="X770" s="106" t="s">
        <v>516</v>
      </c>
      <c r="Y770" s="26" t="s">
        <v>76</v>
      </c>
      <c r="Z770" s="75" t="s">
        <v>93</v>
      </c>
      <c r="AA770" s="30" t="s">
        <v>76</v>
      </c>
    </row>
    <row r="771" spans="1:28" ht="66" hidden="1">
      <c r="A771" s="98">
        <v>761</v>
      </c>
      <c r="B771" s="79" t="s">
        <v>3648</v>
      </c>
      <c r="C771" s="148" t="s">
        <v>8</v>
      </c>
      <c r="D771" s="80" t="s">
        <v>63</v>
      </c>
      <c r="E771" s="27" t="s">
        <v>2631</v>
      </c>
      <c r="F771" s="80" t="s">
        <v>109</v>
      </c>
      <c r="G771" s="81" t="s">
        <v>995</v>
      </c>
      <c r="H771" s="80" t="s">
        <v>2632</v>
      </c>
      <c r="I771" s="83">
        <v>45652</v>
      </c>
      <c r="J771" s="80" t="s">
        <v>3505</v>
      </c>
      <c r="K771" s="80" t="s">
        <v>69</v>
      </c>
      <c r="L771" s="84" t="s">
        <v>100</v>
      </c>
      <c r="M771" s="84" t="s">
        <v>595</v>
      </c>
      <c r="N771" s="84" t="s">
        <v>72</v>
      </c>
      <c r="O771" s="28" t="s">
        <v>3649</v>
      </c>
      <c r="P771" s="149" t="s">
        <v>3650</v>
      </c>
      <c r="Q771" s="49" t="s">
        <v>91</v>
      </c>
      <c r="R771" s="25"/>
      <c r="S771" s="26">
        <v>14</v>
      </c>
      <c r="T771" s="26"/>
      <c r="U771" s="28" t="s">
        <v>3651</v>
      </c>
      <c r="V771" s="66"/>
      <c r="W771" s="106"/>
      <c r="X771" s="106" t="s">
        <v>76</v>
      </c>
      <c r="Y771" s="26" t="s">
        <v>76</v>
      </c>
      <c r="Z771" s="75" t="s">
        <v>193</v>
      </c>
      <c r="AA771" s="30" t="s">
        <v>76</v>
      </c>
    </row>
    <row r="772" spans="1:28" ht="49.5" hidden="1">
      <c r="A772" s="98">
        <v>762</v>
      </c>
      <c r="B772" s="79" t="s">
        <v>3652</v>
      </c>
      <c r="C772" s="148" t="s">
        <v>8</v>
      </c>
      <c r="D772" s="80" t="s">
        <v>63</v>
      </c>
      <c r="E772" s="27" t="s">
        <v>3208</v>
      </c>
      <c r="F772" s="80" t="s">
        <v>65</v>
      </c>
      <c r="G772" s="81" t="s">
        <v>2762</v>
      </c>
      <c r="H772" s="80" t="s">
        <v>3209</v>
      </c>
      <c r="I772" s="83">
        <v>45652</v>
      </c>
      <c r="J772" s="80" t="s">
        <v>3500</v>
      </c>
      <c r="K772" s="80" t="s">
        <v>198</v>
      </c>
      <c r="L772" s="84" t="s">
        <v>199</v>
      </c>
      <c r="M772" s="84" t="s">
        <v>221</v>
      </c>
      <c r="N772" s="84" t="s">
        <v>72</v>
      </c>
      <c r="O772" s="28" t="s">
        <v>3653</v>
      </c>
      <c r="P772" s="149" t="s">
        <v>3654</v>
      </c>
      <c r="Q772" s="49" t="s">
        <v>75</v>
      </c>
      <c r="R772" s="25" t="s">
        <v>91</v>
      </c>
      <c r="S772" s="26">
        <v>18</v>
      </c>
      <c r="T772" s="26">
        <v>54</v>
      </c>
      <c r="U772" s="28" t="s">
        <v>3655</v>
      </c>
      <c r="V772" s="66"/>
      <c r="W772" s="106"/>
      <c r="X772" s="106" t="s">
        <v>516</v>
      </c>
      <c r="Y772" s="106" t="s">
        <v>76</v>
      </c>
      <c r="Z772" s="75" t="s">
        <v>93</v>
      </c>
      <c r="AA772" s="30" t="s">
        <v>76</v>
      </c>
    </row>
    <row r="773" spans="1:28" ht="49.5" hidden="1">
      <c r="A773" s="98">
        <v>763</v>
      </c>
      <c r="B773" s="79" t="s">
        <v>3656</v>
      </c>
      <c r="C773" s="148" t="s">
        <v>8</v>
      </c>
      <c r="D773" s="80" t="s">
        <v>63</v>
      </c>
      <c r="E773" s="27" t="s">
        <v>2613</v>
      </c>
      <c r="F773" s="80" t="s">
        <v>109</v>
      </c>
      <c r="G773" s="81" t="s">
        <v>995</v>
      </c>
      <c r="H773" s="80" t="s">
        <v>2614</v>
      </c>
      <c r="I773" s="83">
        <v>45652</v>
      </c>
      <c r="J773" s="80" t="s">
        <v>145</v>
      </c>
      <c r="K773" s="80" t="s">
        <v>146</v>
      </c>
      <c r="L773" s="84" t="s">
        <v>147</v>
      </c>
      <c r="M773" s="84" t="s">
        <v>148</v>
      </c>
      <c r="N773" s="84" t="s">
        <v>72</v>
      </c>
      <c r="O773" s="28" t="s">
        <v>3657</v>
      </c>
      <c r="P773" s="149" t="s">
        <v>3658</v>
      </c>
      <c r="Q773" s="49" t="s">
        <v>91</v>
      </c>
      <c r="R773" s="25"/>
      <c r="S773" s="26">
        <v>17</v>
      </c>
      <c r="T773" s="26"/>
      <c r="U773" s="28" t="s">
        <v>2502</v>
      </c>
      <c r="V773" s="66"/>
      <c r="W773" s="106"/>
      <c r="X773" s="106" t="s">
        <v>76</v>
      </c>
      <c r="Y773" s="26" t="s">
        <v>76</v>
      </c>
      <c r="Z773" s="75" t="s">
        <v>193</v>
      </c>
      <c r="AA773" s="30" t="s">
        <v>76</v>
      </c>
      <c r="AB773" s="25" t="s">
        <v>75</v>
      </c>
    </row>
    <row r="774" spans="1:28" ht="82.5" hidden="1">
      <c r="A774" s="98">
        <v>764</v>
      </c>
      <c r="B774" s="79" t="s">
        <v>3659</v>
      </c>
      <c r="C774" s="148" t="s">
        <v>399</v>
      </c>
      <c r="D774" s="80" t="s">
        <v>83</v>
      </c>
      <c r="E774" s="27" t="s">
        <v>3660</v>
      </c>
      <c r="F774" s="80" t="s">
        <v>65</v>
      </c>
      <c r="G774" s="81" t="s">
        <v>2208</v>
      </c>
      <c r="H774" s="80" t="s">
        <v>3661</v>
      </c>
      <c r="I774" s="83">
        <v>45652</v>
      </c>
      <c r="J774" s="80" t="s">
        <v>3505</v>
      </c>
      <c r="K774" s="80" t="s">
        <v>69</v>
      </c>
      <c r="L774" s="84" t="s">
        <v>251</v>
      </c>
      <c r="M774" s="84" t="s">
        <v>252</v>
      </c>
      <c r="N774" s="84" t="s">
        <v>72</v>
      </c>
      <c r="O774" s="28" t="s">
        <v>3662</v>
      </c>
      <c r="P774" s="149" t="s">
        <v>3663</v>
      </c>
      <c r="Q774" s="49" t="s">
        <v>75</v>
      </c>
      <c r="R774" s="25" t="s">
        <v>75</v>
      </c>
      <c r="S774" s="26">
        <v>23</v>
      </c>
      <c r="T774" s="26">
        <v>75</v>
      </c>
      <c r="U774" s="28" t="s">
        <v>3664</v>
      </c>
      <c r="V774" s="66" t="s">
        <v>75</v>
      </c>
      <c r="W774" s="106" t="s">
        <v>721</v>
      </c>
      <c r="X774" s="106" t="s">
        <v>516</v>
      </c>
      <c r="Y774" s="106" t="s">
        <v>516</v>
      </c>
      <c r="Z774" s="75" t="s">
        <v>79</v>
      </c>
      <c r="AA774" s="30" t="s">
        <v>76</v>
      </c>
    </row>
    <row r="775" spans="1:28" ht="49.5" hidden="1">
      <c r="A775" s="98">
        <v>765</v>
      </c>
      <c r="B775" s="79" t="s">
        <v>3665</v>
      </c>
      <c r="C775" s="148" t="s">
        <v>8</v>
      </c>
      <c r="D775" s="80" t="s">
        <v>63</v>
      </c>
      <c r="E775" s="27" t="s">
        <v>3666</v>
      </c>
      <c r="F775" s="80" t="s">
        <v>65</v>
      </c>
      <c r="G775" s="81" t="s">
        <v>995</v>
      </c>
      <c r="H775" s="80" t="s">
        <v>3667</v>
      </c>
      <c r="I775" s="83">
        <v>45652</v>
      </c>
      <c r="J775" s="80" t="s">
        <v>170</v>
      </c>
      <c r="K775" s="80" t="s">
        <v>156</v>
      </c>
      <c r="L775" s="84" t="s">
        <v>171</v>
      </c>
      <c r="M775" s="84" t="s">
        <v>71</v>
      </c>
      <c r="N775" s="84" t="s">
        <v>72</v>
      </c>
      <c r="O775" s="28" t="s">
        <v>3668</v>
      </c>
      <c r="P775" s="149" t="s">
        <v>3669</v>
      </c>
      <c r="Q775" s="49" t="s">
        <v>91</v>
      </c>
      <c r="R775" s="25"/>
      <c r="S775" s="26">
        <v>16</v>
      </c>
      <c r="T775" s="26"/>
      <c r="U775" s="28" t="s">
        <v>59</v>
      </c>
      <c r="V775" s="66"/>
      <c r="W775" s="106"/>
      <c r="X775" s="106" t="s">
        <v>76</v>
      </c>
      <c r="Y775" s="26" t="s">
        <v>76</v>
      </c>
      <c r="Z775" s="75" t="s">
        <v>193</v>
      </c>
      <c r="AA775" s="30" t="s">
        <v>76</v>
      </c>
    </row>
    <row r="776" spans="1:28" ht="49.5" hidden="1">
      <c r="A776" s="98">
        <v>766</v>
      </c>
      <c r="B776" s="79" t="s">
        <v>3670</v>
      </c>
      <c r="C776" s="148" t="s">
        <v>8</v>
      </c>
      <c r="D776" s="80" t="s">
        <v>63</v>
      </c>
      <c r="E776" s="27" t="s">
        <v>1618</v>
      </c>
      <c r="F776" s="80" t="s">
        <v>65</v>
      </c>
      <c r="G776" s="81" t="s">
        <v>154</v>
      </c>
      <c r="H776" s="80" t="s">
        <v>1619</v>
      </c>
      <c r="I776" s="83">
        <v>45653</v>
      </c>
      <c r="J776" s="80" t="s">
        <v>145</v>
      </c>
      <c r="K776" s="80" t="s">
        <v>146</v>
      </c>
      <c r="L776" s="84" t="s">
        <v>147</v>
      </c>
      <c r="M776" s="84" t="s">
        <v>148</v>
      </c>
      <c r="N776" s="84" t="s">
        <v>72</v>
      </c>
      <c r="O776" s="28" t="s">
        <v>3671</v>
      </c>
      <c r="P776" s="149" t="s">
        <v>3672</v>
      </c>
      <c r="Q776" s="49" t="s">
        <v>75</v>
      </c>
      <c r="R776" s="25" t="s">
        <v>91</v>
      </c>
      <c r="S776" s="26">
        <v>18</v>
      </c>
      <c r="T776" s="26">
        <v>60</v>
      </c>
      <c r="U776" s="28" t="s">
        <v>3673</v>
      </c>
      <c r="V776" s="66"/>
      <c r="W776" s="106"/>
      <c r="X776" s="106" t="s">
        <v>516</v>
      </c>
      <c r="Y776" s="26" t="s">
        <v>76</v>
      </c>
      <c r="Z776" s="75" t="s">
        <v>93</v>
      </c>
      <c r="AA776" s="30" t="s">
        <v>76</v>
      </c>
    </row>
    <row r="777" spans="1:28" ht="49.5" hidden="1">
      <c r="A777" s="98">
        <v>767</v>
      </c>
      <c r="B777" s="79" t="s">
        <v>3674</v>
      </c>
      <c r="C777" s="148" t="s">
        <v>10</v>
      </c>
      <c r="D777" s="80" t="s">
        <v>63</v>
      </c>
      <c r="E777" s="27" t="s">
        <v>3675</v>
      </c>
      <c r="F777" s="80" t="s">
        <v>338</v>
      </c>
      <c r="G777" s="81" t="s">
        <v>3676</v>
      </c>
      <c r="H777" s="80" t="s">
        <v>3677</v>
      </c>
      <c r="I777" s="83">
        <v>45653</v>
      </c>
      <c r="J777" s="80" t="s">
        <v>3565</v>
      </c>
      <c r="K777" s="80" t="s">
        <v>299</v>
      </c>
      <c r="L777" s="84" t="s">
        <v>189</v>
      </c>
      <c r="M777" s="84" t="s">
        <v>601</v>
      </c>
      <c r="N777" s="84" t="s">
        <v>72</v>
      </c>
      <c r="O777" s="307" t="s">
        <v>3678</v>
      </c>
      <c r="P777" s="149" t="s">
        <v>3679</v>
      </c>
      <c r="Q777" s="49" t="s">
        <v>91</v>
      </c>
      <c r="R777" s="25"/>
      <c r="S777" s="26">
        <v>11</v>
      </c>
      <c r="T777" s="26"/>
      <c r="U777" s="28" t="s">
        <v>3680</v>
      </c>
      <c r="V777" s="66"/>
      <c r="W777" s="106"/>
      <c r="X777" s="106" t="s">
        <v>76</v>
      </c>
      <c r="Y777" s="26" t="s">
        <v>76</v>
      </c>
      <c r="Z777" s="75" t="s">
        <v>193</v>
      </c>
      <c r="AA777" s="30" t="s">
        <v>76</v>
      </c>
    </row>
    <row r="778" spans="1:28" ht="49.5" hidden="1">
      <c r="A778" s="98">
        <v>768</v>
      </c>
      <c r="B778" s="79" t="s">
        <v>3681</v>
      </c>
      <c r="C778" s="148" t="s">
        <v>8</v>
      </c>
      <c r="D778" s="80" t="s">
        <v>63</v>
      </c>
      <c r="E778" s="27" t="s">
        <v>3682</v>
      </c>
      <c r="F778" s="80" t="s">
        <v>65</v>
      </c>
      <c r="G778" s="81" t="s">
        <v>1701</v>
      </c>
      <c r="H778" s="80" t="s">
        <v>3683</v>
      </c>
      <c r="I778" s="83">
        <v>45653</v>
      </c>
      <c r="J778" s="80" t="s">
        <v>3543</v>
      </c>
      <c r="K778" s="80" t="s">
        <v>112</v>
      </c>
      <c r="L778" s="84" t="s">
        <v>122</v>
      </c>
      <c r="M778" s="84" t="s">
        <v>114</v>
      </c>
      <c r="N778" s="84" t="s">
        <v>72</v>
      </c>
      <c r="O778" s="28" t="s">
        <v>3684</v>
      </c>
      <c r="P778" s="149" t="s">
        <v>3685</v>
      </c>
      <c r="Q778" s="49" t="s">
        <v>91</v>
      </c>
      <c r="R778" s="25"/>
      <c r="S778" s="26">
        <v>16</v>
      </c>
      <c r="T778" s="26"/>
      <c r="U778" s="28" t="s">
        <v>3686</v>
      </c>
      <c r="V778" s="66"/>
      <c r="W778" s="106"/>
      <c r="X778" s="106" t="s">
        <v>76</v>
      </c>
      <c r="Y778" s="26" t="s">
        <v>76</v>
      </c>
      <c r="Z778" s="75" t="s">
        <v>193</v>
      </c>
      <c r="AA778" s="30" t="s">
        <v>76</v>
      </c>
      <c r="AB778" s="25" t="s">
        <v>75</v>
      </c>
    </row>
    <row r="779" spans="1:28" ht="148.5" hidden="1">
      <c r="A779" s="98">
        <v>769</v>
      </c>
      <c r="B779" s="79" t="s">
        <v>3687</v>
      </c>
      <c r="C779" s="148" t="s">
        <v>8</v>
      </c>
      <c r="D779" s="80" t="s">
        <v>63</v>
      </c>
      <c r="E779" s="27" t="s">
        <v>3166</v>
      </c>
      <c r="F779" s="80" t="s">
        <v>65</v>
      </c>
      <c r="G779" s="81" t="s">
        <v>1701</v>
      </c>
      <c r="H779" s="80" t="s">
        <v>3167</v>
      </c>
      <c r="I779" s="83">
        <v>45653</v>
      </c>
      <c r="J779" s="80" t="s">
        <v>3505</v>
      </c>
      <c r="K779" s="80" t="s">
        <v>491</v>
      </c>
      <c r="L779" s="84" t="s">
        <v>100</v>
      </c>
      <c r="M779" s="84" t="s">
        <v>252</v>
      </c>
      <c r="N779" s="84" t="s">
        <v>72</v>
      </c>
      <c r="O779" s="28" t="s">
        <v>3688</v>
      </c>
      <c r="P779" s="149" t="s">
        <v>3689</v>
      </c>
      <c r="Q779" s="49" t="s">
        <v>75</v>
      </c>
      <c r="R779" s="25" t="s">
        <v>91</v>
      </c>
      <c r="S779" s="26">
        <v>18</v>
      </c>
      <c r="U779" s="28" t="s">
        <v>3690</v>
      </c>
      <c r="V779" s="66"/>
      <c r="W779" s="106"/>
      <c r="X779" s="106" t="s">
        <v>516</v>
      </c>
      <c r="Y779" s="26" t="s">
        <v>76</v>
      </c>
      <c r="Z779" s="75" t="s">
        <v>93</v>
      </c>
      <c r="AA779" s="30" t="s">
        <v>76</v>
      </c>
    </row>
    <row r="780" spans="1:28" ht="49.5" hidden="1">
      <c r="A780" s="98">
        <v>770</v>
      </c>
      <c r="B780" s="79" t="s">
        <v>3691</v>
      </c>
      <c r="C780" s="148" t="s">
        <v>8</v>
      </c>
      <c r="D780" s="80" t="s">
        <v>63</v>
      </c>
      <c r="E780" s="27" t="s">
        <v>3682</v>
      </c>
      <c r="F780" s="80" t="s">
        <v>65</v>
      </c>
      <c r="G780" s="81" t="s">
        <v>1701</v>
      </c>
      <c r="H780" s="80" t="s">
        <v>3683</v>
      </c>
      <c r="I780" s="83">
        <v>45653</v>
      </c>
      <c r="J780" s="80" t="s">
        <v>3517</v>
      </c>
      <c r="K780" s="80" t="s">
        <v>299</v>
      </c>
      <c r="L780" s="84" t="s">
        <v>189</v>
      </c>
      <c r="M780" s="84" t="s">
        <v>101</v>
      </c>
      <c r="N780" s="84" t="s">
        <v>72</v>
      </c>
      <c r="O780" s="28" t="s">
        <v>3692</v>
      </c>
      <c r="P780" s="149" t="s">
        <v>3693</v>
      </c>
      <c r="Q780" s="49" t="s">
        <v>75</v>
      </c>
      <c r="R780" s="25" t="s">
        <v>91</v>
      </c>
      <c r="S780" s="26">
        <v>20</v>
      </c>
      <c r="T780" s="26">
        <v>60</v>
      </c>
      <c r="U780" s="28" t="s">
        <v>3694</v>
      </c>
      <c r="V780" s="66"/>
      <c r="W780" s="106"/>
      <c r="X780" s="106" t="s">
        <v>516</v>
      </c>
      <c r="Y780" s="26" t="s">
        <v>76</v>
      </c>
      <c r="Z780" s="93" t="s">
        <v>93</v>
      </c>
      <c r="AA780" s="30" t="s">
        <v>76</v>
      </c>
    </row>
    <row r="781" spans="1:28" ht="99" hidden="1">
      <c r="A781" s="98">
        <v>771</v>
      </c>
      <c r="B781" s="79" t="s">
        <v>3695</v>
      </c>
      <c r="C781" s="148" t="s">
        <v>8</v>
      </c>
      <c r="D781" s="80" t="s">
        <v>63</v>
      </c>
      <c r="E781" s="27" t="s">
        <v>3395</v>
      </c>
      <c r="F781" s="80" t="s">
        <v>109</v>
      </c>
      <c r="G781" s="81" t="s">
        <v>154</v>
      </c>
      <c r="H781" s="80" t="s">
        <v>3396</v>
      </c>
      <c r="I781" s="83">
        <v>45653</v>
      </c>
      <c r="J781" s="80" t="s">
        <v>3505</v>
      </c>
      <c r="K781" s="80" t="s">
        <v>69</v>
      </c>
      <c r="L781" s="84" t="s">
        <v>251</v>
      </c>
      <c r="M781" s="84" t="s">
        <v>595</v>
      </c>
      <c r="N781" s="84" t="s">
        <v>72</v>
      </c>
      <c r="O781" s="28" t="s">
        <v>3696</v>
      </c>
      <c r="P781" s="149" t="s">
        <v>3697</v>
      </c>
      <c r="Q781" s="49" t="s">
        <v>75</v>
      </c>
      <c r="R781" s="25" t="s">
        <v>91</v>
      </c>
      <c r="S781" s="26">
        <v>25</v>
      </c>
      <c r="T781" s="26" t="s">
        <v>313</v>
      </c>
      <c r="U781" s="28" t="s">
        <v>3698</v>
      </c>
      <c r="V781" s="66"/>
      <c r="W781" s="106"/>
      <c r="X781" s="106" t="s">
        <v>516</v>
      </c>
      <c r="Y781" s="26" t="s">
        <v>76</v>
      </c>
      <c r="Z781" s="75" t="s">
        <v>93</v>
      </c>
      <c r="AA781" s="30" t="s">
        <v>76</v>
      </c>
    </row>
    <row r="782" spans="1:28" ht="180.75" hidden="1">
      <c r="A782" s="98">
        <v>772</v>
      </c>
      <c r="B782" s="79" t="s">
        <v>3699</v>
      </c>
      <c r="C782" s="148" t="s">
        <v>8</v>
      </c>
      <c r="D782" s="80" t="s">
        <v>63</v>
      </c>
      <c r="E782" s="27" t="s">
        <v>3395</v>
      </c>
      <c r="F782" s="80" t="s">
        <v>109</v>
      </c>
      <c r="G782" s="81" t="s">
        <v>154</v>
      </c>
      <c r="H782" s="80" t="s">
        <v>3396</v>
      </c>
      <c r="I782" s="83">
        <v>45653</v>
      </c>
      <c r="J782" s="80" t="s">
        <v>3565</v>
      </c>
      <c r="K782" s="80" t="s">
        <v>299</v>
      </c>
      <c r="L782" s="84" t="s">
        <v>189</v>
      </c>
      <c r="M782" s="84" t="s">
        <v>595</v>
      </c>
      <c r="N782" s="84" t="s">
        <v>72</v>
      </c>
      <c r="O782" s="28" t="s">
        <v>3700</v>
      </c>
      <c r="P782" s="149" t="s">
        <v>3701</v>
      </c>
      <c r="Q782" s="49" t="s">
        <v>75</v>
      </c>
      <c r="R782" s="25" t="s">
        <v>91</v>
      </c>
      <c r="S782" s="26">
        <v>18</v>
      </c>
      <c r="T782" s="26">
        <v>55</v>
      </c>
      <c r="U782" s="28" t="s">
        <v>3702</v>
      </c>
      <c r="V782" s="66"/>
      <c r="W782" s="106"/>
      <c r="X782" s="106" t="s">
        <v>516</v>
      </c>
      <c r="Y782" s="26" t="s">
        <v>76</v>
      </c>
      <c r="Z782" s="93" t="s">
        <v>93</v>
      </c>
      <c r="AA782" s="30" t="s">
        <v>76</v>
      </c>
    </row>
    <row r="783" spans="1:28" ht="82.5" hidden="1">
      <c r="A783" s="98">
        <v>774</v>
      </c>
      <c r="B783" s="79" t="s">
        <v>3703</v>
      </c>
      <c r="C783" s="148" t="s">
        <v>8</v>
      </c>
      <c r="D783" s="80" t="s">
        <v>63</v>
      </c>
      <c r="E783" s="27" t="s">
        <v>3704</v>
      </c>
      <c r="F783" s="80" t="s">
        <v>109</v>
      </c>
      <c r="G783" s="81" t="s">
        <v>154</v>
      </c>
      <c r="H783" s="80" t="s">
        <v>845</v>
      </c>
      <c r="I783" s="83">
        <v>45659</v>
      </c>
      <c r="J783" s="80" t="s">
        <v>3505</v>
      </c>
      <c r="K783" s="80" t="s">
        <v>69</v>
      </c>
      <c r="L783" s="84" t="s">
        <v>100</v>
      </c>
      <c r="M783" s="84" t="s">
        <v>595</v>
      </c>
      <c r="N783" s="84" t="s">
        <v>72</v>
      </c>
      <c r="O783" s="28" t="s">
        <v>3705</v>
      </c>
      <c r="P783" s="149" t="s">
        <v>3706</v>
      </c>
      <c r="Q783" s="49" t="s">
        <v>91</v>
      </c>
      <c r="R783" s="25"/>
      <c r="S783" s="26">
        <v>14</v>
      </c>
      <c r="T783" s="26"/>
      <c r="U783" s="28" t="s">
        <v>3707</v>
      </c>
      <c r="V783" s="66"/>
      <c r="W783" s="106"/>
      <c r="X783" s="106" t="s">
        <v>76</v>
      </c>
      <c r="Y783" s="26" t="s">
        <v>76</v>
      </c>
      <c r="Z783" s="75" t="s">
        <v>193</v>
      </c>
      <c r="AA783" s="30" t="s">
        <v>76</v>
      </c>
    </row>
    <row r="784" spans="1:28" ht="148.5" hidden="1">
      <c r="A784" s="98">
        <v>775</v>
      </c>
      <c r="B784" s="79" t="s">
        <v>3708</v>
      </c>
      <c r="C784" s="148" t="s">
        <v>8</v>
      </c>
      <c r="D784" s="80" t="s">
        <v>63</v>
      </c>
      <c r="E784" s="27" t="s">
        <v>3704</v>
      </c>
      <c r="F784" s="80" t="s">
        <v>109</v>
      </c>
      <c r="G784" s="81" t="s">
        <v>154</v>
      </c>
      <c r="H784" s="80" t="s">
        <v>845</v>
      </c>
      <c r="I784" s="83">
        <v>45659</v>
      </c>
      <c r="J784" s="80" t="s">
        <v>3505</v>
      </c>
      <c r="K784" s="80" t="s">
        <v>69</v>
      </c>
      <c r="L784" s="84" t="s">
        <v>100</v>
      </c>
      <c r="M784" s="84" t="s">
        <v>595</v>
      </c>
      <c r="N784" s="84" t="s">
        <v>72</v>
      </c>
      <c r="O784" s="28" t="s">
        <v>3709</v>
      </c>
      <c r="P784" s="149" t="s">
        <v>3710</v>
      </c>
      <c r="Q784" s="49" t="s">
        <v>91</v>
      </c>
      <c r="R784" s="25"/>
      <c r="S784" s="55" t="s">
        <v>3711</v>
      </c>
      <c r="T784" s="26"/>
      <c r="U784" s="28" t="s">
        <v>3712</v>
      </c>
      <c r="V784" s="66"/>
      <c r="W784" s="106"/>
      <c r="X784" s="106" t="s">
        <v>76</v>
      </c>
      <c r="Y784" s="26" t="s">
        <v>76</v>
      </c>
      <c r="Z784" s="75" t="s">
        <v>193</v>
      </c>
      <c r="AA784" s="30" t="s">
        <v>76</v>
      </c>
      <c r="AB784" s="25" t="s">
        <v>75</v>
      </c>
    </row>
    <row r="785" spans="1:28" ht="99" hidden="1">
      <c r="A785" s="98">
        <v>776</v>
      </c>
      <c r="B785" s="79" t="s">
        <v>3713</v>
      </c>
      <c r="C785" s="148" t="s">
        <v>8</v>
      </c>
      <c r="D785" s="80" t="s">
        <v>63</v>
      </c>
      <c r="E785" s="27" t="s">
        <v>3216</v>
      </c>
      <c r="F785" s="80" t="s">
        <v>65</v>
      </c>
      <c r="G785" s="81" t="s">
        <v>1132</v>
      </c>
      <c r="H785" s="80" t="s">
        <v>3217</v>
      </c>
      <c r="I785" s="83">
        <v>45659</v>
      </c>
      <c r="J785" s="80" t="s">
        <v>3505</v>
      </c>
      <c r="K785" s="80" t="s">
        <v>69</v>
      </c>
      <c r="L785" s="84" t="s">
        <v>251</v>
      </c>
      <c r="M785" s="84" t="s">
        <v>252</v>
      </c>
      <c r="N785" s="84" t="s">
        <v>253</v>
      </c>
      <c r="O785" s="28" t="s">
        <v>3714</v>
      </c>
      <c r="P785" s="149" t="s">
        <v>3715</v>
      </c>
      <c r="Q785" s="49" t="s">
        <v>91</v>
      </c>
      <c r="R785" s="25"/>
      <c r="S785" s="55" t="s">
        <v>3716</v>
      </c>
      <c r="T785" s="26"/>
      <c r="U785" s="28" t="s">
        <v>3717</v>
      </c>
      <c r="V785" s="66"/>
      <c r="W785" s="106"/>
      <c r="X785" s="106" t="s">
        <v>76</v>
      </c>
      <c r="Y785" s="26" t="s">
        <v>76</v>
      </c>
      <c r="Z785" s="75" t="s">
        <v>193</v>
      </c>
      <c r="AA785" s="30" t="s">
        <v>76</v>
      </c>
      <c r="AB785" s="25" t="s">
        <v>75</v>
      </c>
    </row>
    <row r="786" spans="1:28" ht="49.5" hidden="1">
      <c r="A786" s="98">
        <v>777</v>
      </c>
      <c r="B786" s="79" t="s">
        <v>3718</v>
      </c>
      <c r="C786" s="148" t="s">
        <v>8</v>
      </c>
      <c r="D786" s="80" t="s">
        <v>63</v>
      </c>
      <c r="E786" s="27">
        <v>2100238</v>
      </c>
      <c r="F786" s="80" t="s">
        <v>3719</v>
      </c>
      <c r="G786" s="81" t="s">
        <v>440</v>
      </c>
      <c r="H786" s="80" t="s">
        <v>3720</v>
      </c>
      <c r="I786" s="83">
        <v>45660</v>
      </c>
      <c r="J786" s="80" t="s">
        <v>3505</v>
      </c>
      <c r="K786" s="80" t="s">
        <v>69</v>
      </c>
      <c r="L786" s="84" t="s">
        <v>251</v>
      </c>
      <c r="M786" s="84" t="s">
        <v>252</v>
      </c>
      <c r="N786" s="84" t="s">
        <v>72</v>
      </c>
      <c r="O786" s="28" t="s">
        <v>3721</v>
      </c>
      <c r="P786" s="149" t="s">
        <v>3722</v>
      </c>
      <c r="Q786" s="49" t="s">
        <v>75</v>
      </c>
      <c r="R786" s="25" t="s">
        <v>91</v>
      </c>
      <c r="S786" s="26">
        <v>21</v>
      </c>
      <c r="T786" s="26">
        <v>59</v>
      </c>
      <c r="U786" s="28" t="s">
        <v>3723</v>
      </c>
      <c r="V786" s="66"/>
      <c r="W786" s="106"/>
      <c r="X786" s="106" t="s">
        <v>516</v>
      </c>
      <c r="Y786" s="26" t="s">
        <v>76</v>
      </c>
      <c r="Z786" s="75" t="s">
        <v>93</v>
      </c>
      <c r="AA786" s="30" t="s">
        <v>3724</v>
      </c>
    </row>
    <row r="787" spans="1:28" ht="99.75" hidden="1" customHeight="1">
      <c r="A787" s="98">
        <v>778</v>
      </c>
      <c r="B787" s="79" t="s">
        <v>3725</v>
      </c>
      <c r="C787" s="148" t="s">
        <v>8</v>
      </c>
      <c r="D787" s="80" t="s">
        <v>63</v>
      </c>
      <c r="E787" s="27">
        <v>2100238</v>
      </c>
      <c r="F787" s="81" t="s">
        <v>3719</v>
      </c>
      <c r="G787" s="81" t="s">
        <v>440</v>
      </c>
      <c r="H787" s="80" t="s">
        <v>3720</v>
      </c>
      <c r="I787" s="83">
        <v>45660</v>
      </c>
      <c r="J787" s="80" t="s">
        <v>3505</v>
      </c>
      <c r="K787" s="80" t="s">
        <v>69</v>
      </c>
      <c r="L787" s="84" t="s">
        <v>251</v>
      </c>
      <c r="M787" s="84" t="s">
        <v>252</v>
      </c>
      <c r="N787" s="84" t="s">
        <v>72</v>
      </c>
      <c r="O787" s="28" t="s">
        <v>3726</v>
      </c>
      <c r="P787" s="149" t="s">
        <v>3727</v>
      </c>
      <c r="Q787" s="49" t="s">
        <v>75</v>
      </c>
      <c r="R787" s="25" t="s">
        <v>91</v>
      </c>
      <c r="S787" s="26">
        <v>22</v>
      </c>
      <c r="T787" s="26">
        <v>64</v>
      </c>
      <c r="U787" s="28" t="s">
        <v>3728</v>
      </c>
      <c r="V787" s="66"/>
      <c r="W787" s="106"/>
      <c r="X787" s="106" t="s">
        <v>516</v>
      </c>
      <c r="Y787" s="26" t="s">
        <v>76</v>
      </c>
      <c r="Z787" s="75" t="s">
        <v>93</v>
      </c>
      <c r="AA787" s="30" t="s">
        <v>3724</v>
      </c>
    </row>
    <row r="788" spans="1:28" ht="115.5" hidden="1">
      <c r="A788" s="98">
        <v>779</v>
      </c>
      <c r="B788" s="79" t="s">
        <v>3729</v>
      </c>
      <c r="C788" s="148" t="s">
        <v>8</v>
      </c>
      <c r="D788" s="80" t="s">
        <v>63</v>
      </c>
      <c r="E788" s="27" t="s">
        <v>3730</v>
      </c>
      <c r="F788" s="80" t="s">
        <v>65</v>
      </c>
      <c r="G788" s="81" t="s">
        <v>1406</v>
      </c>
      <c r="H788" s="80" t="s">
        <v>3731</v>
      </c>
      <c r="I788" s="83">
        <v>45660</v>
      </c>
      <c r="J788" s="80" t="s">
        <v>3517</v>
      </c>
      <c r="K788" s="80" t="s">
        <v>299</v>
      </c>
      <c r="L788" s="84" t="s">
        <v>300</v>
      </c>
      <c r="M788" s="84" t="s">
        <v>784</v>
      </c>
      <c r="N788" s="84" t="s">
        <v>72</v>
      </c>
      <c r="O788" s="28" t="s">
        <v>3732</v>
      </c>
      <c r="P788" s="149" t="s">
        <v>3733</v>
      </c>
      <c r="Q788" s="49" t="s">
        <v>75</v>
      </c>
      <c r="R788" s="25" t="s">
        <v>91</v>
      </c>
      <c r="S788" s="26">
        <v>20</v>
      </c>
      <c r="T788" s="26">
        <v>71</v>
      </c>
      <c r="U788" s="28" t="s">
        <v>3734</v>
      </c>
      <c r="V788" s="66"/>
      <c r="W788" s="106"/>
      <c r="X788" s="106" t="s">
        <v>516</v>
      </c>
      <c r="Y788" s="26" t="s">
        <v>76</v>
      </c>
      <c r="Z788" s="93" t="s">
        <v>106</v>
      </c>
      <c r="AA788" s="30" t="s">
        <v>76</v>
      </c>
    </row>
    <row r="789" spans="1:28" ht="49.5" hidden="1">
      <c r="A789" s="98">
        <v>780</v>
      </c>
      <c r="B789" s="79" t="s">
        <v>3735</v>
      </c>
      <c r="C789" s="148" t="s">
        <v>8</v>
      </c>
      <c r="D789" s="80" t="s">
        <v>63</v>
      </c>
      <c r="E789" s="27" t="s">
        <v>3736</v>
      </c>
      <c r="F789" s="80" t="s">
        <v>109</v>
      </c>
      <c r="G789" s="81" t="s">
        <v>995</v>
      </c>
      <c r="H789" s="80" t="s">
        <v>996</v>
      </c>
      <c r="I789" s="83">
        <v>45661</v>
      </c>
      <c r="J789" s="80" t="s">
        <v>3505</v>
      </c>
      <c r="K789" s="80" t="s">
        <v>69</v>
      </c>
      <c r="L789" s="84" t="s">
        <v>100</v>
      </c>
      <c r="M789" s="84" t="s">
        <v>595</v>
      </c>
      <c r="N789" s="84" t="s">
        <v>72</v>
      </c>
      <c r="O789" s="28" t="s">
        <v>3737</v>
      </c>
      <c r="P789" s="149" t="s">
        <v>3738</v>
      </c>
      <c r="Q789" s="49" t="s">
        <v>75</v>
      </c>
      <c r="R789" s="25" t="s">
        <v>91</v>
      </c>
      <c r="S789" s="26">
        <v>19</v>
      </c>
      <c r="T789" s="26">
        <v>61</v>
      </c>
      <c r="U789" s="28" t="s">
        <v>3739</v>
      </c>
      <c r="V789" s="66"/>
      <c r="W789" s="106"/>
      <c r="X789" s="106" t="s">
        <v>516</v>
      </c>
      <c r="Y789" s="26" t="s">
        <v>76</v>
      </c>
      <c r="Z789" s="75" t="s">
        <v>93</v>
      </c>
      <c r="AA789" s="30" t="s">
        <v>76</v>
      </c>
    </row>
    <row r="790" spans="1:28" ht="33" hidden="1">
      <c r="A790" s="98">
        <v>781</v>
      </c>
      <c r="B790" s="79" t="s">
        <v>3740</v>
      </c>
      <c r="C790" s="148" t="s">
        <v>8</v>
      </c>
      <c r="D790" s="80" t="s">
        <v>63</v>
      </c>
      <c r="E790" s="27" t="s">
        <v>3741</v>
      </c>
      <c r="F790" s="80" t="s">
        <v>284</v>
      </c>
      <c r="G790" s="81" t="s">
        <v>2762</v>
      </c>
      <c r="H790" s="80" t="s">
        <v>3635</v>
      </c>
      <c r="I790" s="83">
        <v>45661</v>
      </c>
      <c r="J790" s="80" t="s">
        <v>3565</v>
      </c>
      <c r="K790" s="80" t="s">
        <v>299</v>
      </c>
      <c r="L790" s="84" t="s">
        <v>189</v>
      </c>
      <c r="M790" s="84" t="s">
        <v>252</v>
      </c>
      <c r="N790" s="84" t="s">
        <v>72</v>
      </c>
      <c r="O790" s="28" t="s">
        <v>3742</v>
      </c>
      <c r="P790" s="149" t="s">
        <v>3743</v>
      </c>
      <c r="Q790" s="49" t="s">
        <v>75</v>
      </c>
      <c r="R790" s="25" t="s">
        <v>91</v>
      </c>
      <c r="S790" s="26">
        <v>18</v>
      </c>
      <c r="T790" s="26">
        <v>61</v>
      </c>
      <c r="U790" s="28" t="s">
        <v>3744</v>
      </c>
      <c r="V790" s="66"/>
      <c r="W790" s="106"/>
      <c r="X790" s="106" t="s">
        <v>516</v>
      </c>
      <c r="Y790" s="26" t="s">
        <v>76</v>
      </c>
      <c r="Z790" s="93" t="s">
        <v>93</v>
      </c>
      <c r="AA790" s="30" t="s">
        <v>76</v>
      </c>
    </row>
    <row r="791" spans="1:28" ht="49.5" hidden="1">
      <c r="A791" s="98">
        <v>782</v>
      </c>
      <c r="B791" s="79" t="s">
        <v>3745</v>
      </c>
      <c r="C791" s="148" t="s">
        <v>8</v>
      </c>
      <c r="D791" s="80" t="s">
        <v>63</v>
      </c>
      <c r="E791" s="27" t="s">
        <v>3746</v>
      </c>
      <c r="F791" s="80" t="s">
        <v>120</v>
      </c>
      <c r="G791" s="81" t="s">
        <v>757</v>
      </c>
      <c r="H791" s="80" t="s">
        <v>2390</v>
      </c>
      <c r="I791" s="83">
        <v>45661</v>
      </c>
      <c r="J791" s="80" t="s">
        <v>3543</v>
      </c>
      <c r="K791" s="80" t="s">
        <v>112</v>
      </c>
      <c r="L791" s="84" t="s">
        <v>122</v>
      </c>
      <c r="M791" s="84" t="s">
        <v>114</v>
      </c>
      <c r="N791" s="84" t="s">
        <v>72</v>
      </c>
      <c r="O791" s="28" t="s">
        <v>3747</v>
      </c>
      <c r="P791" s="149" t="s">
        <v>3748</v>
      </c>
      <c r="Q791" s="49" t="s">
        <v>91</v>
      </c>
      <c r="R791" s="25"/>
      <c r="S791" s="26">
        <v>17</v>
      </c>
      <c r="T791" s="26"/>
      <c r="U791" s="28" t="s">
        <v>3749</v>
      </c>
      <c r="V791" s="66"/>
      <c r="W791" s="106"/>
      <c r="X791" s="106" t="s">
        <v>76</v>
      </c>
      <c r="Y791" s="26" t="s">
        <v>76</v>
      </c>
      <c r="Z791" s="75" t="s">
        <v>193</v>
      </c>
      <c r="AA791" s="30" t="s">
        <v>76</v>
      </c>
    </row>
    <row r="792" spans="1:28" ht="66" hidden="1">
      <c r="A792" s="98">
        <v>783</v>
      </c>
      <c r="B792" s="79" t="s">
        <v>3750</v>
      </c>
      <c r="C792" s="148" t="s">
        <v>10</v>
      </c>
      <c r="D792" s="80" t="s">
        <v>63</v>
      </c>
      <c r="E792" s="27" t="s">
        <v>3197</v>
      </c>
      <c r="F792" s="80" t="s">
        <v>120</v>
      </c>
      <c r="G792" s="81" t="s">
        <v>3198</v>
      </c>
      <c r="H792" s="80" t="s">
        <v>3199</v>
      </c>
      <c r="I792" s="83">
        <v>45663</v>
      </c>
      <c r="J792" s="80" t="s">
        <v>3505</v>
      </c>
      <c r="K792" s="80" t="s">
        <v>69</v>
      </c>
      <c r="L792" s="84" t="s">
        <v>251</v>
      </c>
      <c r="M792" s="84" t="s">
        <v>595</v>
      </c>
      <c r="N792" s="84" t="s">
        <v>72</v>
      </c>
      <c r="O792" s="307" t="s">
        <v>3751</v>
      </c>
      <c r="P792" s="149" t="s">
        <v>3752</v>
      </c>
      <c r="Q792" s="49" t="s">
        <v>75</v>
      </c>
      <c r="R792" s="25" t="s">
        <v>91</v>
      </c>
      <c r="S792" s="26">
        <v>19</v>
      </c>
      <c r="T792" s="26" t="s">
        <v>313</v>
      </c>
      <c r="U792" s="28" t="s">
        <v>3753</v>
      </c>
      <c r="V792" s="66"/>
      <c r="W792" s="106"/>
      <c r="X792" s="106" t="s">
        <v>516</v>
      </c>
      <c r="Y792" s="26" t="s">
        <v>76</v>
      </c>
      <c r="Z792" s="75" t="s">
        <v>106</v>
      </c>
      <c r="AA792" s="30" t="s">
        <v>76</v>
      </c>
    </row>
    <row r="793" spans="1:28" ht="49.5" hidden="1">
      <c r="A793" s="98">
        <v>773</v>
      </c>
      <c r="B793" s="79" t="s">
        <v>3754</v>
      </c>
      <c r="C793" s="148" t="s">
        <v>8</v>
      </c>
      <c r="D793" s="80" t="s">
        <v>63</v>
      </c>
      <c r="E793" s="27" t="s">
        <v>3704</v>
      </c>
      <c r="F793" s="80" t="s">
        <v>109</v>
      </c>
      <c r="G793" s="81" t="s">
        <v>154</v>
      </c>
      <c r="H793" s="80" t="s">
        <v>845</v>
      </c>
      <c r="I793" s="83">
        <v>45659</v>
      </c>
      <c r="J793" s="80" t="s">
        <v>170</v>
      </c>
      <c r="K793" s="80" t="s">
        <v>156</v>
      </c>
      <c r="L793" s="84" t="s">
        <v>171</v>
      </c>
      <c r="M793" s="84" t="s">
        <v>71</v>
      </c>
      <c r="N793" s="84" t="s">
        <v>72</v>
      </c>
      <c r="O793" s="28" t="s">
        <v>3755</v>
      </c>
      <c r="P793" s="149" t="s">
        <v>3756</v>
      </c>
      <c r="Q793" s="49" t="s">
        <v>75</v>
      </c>
      <c r="R793" s="25" t="s">
        <v>91</v>
      </c>
      <c r="S793" s="26">
        <v>23</v>
      </c>
      <c r="T793" s="26">
        <v>69</v>
      </c>
      <c r="U793" s="28"/>
      <c r="V793" s="66"/>
      <c r="W793" s="106"/>
      <c r="X793" s="106" t="s">
        <v>516</v>
      </c>
      <c r="Y793" s="26" t="s">
        <v>76</v>
      </c>
      <c r="Z793" s="75" t="s">
        <v>93</v>
      </c>
      <c r="AA793" s="30" t="s">
        <v>76</v>
      </c>
    </row>
    <row r="794" spans="1:28" ht="49.5" hidden="1">
      <c r="A794" s="98">
        <v>784</v>
      </c>
      <c r="B794" s="79" t="s">
        <v>3757</v>
      </c>
      <c r="C794" s="148" t="s">
        <v>8</v>
      </c>
      <c r="D794" s="80" t="s">
        <v>63</v>
      </c>
      <c r="E794" s="27" t="s">
        <v>3023</v>
      </c>
      <c r="F794" s="80" t="s">
        <v>120</v>
      </c>
      <c r="G794" s="81" t="s">
        <v>818</v>
      </c>
      <c r="H794" s="80" t="s">
        <v>3024</v>
      </c>
      <c r="I794" s="83">
        <v>45663</v>
      </c>
      <c r="J794" s="80" t="s">
        <v>1179</v>
      </c>
      <c r="K794" s="80" t="s">
        <v>156</v>
      </c>
      <c r="L794" s="84" t="s">
        <v>189</v>
      </c>
      <c r="M794" s="84" t="s">
        <v>71</v>
      </c>
      <c r="N794" s="84" t="s">
        <v>72</v>
      </c>
      <c r="O794" s="28" t="s">
        <v>3758</v>
      </c>
      <c r="P794" s="149" t="s">
        <v>3759</v>
      </c>
      <c r="Q794" s="49" t="s">
        <v>75</v>
      </c>
      <c r="R794" s="25" t="s">
        <v>91</v>
      </c>
      <c r="S794" s="26">
        <v>18</v>
      </c>
      <c r="T794" s="26">
        <v>66</v>
      </c>
      <c r="U794" s="28"/>
      <c r="V794" s="66"/>
      <c r="W794" s="106"/>
      <c r="X794" s="106" t="s">
        <v>516</v>
      </c>
      <c r="Y794" s="26" t="s">
        <v>76</v>
      </c>
      <c r="Z794" s="75" t="s">
        <v>93</v>
      </c>
      <c r="AA794" s="30" t="s">
        <v>76</v>
      </c>
    </row>
    <row r="795" spans="1:28" ht="33" hidden="1">
      <c r="A795" s="98">
        <v>785</v>
      </c>
      <c r="B795" s="79" t="s">
        <v>3760</v>
      </c>
      <c r="C795" s="148" t="s">
        <v>8</v>
      </c>
      <c r="D795" s="80" t="s">
        <v>63</v>
      </c>
      <c r="E795" s="27" t="s">
        <v>3761</v>
      </c>
      <c r="F795" s="80" t="s">
        <v>338</v>
      </c>
      <c r="G795" s="81" t="s">
        <v>277</v>
      </c>
      <c r="H795" s="80" t="s">
        <v>3762</v>
      </c>
      <c r="I795" s="83">
        <v>45664</v>
      </c>
      <c r="J795" s="80" t="s">
        <v>170</v>
      </c>
      <c r="K795" s="80" t="s">
        <v>156</v>
      </c>
      <c r="L795" s="84" t="s">
        <v>171</v>
      </c>
      <c r="M795" s="84" t="s">
        <v>71</v>
      </c>
      <c r="N795" s="84" t="s">
        <v>72</v>
      </c>
      <c r="O795" s="28" t="s">
        <v>3763</v>
      </c>
      <c r="P795" s="149" t="s">
        <v>3764</v>
      </c>
      <c r="Q795" s="49" t="s">
        <v>75</v>
      </c>
      <c r="R795" s="25" t="s">
        <v>91</v>
      </c>
      <c r="S795" s="26">
        <v>18</v>
      </c>
      <c r="T795" s="26">
        <v>66</v>
      </c>
      <c r="U795" s="28" t="s">
        <v>3618</v>
      </c>
      <c r="V795" s="66"/>
      <c r="W795" s="106"/>
      <c r="X795" s="106" t="s">
        <v>516</v>
      </c>
      <c r="Y795" s="26" t="s">
        <v>76</v>
      </c>
      <c r="Z795" s="75" t="s">
        <v>93</v>
      </c>
      <c r="AA795" s="30" t="s">
        <v>76</v>
      </c>
    </row>
    <row r="796" spans="1:28" ht="49.5" hidden="1">
      <c r="A796" s="98">
        <v>786</v>
      </c>
      <c r="B796" s="79" t="s">
        <v>3765</v>
      </c>
      <c r="C796" s="148" t="s">
        <v>8</v>
      </c>
      <c r="D796" s="80" t="s">
        <v>63</v>
      </c>
      <c r="E796" s="27" t="s">
        <v>2447</v>
      </c>
      <c r="F796" s="80" t="s">
        <v>109</v>
      </c>
      <c r="G796" s="81" t="s">
        <v>1562</v>
      </c>
      <c r="H796" s="80" t="s">
        <v>2448</v>
      </c>
      <c r="I796" s="83">
        <v>45664</v>
      </c>
      <c r="J796" s="80" t="s">
        <v>3500</v>
      </c>
      <c r="K796" s="80" t="s">
        <v>198</v>
      </c>
      <c r="L796" s="84" t="s">
        <v>199</v>
      </c>
      <c r="M796" s="84" t="s">
        <v>221</v>
      </c>
      <c r="N796" s="84" t="s">
        <v>72</v>
      </c>
      <c r="O796" s="28" t="s">
        <v>3766</v>
      </c>
      <c r="P796" s="149" t="s">
        <v>3767</v>
      </c>
      <c r="Q796" s="49" t="s">
        <v>75</v>
      </c>
      <c r="R796" s="25" t="s">
        <v>91</v>
      </c>
      <c r="S796" s="26">
        <v>18</v>
      </c>
      <c r="T796" s="26">
        <v>54</v>
      </c>
      <c r="U796" s="28" t="s">
        <v>3768</v>
      </c>
      <c r="V796" s="66"/>
      <c r="W796" s="106"/>
      <c r="X796" s="106" t="s">
        <v>516</v>
      </c>
      <c r="Y796" s="106" t="s">
        <v>76</v>
      </c>
      <c r="Z796" s="75" t="s">
        <v>93</v>
      </c>
      <c r="AA796" s="30" t="s">
        <v>76</v>
      </c>
    </row>
    <row r="797" spans="1:28" ht="82.5" hidden="1">
      <c r="A797" s="98">
        <v>787</v>
      </c>
      <c r="B797" s="79" t="s">
        <v>3769</v>
      </c>
      <c r="C797" s="148" t="s">
        <v>8</v>
      </c>
      <c r="D797" s="80" t="s">
        <v>63</v>
      </c>
      <c r="E797" s="27" t="s">
        <v>3770</v>
      </c>
      <c r="F797" s="80" t="s">
        <v>120</v>
      </c>
      <c r="G797" s="81" t="s">
        <v>995</v>
      </c>
      <c r="H797" s="80" t="s">
        <v>3771</v>
      </c>
      <c r="I797" s="83">
        <v>45664</v>
      </c>
      <c r="J797" s="80" t="s">
        <v>3500</v>
      </c>
      <c r="K797" s="80" t="s">
        <v>112</v>
      </c>
      <c r="L797" s="84" t="s">
        <v>199</v>
      </c>
      <c r="M797" s="84" t="s">
        <v>221</v>
      </c>
      <c r="N797" s="84" t="s">
        <v>72</v>
      </c>
      <c r="O797" s="28" t="s">
        <v>3772</v>
      </c>
      <c r="P797" s="149" t="s">
        <v>3773</v>
      </c>
      <c r="Q797" s="49" t="s">
        <v>75</v>
      </c>
      <c r="R797" s="25" t="s">
        <v>91</v>
      </c>
      <c r="S797" s="26">
        <v>24</v>
      </c>
      <c r="T797" s="26">
        <v>65</v>
      </c>
      <c r="U797" s="28" t="s">
        <v>3774</v>
      </c>
      <c r="V797" s="66"/>
      <c r="W797" s="106"/>
      <c r="X797" s="106" t="s">
        <v>516</v>
      </c>
      <c r="Y797" s="26" t="s">
        <v>76</v>
      </c>
      <c r="Z797" s="75" t="s">
        <v>93</v>
      </c>
      <c r="AA797" s="30" t="s">
        <v>76</v>
      </c>
    </row>
    <row r="798" spans="1:28" ht="33" hidden="1">
      <c r="A798" s="98">
        <v>788</v>
      </c>
      <c r="B798" s="79" t="s">
        <v>3775</v>
      </c>
      <c r="C798" s="148" t="s">
        <v>8</v>
      </c>
      <c r="D798" s="80" t="s">
        <v>63</v>
      </c>
      <c r="E798" s="27" t="s">
        <v>2465</v>
      </c>
      <c r="F798" s="80" t="s">
        <v>120</v>
      </c>
      <c r="G798" s="81" t="s">
        <v>1562</v>
      </c>
      <c r="H798" s="80" t="s">
        <v>2466</v>
      </c>
      <c r="I798" s="83">
        <v>45665</v>
      </c>
      <c r="J798" s="80" t="s">
        <v>3505</v>
      </c>
      <c r="K798" s="80" t="s">
        <v>69</v>
      </c>
      <c r="L798" s="84" t="s">
        <v>100</v>
      </c>
      <c r="M798" s="84" t="s">
        <v>595</v>
      </c>
      <c r="N798" s="84" t="s">
        <v>72</v>
      </c>
      <c r="O798" s="28" t="s">
        <v>3776</v>
      </c>
      <c r="P798" s="149" t="s">
        <v>3777</v>
      </c>
      <c r="Q798" s="49" t="s">
        <v>91</v>
      </c>
      <c r="R798" s="25"/>
      <c r="S798" s="26">
        <v>13</v>
      </c>
      <c r="T798" s="26"/>
      <c r="U798" s="28" t="s">
        <v>3778</v>
      </c>
      <c r="V798" s="66"/>
      <c r="W798" s="106"/>
      <c r="X798" s="106" t="s">
        <v>76</v>
      </c>
      <c r="Y798" s="26" t="s">
        <v>76</v>
      </c>
      <c r="Z798" s="75" t="s">
        <v>193</v>
      </c>
      <c r="AA798" s="30" t="s">
        <v>76</v>
      </c>
    </row>
    <row r="799" spans="1:28" ht="99" hidden="1">
      <c r="A799" s="98">
        <v>789</v>
      </c>
      <c r="B799" s="79" t="s">
        <v>3779</v>
      </c>
      <c r="C799" s="148" t="s">
        <v>8</v>
      </c>
      <c r="D799" s="80" t="s">
        <v>63</v>
      </c>
      <c r="E799" s="27" t="s">
        <v>1992</v>
      </c>
      <c r="F799" s="80" t="s">
        <v>338</v>
      </c>
      <c r="G799" s="81" t="s">
        <v>995</v>
      </c>
      <c r="H799" s="80" t="s">
        <v>1993</v>
      </c>
      <c r="I799" s="83">
        <v>45666</v>
      </c>
      <c r="J799" s="80" t="s">
        <v>3512</v>
      </c>
      <c r="K799" s="80" t="s">
        <v>299</v>
      </c>
      <c r="L799" s="84" t="s">
        <v>189</v>
      </c>
      <c r="M799" s="84" t="s">
        <v>221</v>
      </c>
      <c r="N799" s="84" t="s">
        <v>72</v>
      </c>
      <c r="O799" s="28" t="s">
        <v>3780</v>
      </c>
      <c r="P799" s="149" t="s">
        <v>3781</v>
      </c>
      <c r="Q799" s="49" t="s">
        <v>91</v>
      </c>
      <c r="R799" s="25"/>
      <c r="S799" s="26">
        <v>11</v>
      </c>
      <c r="T799" s="26"/>
      <c r="U799" s="28" t="s">
        <v>3533</v>
      </c>
      <c r="V799" s="66"/>
      <c r="W799" s="106"/>
      <c r="X799" s="106" t="s">
        <v>76</v>
      </c>
      <c r="Y799" s="26" t="s">
        <v>76</v>
      </c>
      <c r="Z799" s="75" t="s">
        <v>193</v>
      </c>
      <c r="AA799" s="30" t="s">
        <v>76</v>
      </c>
      <c r="AB799" s="25" t="s">
        <v>75</v>
      </c>
    </row>
    <row r="800" spans="1:28" ht="246.75" hidden="1">
      <c r="A800" s="98">
        <v>790</v>
      </c>
      <c r="B800" s="79" t="s">
        <v>3782</v>
      </c>
      <c r="C800" s="148" t="s">
        <v>8</v>
      </c>
      <c r="D800" s="80" t="s">
        <v>63</v>
      </c>
      <c r="E800" s="27" t="s">
        <v>3783</v>
      </c>
      <c r="F800" s="80" t="s">
        <v>65</v>
      </c>
      <c r="G800" s="81" t="s">
        <v>154</v>
      </c>
      <c r="H800" s="80" t="s">
        <v>3784</v>
      </c>
      <c r="I800" s="83">
        <v>45667</v>
      </c>
      <c r="J800" s="80" t="s">
        <v>145</v>
      </c>
      <c r="K800" s="80" t="s">
        <v>146</v>
      </c>
      <c r="L800" s="84" t="s">
        <v>147</v>
      </c>
      <c r="M800" s="84" t="s">
        <v>148</v>
      </c>
      <c r="N800" s="84" t="s">
        <v>72</v>
      </c>
      <c r="O800" s="28" t="s">
        <v>3785</v>
      </c>
      <c r="P800" s="149" t="s">
        <v>3786</v>
      </c>
      <c r="Q800" s="49" t="s">
        <v>75</v>
      </c>
      <c r="R800" s="25" t="s">
        <v>75</v>
      </c>
      <c r="S800" s="26">
        <v>22</v>
      </c>
      <c r="T800" s="26">
        <v>76</v>
      </c>
      <c r="U800" s="28" t="s">
        <v>3787</v>
      </c>
      <c r="V800" s="66" t="s">
        <v>75</v>
      </c>
      <c r="W800" s="106" t="s">
        <v>175</v>
      </c>
      <c r="X800" s="106" t="s">
        <v>516</v>
      </c>
      <c r="Y800" s="26" t="s">
        <v>176</v>
      </c>
      <c r="Z800" s="75" t="s">
        <v>106</v>
      </c>
      <c r="AA800" s="30" t="s">
        <v>76</v>
      </c>
    </row>
    <row r="801" spans="1:28" ht="49.5" hidden="1">
      <c r="A801" s="98">
        <v>791</v>
      </c>
      <c r="B801" s="79" t="s">
        <v>3788</v>
      </c>
      <c r="C801" s="148" t="s">
        <v>8</v>
      </c>
      <c r="D801" s="80" t="s">
        <v>63</v>
      </c>
      <c r="E801" s="27" t="s">
        <v>2429</v>
      </c>
      <c r="F801" s="80" t="s">
        <v>284</v>
      </c>
      <c r="G801" s="81" t="s">
        <v>1132</v>
      </c>
      <c r="H801" s="80" t="s">
        <v>2430</v>
      </c>
      <c r="I801" s="83">
        <v>45667</v>
      </c>
      <c r="J801" s="80" t="s">
        <v>145</v>
      </c>
      <c r="K801" s="80" t="s">
        <v>146</v>
      </c>
      <c r="L801" s="84" t="s">
        <v>147</v>
      </c>
      <c r="M801" s="84" t="s">
        <v>148</v>
      </c>
      <c r="N801" s="84" t="s">
        <v>72</v>
      </c>
      <c r="O801" s="28" t="s">
        <v>3789</v>
      </c>
      <c r="P801" s="149" t="s">
        <v>3790</v>
      </c>
      <c r="Q801" s="49" t="s">
        <v>75</v>
      </c>
      <c r="R801" s="25" t="s">
        <v>91</v>
      </c>
      <c r="S801" s="26">
        <v>18</v>
      </c>
      <c r="T801" s="26">
        <v>60</v>
      </c>
      <c r="U801" s="28"/>
      <c r="V801" s="66"/>
      <c r="W801" s="106"/>
      <c r="X801" s="106" t="s">
        <v>516</v>
      </c>
      <c r="Y801" s="26" t="s">
        <v>76</v>
      </c>
      <c r="Z801" s="75" t="s">
        <v>93</v>
      </c>
      <c r="AA801" s="30" t="s">
        <v>76</v>
      </c>
    </row>
    <row r="802" spans="1:28" ht="82.5" hidden="1">
      <c r="A802" s="98">
        <v>792</v>
      </c>
      <c r="B802" s="79" t="s">
        <v>3791</v>
      </c>
      <c r="C802" s="148" t="s">
        <v>8</v>
      </c>
      <c r="D802" s="80" t="s">
        <v>63</v>
      </c>
      <c r="E802" s="27" t="s">
        <v>2011</v>
      </c>
      <c r="F802" s="80" t="s">
        <v>120</v>
      </c>
      <c r="G802" s="81" t="s">
        <v>1368</v>
      </c>
      <c r="H802" s="80" t="s">
        <v>1856</v>
      </c>
      <c r="I802" s="83">
        <v>45668</v>
      </c>
      <c r="J802" s="80" t="s">
        <v>3543</v>
      </c>
      <c r="K802" s="80" t="s">
        <v>112</v>
      </c>
      <c r="L802" s="84" t="s">
        <v>122</v>
      </c>
      <c r="M802" s="84" t="s">
        <v>114</v>
      </c>
      <c r="N802" s="84" t="s">
        <v>72</v>
      </c>
      <c r="O802" s="28" t="s">
        <v>3792</v>
      </c>
      <c r="P802" s="149" t="s">
        <v>3793</v>
      </c>
      <c r="Q802" s="49" t="s">
        <v>91</v>
      </c>
      <c r="R802" s="25"/>
      <c r="S802" s="26">
        <v>16</v>
      </c>
      <c r="T802" s="26"/>
      <c r="U802" s="28" t="s">
        <v>3794</v>
      </c>
      <c r="V802" s="66"/>
      <c r="W802" s="106"/>
      <c r="X802" s="106" t="s">
        <v>76</v>
      </c>
      <c r="Y802" s="26" t="s">
        <v>76</v>
      </c>
      <c r="Z802" s="75" t="s">
        <v>193</v>
      </c>
      <c r="AA802" s="30" t="s">
        <v>76</v>
      </c>
    </row>
    <row r="803" spans="1:28" ht="66" hidden="1">
      <c r="A803" s="98">
        <v>793</v>
      </c>
      <c r="B803" s="79" t="s">
        <v>3795</v>
      </c>
      <c r="C803" s="148" t="s">
        <v>8</v>
      </c>
      <c r="D803" s="80" t="s">
        <v>63</v>
      </c>
      <c r="E803" s="27" t="s">
        <v>2011</v>
      </c>
      <c r="F803" s="80" t="s">
        <v>120</v>
      </c>
      <c r="G803" s="81" t="s">
        <v>1368</v>
      </c>
      <c r="H803" s="80" t="s">
        <v>1856</v>
      </c>
      <c r="I803" s="83">
        <v>45668</v>
      </c>
      <c r="J803" s="80" t="s">
        <v>3543</v>
      </c>
      <c r="K803" s="80" t="s">
        <v>112</v>
      </c>
      <c r="L803" s="84" t="s">
        <v>122</v>
      </c>
      <c r="M803" s="84" t="s">
        <v>114</v>
      </c>
      <c r="N803" s="84" t="s">
        <v>72</v>
      </c>
      <c r="O803" s="28" t="s">
        <v>3796</v>
      </c>
      <c r="P803" s="149" t="s">
        <v>3797</v>
      </c>
      <c r="Q803" s="49" t="s">
        <v>75</v>
      </c>
      <c r="R803" s="25" t="s">
        <v>91</v>
      </c>
      <c r="S803" s="26">
        <v>20</v>
      </c>
      <c r="T803" s="26">
        <v>56</v>
      </c>
      <c r="U803" s="28" t="s">
        <v>3798</v>
      </c>
      <c r="V803" s="66"/>
      <c r="W803" s="106"/>
      <c r="X803" s="106" t="s">
        <v>516</v>
      </c>
      <c r="Y803" s="26" t="s">
        <v>76</v>
      </c>
      <c r="Z803" s="75" t="s">
        <v>93</v>
      </c>
      <c r="AA803" s="30" t="s">
        <v>76</v>
      </c>
    </row>
    <row r="804" spans="1:28" ht="180.75" hidden="1">
      <c r="A804" s="98">
        <v>794</v>
      </c>
      <c r="B804" s="79" t="s">
        <v>3799</v>
      </c>
      <c r="C804" s="148" t="s">
        <v>8</v>
      </c>
      <c r="D804" s="80" t="s">
        <v>63</v>
      </c>
      <c r="E804" s="27" t="s">
        <v>1572</v>
      </c>
      <c r="F804" s="80" t="s">
        <v>109</v>
      </c>
      <c r="G804" s="81" t="s">
        <v>66</v>
      </c>
      <c r="H804" s="80" t="s">
        <v>1573</v>
      </c>
      <c r="I804" s="92">
        <v>45669</v>
      </c>
      <c r="J804" s="80" t="s">
        <v>3565</v>
      </c>
      <c r="K804" s="80" t="s">
        <v>299</v>
      </c>
      <c r="L804" s="84" t="s">
        <v>189</v>
      </c>
      <c r="M804" s="84" t="s">
        <v>252</v>
      </c>
      <c r="N804" s="84" t="s">
        <v>253</v>
      </c>
      <c r="O804" s="28" t="s">
        <v>3800</v>
      </c>
      <c r="P804" s="149" t="s">
        <v>3801</v>
      </c>
      <c r="Q804" s="49" t="s">
        <v>75</v>
      </c>
      <c r="R804" s="25" t="s">
        <v>91</v>
      </c>
      <c r="S804" s="26">
        <v>23</v>
      </c>
      <c r="T804" s="26">
        <v>57</v>
      </c>
      <c r="U804" s="28" t="s">
        <v>3802</v>
      </c>
      <c r="V804" s="66"/>
      <c r="W804" s="106"/>
      <c r="X804" s="106" t="s">
        <v>516</v>
      </c>
      <c r="Y804" s="26" t="s">
        <v>76</v>
      </c>
      <c r="Z804" s="93" t="s">
        <v>93</v>
      </c>
      <c r="AA804" s="30" t="s">
        <v>76</v>
      </c>
    </row>
    <row r="805" spans="1:28" ht="66" hidden="1">
      <c r="A805" s="98">
        <v>795</v>
      </c>
      <c r="B805" s="79" t="s">
        <v>3803</v>
      </c>
      <c r="C805" s="148" t="s">
        <v>8</v>
      </c>
      <c r="D805" s="80" t="s">
        <v>63</v>
      </c>
      <c r="E805" s="27" t="s">
        <v>3682</v>
      </c>
      <c r="F805" s="80" t="s">
        <v>65</v>
      </c>
      <c r="G805" s="81" t="s">
        <v>1701</v>
      </c>
      <c r="H805" s="80" t="s">
        <v>3683</v>
      </c>
      <c r="I805" s="92">
        <v>45670</v>
      </c>
      <c r="J805" s="80" t="s">
        <v>3500</v>
      </c>
      <c r="K805" s="80" t="s">
        <v>198</v>
      </c>
      <c r="L805" s="84" t="s">
        <v>199</v>
      </c>
      <c r="M805" s="84" t="s">
        <v>221</v>
      </c>
      <c r="N805" s="84" t="s">
        <v>72</v>
      </c>
      <c r="O805" s="28" t="s">
        <v>3804</v>
      </c>
      <c r="P805" s="149" t="s">
        <v>3805</v>
      </c>
      <c r="Q805" s="49" t="s">
        <v>91</v>
      </c>
      <c r="R805" s="25"/>
      <c r="S805" s="26">
        <v>4</v>
      </c>
      <c r="T805" s="26"/>
      <c r="U805" s="28" t="s">
        <v>3806</v>
      </c>
      <c r="V805" s="66"/>
      <c r="W805" s="106"/>
      <c r="X805" s="106" t="s">
        <v>76</v>
      </c>
      <c r="Y805" s="26" t="s">
        <v>76</v>
      </c>
      <c r="Z805" s="75" t="s">
        <v>193</v>
      </c>
      <c r="AA805" s="30" t="s">
        <v>76</v>
      </c>
      <c r="AB805" s="25" t="s">
        <v>75</v>
      </c>
    </row>
    <row r="806" spans="1:28" ht="33" hidden="1">
      <c r="A806" s="98">
        <v>796</v>
      </c>
      <c r="B806" s="79" t="s">
        <v>3807</v>
      </c>
      <c r="C806" s="148" t="s">
        <v>8</v>
      </c>
      <c r="D806" s="80" t="s">
        <v>63</v>
      </c>
      <c r="E806" s="27" t="s">
        <v>2482</v>
      </c>
      <c r="F806" s="80" t="s">
        <v>109</v>
      </c>
      <c r="G806" s="81" t="s">
        <v>1562</v>
      </c>
      <c r="H806" s="80" t="s">
        <v>670</v>
      </c>
      <c r="I806" s="92">
        <v>45670</v>
      </c>
      <c r="J806" s="80" t="s">
        <v>145</v>
      </c>
      <c r="K806" s="80" t="s">
        <v>146</v>
      </c>
      <c r="L806" s="84" t="s">
        <v>147</v>
      </c>
      <c r="M806" s="84" t="s">
        <v>148</v>
      </c>
      <c r="N806" s="84" t="s">
        <v>72</v>
      </c>
      <c r="O806" s="28" t="s">
        <v>3808</v>
      </c>
      <c r="P806" s="269" t="s">
        <v>3789</v>
      </c>
      <c r="Q806" s="49" t="s">
        <v>75</v>
      </c>
      <c r="R806" s="25" t="s">
        <v>91</v>
      </c>
      <c r="S806" s="26">
        <v>18</v>
      </c>
      <c r="T806" s="26">
        <v>60</v>
      </c>
      <c r="U806" s="28"/>
      <c r="V806" s="66"/>
      <c r="W806" s="106"/>
      <c r="X806" s="106" t="s">
        <v>516</v>
      </c>
      <c r="Y806" s="26" t="s">
        <v>76</v>
      </c>
      <c r="Z806" s="75" t="s">
        <v>93</v>
      </c>
      <c r="AA806" s="30" t="s">
        <v>76</v>
      </c>
    </row>
    <row r="807" spans="1:28" ht="49.5" hidden="1">
      <c r="A807" s="98">
        <v>797</v>
      </c>
      <c r="B807" s="79" t="s">
        <v>3809</v>
      </c>
      <c r="C807" s="148" t="s">
        <v>8</v>
      </c>
      <c r="D807" s="80" t="s">
        <v>63</v>
      </c>
      <c r="E807" s="27" t="s">
        <v>2613</v>
      </c>
      <c r="F807" s="80" t="s">
        <v>109</v>
      </c>
      <c r="G807" s="81" t="s">
        <v>995</v>
      </c>
      <c r="H807" s="80" t="s">
        <v>2614</v>
      </c>
      <c r="I807" s="92">
        <v>45670</v>
      </c>
      <c r="J807" s="80" t="s">
        <v>3810</v>
      </c>
      <c r="K807" s="80" t="s">
        <v>112</v>
      </c>
      <c r="L807" s="84" t="s">
        <v>122</v>
      </c>
      <c r="M807" s="84" t="s">
        <v>221</v>
      </c>
      <c r="N807" s="84" t="s">
        <v>253</v>
      </c>
      <c r="O807" s="28" t="s">
        <v>3811</v>
      </c>
      <c r="P807" s="149" t="s">
        <v>3812</v>
      </c>
      <c r="Q807" s="49" t="s">
        <v>91</v>
      </c>
      <c r="R807" s="25"/>
      <c r="S807" s="26">
        <v>16</v>
      </c>
      <c r="T807" s="26"/>
      <c r="U807" s="28" t="s">
        <v>3813</v>
      </c>
      <c r="V807" s="66"/>
      <c r="W807" s="106"/>
      <c r="X807" s="106" t="s">
        <v>76</v>
      </c>
      <c r="Y807" s="26" t="s">
        <v>76</v>
      </c>
      <c r="Z807" s="75" t="s">
        <v>193</v>
      </c>
      <c r="AA807" s="30" t="s">
        <v>76</v>
      </c>
    </row>
    <row r="808" spans="1:28" ht="49.5" hidden="1">
      <c r="A808" s="98">
        <v>798</v>
      </c>
      <c r="B808" s="79" t="s">
        <v>3814</v>
      </c>
      <c r="C808" s="148" t="s">
        <v>8</v>
      </c>
      <c r="D808" s="80" t="s">
        <v>63</v>
      </c>
      <c r="E808" s="27" t="s">
        <v>2572</v>
      </c>
      <c r="F808" s="80" t="s">
        <v>65</v>
      </c>
      <c r="G808" s="81" t="s">
        <v>2573</v>
      </c>
      <c r="H808" s="80" t="s">
        <v>2574</v>
      </c>
      <c r="I808" s="92">
        <v>45670</v>
      </c>
      <c r="J808" s="80" t="s">
        <v>3543</v>
      </c>
      <c r="K808" s="80" t="s">
        <v>112</v>
      </c>
      <c r="L808" s="84" t="s">
        <v>122</v>
      </c>
      <c r="M808" s="84" t="s">
        <v>114</v>
      </c>
      <c r="N808" s="84" t="s">
        <v>253</v>
      </c>
      <c r="O808" s="28" t="s">
        <v>3815</v>
      </c>
      <c r="P808" s="149" t="s">
        <v>3816</v>
      </c>
      <c r="Q808" s="49" t="s">
        <v>91</v>
      </c>
      <c r="R808" s="25"/>
      <c r="S808" s="26">
        <v>14</v>
      </c>
      <c r="T808" s="26"/>
      <c r="U808" s="28" t="s">
        <v>3817</v>
      </c>
      <c r="V808" s="66"/>
      <c r="W808" s="106"/>
      <c r="X808" s="106" t="s">
        <v>76</v>
      </c>
      <c r="Y808" s="26" t="s">
        <v>76</v>
      </c>
      <c r="Z808" s="75" t="s">
        <v>193</v>
      </c>
      <c r="AA808" s="30" t="s">
        <v>76</v>
      </c>
      <c r="AB808" s="25" t="s">
        <v>75</v>
      </c>
    </row>
    <row r="809" spans="1:28" ht="82.5" hidden="1">
      <c r="A809" s="98">
        <v>799</v>
      </c>
      <c r="B809" s="79" t="s">
        <v>3818</v>
      </c>
      <c r="C809" s="148" t="s">
        <v>8</v>
      </c>
      <c r="D809" s="80" t="s">
        <v>63</v>
      </c>
      <c r="E809" s="27" t="s">
        <v>3819</v>
      </c>
      <c r="F809" s="80" t="s">
        <v>284</v>
      </c>
      <c r="G809" s="81" t="s">
        <v>3425</v>
      </c>
      <c r="H809" s="80" t="s">
        <v>3820</v>
      </c>
      <c r="I809" s="92">
        <v>45671</v>
      </c>
      <c r="J809" s="80" t="s">
        <v>3821</v>
      </c>
      <c r="K809" s="80" t="s">
        <v>112</v>
      </c>
      <c r="L809" s="84" t="s">
        <v>113</v>
      </c>
      <c r="M809" s="84" t="s">
        <v>252</v>
      </c>
      <c r="N809" s="84" t="s">
        <v>72</v>
      </c>
      <c r="O809" s="28" t="s">
        <v>3822</v>
      </c>
      <c r="P809" s="149" t="s">
        <v>3823</v>
      </c>
      <c r="Q809" s="49" t="s">
        <v>75</v>
      </c>
      <c r="R809" s="25" t="s">
        <v>91</v>
      </c>
      <c r="S809" s="26">
        <v>24</v>
      </c>
      <c r="T809" s="26">
        <v>65</v>
      </c>
      <c r="U809" s="28" t="s">
        <v>3824</v>
      </c>
      <c r="V809" s="66"/>
      <c r="W809" s="106"/>
      <c r="X809" s="106" t="s">
        <v>516</v>
      </c>
      <c r="Y809" s="26" t="s">
        <v>76</v>
      </c>
      <c r="Z809" s="75" t="s">
        <v>93</v>
      </c>
      <c r="AA809" s="30" t="s">
        <v>76</v>
      </c>
    </row>
    <row r="810" spans="1:28" ht="99" hidden="1">
      <c r="A810" s="98">
        <v>800</v>
      </c>
      <c r="B810" s="79" t="s">
        <v>3825</v>
      </c>
      <c r="C810" s="148" t="s">
        <v>8</v>
      </c>
      <c r="D810" s="80" t="s">
        <v>63</v>
      </c>
      <c r="E810" s="27" t="s">
        <v>3819</v>
      </c>
      <c r="F810" s="80" t="s">
        <v>284</v>
      </c>
      <c r="G810" s="81" t="s">
        <v>3425</v>
      </c>
      <c r="H810" s="80" t="s">
        <v>3820</v>
      </c>
      <c r="I810" s="92">
        <v>45671</v>
      </c>
      <c r="J810" s="80" t="s">
        <v>3543</v>
      </c>
      <c r="K810" s="80" t="s">
        <v>146</v>
      </c>
      <c r="L810" s="84" t="s">
        <v>122</v>
      </c>
      <c r="M810" s="84" t="s">
        <v>114</v>
      </c>
      <c r="N810" s="84" t="s">
        <v>72</v>
      </c>
      <c r="O810" s="28" t="s">
        <v>3826</v>
      </c>
      <c r="P810" s="149" t="s">
        <v>3827</v>
      </c>
      <c r="Q810" s="49" t="s">
        <v>75</v>
      </c>
      <c r="R810" s="25" t="s">
        <v>75</v>
      </c>
      <c r="S810" s="26">
        <v>20</v>
      </c>
      <c r="T810" s="26">
        <v>74</v>
      </c>
      <c r="U810" s="28" t="s">
        <v>3828</v>
      </c>
      <c r="V810" s="66" t="s">
        <v>75</v>
      </c>
      <c r="W810" s="106" t="s">
        <v>721</v>
      </c>
      <c r="X810" s="106" t="s">
        <v>516</v>
      </c>
      <c r="Y810" s="116" t="s">
        <v>516</v>
      </c>
      <c r="Z810" s="93" t="s">
        <v>79</v>
      </c>
      <c r="AA810" s="176" t="s">
        <v>3829</v>
      </c>
    </row>
    <row r="811" spans="1:28" ht="171" hidden="1" customHeight="1">
      <c r="A811" s="88">
        <v>801</v>
      </c>
      <c r="B811" s="79" t="s">
        <v>3830</v>
      </c>
      <c r="C811" s="148" t="s">
        <v>8</v>
      </c>
      <c r="D811" s="80" t="s">
        <v>63</v>
      </c>
      <c r="E811" s="27" t="s">
        <v>3831</v>
      </c>
      <c r="F811" s="80" t="s">
        <v>109</v>
      </c>
      <c r="G811" s="81" t="s">
        <v>3832</v>
      </c>
      <c r="H811" s="80" t="s">
        <v>3833</v>
      </c>
      <c r="I811" s="92">
        <v>45671</v>
      </c>
      <c r="J811" s="80" t="s">
        <v>3505</v>
      </c>
      <c r="K811" s="80" t="s">
        <v>69</v>
      </c>
      <c r="L811" s="84" t="s">
        <v>100</v>
      </c>
      <c r="M811" s="84" t="s">
        <v>252</v>
      </c>
      <c r="N811" s="84" t="s">
        <v>72</v>
      </c>
      <c r="O811" s="28" t="s">
        <v>3834</v>
      </c>
      <c r="P811" s="149" t="s">
        <v>3835</v>
      </c>
      <c r="Q811" s="49" t="s">
        <v>75</v>
      </c>
      <c r="R811" s="25" t="s">
        <v>91</v>
      </c>
      <c r="S811" s="26">
        <v>21</v>
      </c>
      <c r="T811" s="26" t="s">
        <v>313</v>
      </c>
      <c r="U811" s="28" t="s">
        <v>3836</v>
      </c>
      <c r="V811" s="66"/>
      <c r="W811" s="106"/>
      <c r="X811" s="106" t="s">
        <v>516</v>
      </c>
      <c r="Y811" s="26" t="s">
        <v>76</v>
      </c>
      <c r="Z811" s="75" t="s">
        <v>93</v>
      </c>
      <c r="AA811" s="30" t="s">
        <v>76</v>
      </c>
    </row>
    <row r="812" spans="1:28" ht="49.5" hidden="1">
      <c r="A812" s="88">
        <v>802</v>
      </c>
      <c r="B812" s="79" t="s">
        <v>3837</v>
      </c>
      <c r="C812" s="148" t="s">
        <v>8</v>
      </c>
      <c r="D812" s="80" t="s">
        <v>63</v>
      </c>
      <c r="E812" s="27" t="s">
        <v>2613</v>
      </c>
      <c r="F812" s="80" t="s">
        <v>109</v>
      </c>
      <c r="G812" s="81" t="s">
        <v>995</v>
      </c>
      <c r="H812" s="80" t="s">
        <v>2614</v>
      </c>
      <c r="I812" s="92">
        <v>45671</v>
      </c>
      <c r="J812" s="80" t="s">
        <v>3565</v>
      </c>
      <c r="K812" s="80" t="s">
        <v>299</v>
      </c>
      <c r="L812" s="84" t="s">
        <v>189</v>
      </c>
      <c r="M812" s="84" t="s">
        <v>252</v>
      </c>
      <c r="N812" s="84" t="s">
        <v>72</v>
      </c>
      <c r="O812" s="28" t="s">
        <v>3838</v>
      </c>
      <c r="P812" s="149" t="s">
        <v>3839</v>
      </c>
      <c r="Q812" s="49" t="s">
        <v>75</v>
      </c>
      <c r="R812" s="25" t="s">
        <v>91</v>
      </c>
      <c r="S812" s="26">
        <v>19</v>
      </c>
      <c r="T812" s="26">
        <v>54</v>
      </c>
      <c r="U812" s="28" t="s">
        <v>3840</v>
      </c>
      <c r="V812" s="66"/>
      <c r="W812" s="106"/>
      <c r="X812" s="106" t="s">
        <v>516</v>
      </c>
      <c r="Y812" s="26" t="s">
        <v>76</v>
      </c>
      <c r="Z812" s="93" t="s">
        <v>93</v>
      </c>
      <c r="AA812" s="30" t="s">
        <v>76</v>
      </c>
    </row>
    <row r="813" spans="1:28" ht="148.5" hidden="1">
      <c r="A813" s="88">
        <v>803</v>
      </c>
      <c r="B813" s="79" t="s">
        <v>3841</v>
      </c>
      <c r="C813" s="148" t="s">
        <v>8</v>
      </c>
      <c r="D813" s="80" t="s">
        <v>63</v>
      </c>
      <c r="E813" s="27" t="s">
        <v>3842</v>
      </c>
      <c r="F813" s="80" t="s">
        <v>65</v>
      </c>
      <c r="G813" s="81" t="s">
        <v>818</v>
      </c>
      <c r="H813" s="80" t="s">
        <v>1871</v>
      </c>
      <c r="I813" s="92">
        <v>45671</v>
      </c>
      <c r="J813" s="80" t="s">
        <v>170</v>
      </c>
      <c r="K813" s="80" t="s">
        <v>156</v>
      </c>
      <c r="L813" s="84" t="s">
        <v>171</v>
      </c>
      <c r="M813" s="84" t="s">
        <v>71</v>
      </c>
      <c r="N813" s="84" t="s">
        <v>72</v>
      </c>
      <c r="O813" s="28" t="s">
        <v>3843</v>
      </c>
      <c r="P813" s="149" t="s">
        <v>3844</v>
      </c>
      <c r="Q813" s="49" t="s">
        <v>75</v>
      </c>
      <c r="R813" s="25" t="s">
        <v>91</v>
      </c>
      <c r="S813" s="26">
        <v>18</v>
      </c>
      <c r="T813" s="26">
        <v>66</v>
      </c>
      <c r="U813" s="28" t="s">
        <v>3845</v>
      </c>
      <c r="V813" s="66"/>
      <c r="W813" s="106"/>
      <c r="X813" s="106" t="s">
        <v>516</v>
      </c>
      <c r="Y813" s="26" t="s">
        <v>76</v>
      </c>
      <c r="Z813" s="75" t="s">
        <v>93</v>
      </c>
      <c r="AA813" s="30" t="s">
        <v>76</v>
      </c>
    </row>
    <row r="814" spans="1:28" ht="66" hidden="1">
      <c r="A814" s="88">
        <v>804</v>
      </c>
      <c r="B814" s="79" t="s">
        <v>3846</v>
      </c>
      <c r="C814" s="148" t="s">
        <v>8</v>
      </c>
      <c r="D814" s="80" t="s">
        <v>63</v>
      </c>
      <c r="E814" s="27" t="s">
        <v>3842</v>
      </c>
      <c r="F814" s="80" t="s">
        <v>65</v>
      </c>
      <c r="G814" s="81" t="s">
        <v>818</v>
      </c>
      <c r="H814" s="80" t="s">
        <v>1871</v>
      </c>
      <c r="I814" s="92">
        <v>45671</v>
      </c>
      <c r="J814" s="80" t="s">
        <v>170</v>
      </c>
      <c r="K814" s="80" t="s">
        <v>156</v>
      </c>
      <c r="L814" s="84" t="s">
        <v>171</v>
      </c>
      <c r="M814" s="84" t="s">
        <v>71</v>
      </c>
      <c r="N814" s="84" t="s">
        <v>72</v>
      </c>
      <c r="O814" s="28" t="s">
        <v>3847</v>
      </c>
      <c r="P814" s="149" t="s">
        <v>3848</v>
      </c>
      <c r="Q814" s="49" t="s">
        <v>75</v>
      </c>
      <c r="R814" s="25" t="s">
        <v>91</v>
      </c>
      <c r="S814" s="26">
        <v>18</v>
      </c>
      <c r="T814" s="26">
        <v>66</v>
      </c>
      <c r="U814" s="28" t="s">
        <v>3849</v>
      </c>
      <c r="V814" s="66"/>
      <c r="W814" s="106"/>
      <c r="X814" s="106" t="s">
        <v>516</v>
      </c>
      <c r="Y814" s="26" t="s">
        <v>76</v>
      </c>
      <c r="Z814" s="75" t="s">
        <v>93</v>
      </c>
      <c r="AA814" s="30" t="s">
        <v>76</v>
      </c>
    </row>
    <row r="815" spans="1:28" ht="49.5" hidden="1">
      <c r="A815" s="88">
        <v>805</v>
      </c>
      <c r="B815" s="79" t="s">
        <v>3850</v>
      </c>
      <c r="C815" s="148" t="s">
        <v>8</v>
      </c>
      <c r="D815" s="80" t="s">
        <v>63</v>
      </c>
      <c r="E815" s="27" t="s">
        <v>3842</v>
      </c>
      <c r="F815" s="80" t="s">
        <v>65</v>
      </c>
      <c r="G815" s="81" t="s">
        <v>818</v>
      </c>
      <c r="H815" s="80" t="s">
        <v>1871</v>
      </c>
      <c r="I815" s="92">
        <v>45671</v>
      </c>
      <c r="J815" s="80" t="s">
        <v>170</v>
      </c>
      <c r="K815" s="80" t="s">
        <v>156</v>
      </c>
      <c r="L815" s="84" t="s">
        <v>171</v>
      </c>
      <c r="M815" s="84" t="s">
        <v>71</v>
      </c>
      <c r="N815" s="84" t="s">
        <v>72</v>
      </c>
      <c r="O815" s="28" t="s">
        <v>3851</v>
      </c>
      <c r="P815" s="149" t="s">
        <v>3852</v>
      </c>
      <c r="Q815" s="49" t="s">
        <v>91</v>
      </c>
      <c r="R815" s="25"/>
      <c r="S815" s="26">
        <v>16</v>
      </c>
      <c r="T815" s="26"/>
      <c r="U815" s="28" t="s">
        <v>59</v>
      </c>
      <c r="V815" s="66"/>
      <c r="W815" s="106"/>
      <c r="X815" s="106" t="s">
        <v>76</v>
      </c>
      <c r="Y815" s="26" t="s">
        <v>76</v>
      </c>
      <c r="Z815" s="75" t="s">
        <v>193</v>
      </c>
      <c r="AA815" s="30" t="s">
        <v>76</v>
      </c>
      <c r="AB815" s="25" t="s">
        <v>75</v>
      </c>
    </row>
    <row r="816" spans="1:28" ht="66" hidden="1">
      <c r="A816" s="88">
        <v>806</v>
      </c>
      <c r="B816" s="79" t="s">
        <v>3853</v>
      </c>
      <c r="C816" s="148" t="s">
        <v>10</v>
      </c>
      <c r="D816" s="80" t="s">
        <v>63</v>
      </c>
      <c r="E816" s="27" t="s">
        <v>3854</v>
      </c>
      <c r="F816" s="80" t="s">
        <v>120</v>
      </c>
      <c r="G816" s="81" t="s">
        <v>3855</v>
      </c>
      <c r="H816" s="80" t="s">
        <v>3856</v>
      </c>
      <c r="I816" s="92">
        <v>45672</v>
      </c>
      <c r="J816" s="80" t="s">
        <v>3505</v>
      </c>
      <c r="K816" s="80" t="s">
        <v>69</v>
      </c>
      <c r="L816" s="84" t="s">
        <v>70</v>
      </c>
      <c r="M816" s="84" t="s">
        <v>601</v>
      </c>
      <c r="N816" s="84" t="s">
        <v>72</v>
      </c>
      <c r="O816" s="307" t="s">
        <v>3857</v>
      </c>
      <c r="P816" s="149" t="s">
        <v>3858</v>
      </c>
      <c r="Q816" s="49" t="s">
        <v>91</v>
      </c>
      <c r="R816" s="25"/>
      <c r="S816" s="26">
        <v>16</v>
      </c>
      <c r="T816" s="26"/>
      <c r="U816" s="28" t="s">
        <v>3859</v>
      </c>
      <c r="V816" s="66"/>
      <c r="W816" s="106"/>
      <c r="X816" s="106" t="s">
        <v>76</v>
      </c>
      <c r="Y816" s="26" t="s">
        <v>76</v>
      </c>
      <c r="Z816" s="75" t="s">
        <v>193</v>
      </c>
      <c r="AA816" s="30" t="s">
        <v>76</v>
      </c>
    </row>
    <row r="817" spans="1:28" ht="49.5" hidden="1">
      <c r="A817" s="88">
        <v>807</v>
      </c>
      <c r="B817" s="79" t="s">
        <v>3860</v>
      </c>
      <c r="C817" s="148" t="s">
        <v>8</v>
      </c>
      <c r="D817" s="80" t="s">
        <v>63</v>
      </c>
      <c r="E817" s="27" t="s">
        <v>1430</v>
      </c>
      <c r="F817" s="80" t="s">
        <v>109</v>
      </c>
      <c r="G817" s="81" t="s">
        <v>1047</v>
      </c>
      <c r="H817" s="80" t="s">
        <v>1431</v>
      </c>
      <c r="I817" s="92">
        <v>45672</v>
      </c>
      <c r="J817" s="80" t="s">
        <v>3526</v>
      </c>
      <c r="K817" s="80" t="s">
        <v>299</v>
      </c>
      <c r="L817" s="84" t="s">
        <v>189</v>
      </c>
      <c r="M817" s="84" t="s">
        <v>114</v>
      </c>
      <c r="N817" s="84" t="s">
        <v>72</v>
      </c>
      <c r="O817" s="28" t="s">
        <v>3861</v>
      </c>
      <c r="P817" s="149" t="s">
        <v>3862</v>
      </c>
      <c r="Q817" s="49" t="s">
        <v>91</v>
      </c>
      <c r="R817" s="25"/>
      <c r="S817" s="26">
        <v>12</v>
      </c>
      <c r="T817" s="26"/>
      <c r="U817" s="28" t="s">
        <v>3863</v>
      </c>
      <c r="V817" s="66"/>
      <c r="W817" s="106"/>
      <c r="X817" s="106" t="s">
        <v>76</v>
      </c>
      <c r="Y817" s="26" t="s">
        <v>76</v>
      </c>
      <c r="Z817" s="75" t="s">
        <v>193</v>
      </c>
      <c r="AA817" s="30" t="s">
        <v>76</v>
      </c>
    </row>
    <row r="818" spans="1:28" ht="49.5" hidden="1">
      <c r="A818" s="88">
        <v>808</v>
      </c>
      <c r="B818" s="79" t="s">
        <v>3864</v>
      </c>
      <c r="C818" s="148" t="s">
        <v>8</v>
      </c>
      <c r="D818" s="80" t="s">
        <v>63</v>
      </c>
      <c r="E818" s="27" t="s">
        <v>1430</v>
      </c>
      <c r="F818" s="80" t="s">
        <v>109</v>
      </c>
      <c r="G818" s="81" t="s">
        <v>1047</v>
      </c>
      <c r="H818" s="80" t="s">
        <v>1431</v>
      </c>
      <c r="I818" s="92">
        <v>45672</v>
      </c>
      <c r="J818" s="80" t="s">
        <v>3526</v>
      </c>
      <c r="K818" s="80" t="s">
        <v>299</v>
      </c>
      <c r="L818" s="84" t="s">
        <v>189</v>
      </c>
      <c r="M818" s="84" t="s">
        <v>114</v>
      </c>
      <c r="N818" s="84" t="s">
        <v>72</v>
      </c>
      <c r="O818" s="28" t="s">
        <v>3865</v>
      </c>
      <c r="P818" s="149" t="s">
        <v>3866</v>
      </c>
      <c r="Q818" s="49" t="s">
        <v>91</v>
      </c>
      <c r="R818" s="25"/>
      <c r="S818" s="26">
        <v>11</v>
      </c>
      <c r="T818" s="26"/>
      <c r="U818" s="28" t="s">
        <v>3867</v>
      </c>
      <c r="V818" s="66"/>
      <c r="W818" s="106"/>
      <c r="X818" s="106" t="s">
        <v>76</v>
      </c>
      <c r="Y818" s="26" t="s">
        <v>76</v>
      </c>
      <c r="Z818" s="75" t="s">
        <v>193</v>
      </c>
      <c r="AA818" s="30" t="s">
        <v>76</v>
      </c>
      <c r="AB818" s="25" t="s">
        <v>75</v>
      </c>
    </row>
    <row r="819" spans="1:28" ht="66" hidden="1">
      <c r="A819" s="88">
        <v>809</v>
      </c>
      <c r="B819" s="79" t="s">
        <v>3868</v>
      </c>
      <c r="C819" s="148" t="s">
        <v>8</v>
      </c>
      <c r="D819" s="80" t="s">
        <v>63</v>
      </c>
      <c r="E819" s="27" t="s">
        <v>1430</v>
      </c>
      <c r="F819" s="80" t="s">
        <v>109</v>
      </c>
      <c r="G819" s="81" t="s">
        <v>1047</v>
      </c>
      <c r="H819" s="80" t="s">
        <v>1431</v>
      </c>
      <c r="I819" s="92">
        <v>45672</v>
      </c>
      <c r="J819" s="80" t="s">
        <v>3565</v>
      </c>
      <c r="K819" s="80" t="s">
        <v>299</v>
      </c>
      <c r="L819" s="84" t="s">
        <v>189</v>
      </c>
      <c r="M819" s="84" t="s">
        <v>252</v>
      </c>
      <c r="N819" s="84" t="s">
        <v>72</v>
      </c>
      <c r="O819" s="28" t="s">
        <v>3869</v>
      </c>
      <c r="P819" s="149" t="s">
        <v>3870</v>
      </c>
      <c r="Q819" s="49" t="s">
        <v>75</v>
      </c>
      <c r="R819" s="25" t="s">
        <v>91</v>
      </c>
      <c r="S819" s="26">
        <v>19</v>
      </c>
      <c r="T819" s="26">
        <v>71</v>
      </c>
      <c r="U819" s="28" t="s">
        <v>3871</v>
      </c>
      <c r="V819" s="66"/>
      <c r="W819" s="106"/>
      <c r="X819" s="106" t="s">
        <v>516</v>
      </c>
      <c r="Y819" s="26" t="s">
        <v>76</v>
      </c>
      <c r="Z819" s="93" t="s">
        <v>106</v>
      </c>
      <c r="AA819" s="30" t="s">
        <v>76</v>
      </c>
    </row>
    <row r="820" spans="1:28" ht="82.5" hidden="1">
      <c r="A820" s="88">
        <v>810</v>
      </c>
      <c r="B820" s="79" t="s">
        <v>3872</v>
      </c>
      <c r="C820" s="148" t="s">
        <v>8</v>
      </c>
      <c r="D820" s="80" t="s">
        <v>63</v>
      </c>
      <c r="E820" s="27" t="s">
        <v>1430</v>
      </c>
      <c r="F820" s="80" t="s">
        <v>109</v>
      </c>
      <c r="G820" s="81" t="s">
        <v>1047</v>
      </c>
      <c r="H820" s="80" t="s">
        <v>1431</v>
      </c>
      <c r="I820" s="92">
        <v>45672</v>
      </c>
      <c r="J820" s="80" t="s">
        <v>3526</v>
      </c>
      <c r="K820" s="80" t="s">
        <v>299</v>
      </c>
      <c r="L820" s="84" t="s">
        <v>189</v>
      </c>
      <c r="M820" s="84" t="s">
        <v>114</v>
      </c>
      <c r="N820" s="84" t="s">
        <v>72</v>
      </c>
      <c r="O820" s="28" t="s">
        <v>3873</v>
      </c>
      <c r="P820" s="149" t="s">
        <v>3874</v>
      </c>
      <c r="Q820" s="49" t="s">
        <v>91</v>
      </c>
      <c r="R820" s="25"/>
      <c r="S820" s="26">
        <v>14</v>
      </c>
      <c r="T820" s="26"/>
      <c r="U820" s="28" t="s">
        <v>3875</v>
      </c>
      <c r="V820" s="66"/>
      <c r="W820" s="106"/>
      <c r="X820" s="106" t="s">
        <v>76</v>
      </c>
      <c r="Y820" s="26" t="s">
        <v>76</v>
      </c>
      <c r="Z820" s="75" t="s">
        <v>193</v>
      </c>
      <c r="AA820" s="30" t="s">
        <v>76</v>
      </c>
    </row>
    <row r="821" spans="1:28" ht="197.25" hidden="1">
      <c r="A821" s="88">
        <v>811</v>
      </c>
      <c r="B821" s="79" t="s">
        <v>3876</v>
      </c>
      <c r="C821" s="148" t="s">
        <v>8</v>
      </c>
      <c r="D821" s="80" t="s">
        <v>63</v>
      </c>
      <c r="E821" s="27" t="s">
        <v>2636</v>
      </c>
      <c r="F821" s="80" t="s">
        <v>120</v>
      </c>
      <c r="G821" s="81" t="s">
        <v>995</v>
      </c>
      <c r="H821" s="80" t="s">
        <v>2637</v>
      </c>
      <c r="I821" s="92">
        <v>45672</v>
      </c>
      <c r="J821" s="80" t="s">
        <v>3500</v>
      </c>
      <c r="K821" s="80" t="s">
        <v>198</v>
      </c>
      <c r="L821" s="84" t="s">
        <v>199</v>
      </c>
      <c r="M821" s="84" t="s">
        <v>221</v>
      </c>
      <c r="N821" s="84" t="s">
        <v>72</v>
      </c>
      <c r="O821" s="28" t="s">
        <v>3877</v>
      </c>
      <c r="P821" s="149" t="s">
        <v>3878</v>
      </c>
      <c r="Q821" s="49" t="s">
        <v>75</v>
      </c>
      <c r="R821" s="25" t="s">
        <v>91</v>
      </c>
      <c r="S821" s="26">
        <v>18</v>
      </c>
      <c r="T821" s="26">
        <v>59</v>
      </c>
      <c r="U821" s="28" t="s">
        <v>3879</v>
      </c>
      <c r="V821" s="66"/>
      <c r="W821" s="106"/>
      <c r="X821" s="106" t="s">
        <v>516</v>
      </c>
      <c r="Y821" s="106" t="s">
        <v>76</v>
      </c>
      <c r="Z821" s="75" t="s">
        <v>93</v>
      </c>
      <c r="AA821" s="30" t="s">
        <v>76</v>
      </c>
    </row>
    <row r="822" spans="1:28" ht="49.5" hidden="1">
      <c r="A822" s="88">
        <v>812</v>
      </c>
      <c r="B822" s="79" t="s">
        <v>3880</v>
      </c>
      <c r="C822" s="148" t="s">
        <v>8</v>
      </c>
      <c r="D822" s="80" t="s">
        <v>63</v>
      </c>
      <c r="E822" s="27" t="s">
        <v>3666</v>
      </c>
      <c r="F822" s="80" t="s">
        <v>65</v>
      </c>
      <c r="G822" s="81" t="s">
        <v>995</v>
      </c>
      <c r="H822" s="80" t="s">
        <v>3667</v>
      </c>
      <c r="I822" s="92">
        <v>45672</v>
      </c>
      <c r="J822" s="80" t="s">
        <v>3517</v>
      </c>
      <c r="K822" s="80" t="s">
        <v>299</v>
      </c>
      <c r="L822" s="84" t="s">
        <v>189</v>
      </c>
      <c r="M822" s="84" t="s">
        <v>200</v>
      </c>
      <c r="N822" s="84" t="s">
        <v>72</v>
      </c>
      <c r="O822" s="28" t="s">
        <v>3881</v>
      </c>
      <c r="P822" s="149" t="s">
        <v>3882</v>
      </c>
      <c r="Q822" s="49" t="s">
        <v>75</v>
      </c>
      <c r="R822" s="25" t="s">
        <v>91</v>
      </c>
      <c r="S822" s="26">
        <v>20</v>
      </c>
      <c r="T822" s="26">
        <v>60</v>
      </c>
      <c r="U822" s="28" t="s">
        <v>3883</v>
      </c>
      <c r="V822" s="66"/>
      <c r="W822" s="106"/>
      <c r="X822" s="106" t="s">
        <v>516</v>
      </c>
      <c r="Y822" s="26" t="s">
        <v>76</v>
      </c>
      <c r="Z822" s="93" t="s">
        <v>93</v>
      </c>
      <c r="AA822" s="30" t="s">
        <v>76</v>
      </c>
    </row>
    <row r="823" spans="1:28" ht="49.5" hidden="1">
      <c r="A823" s="88">
        <v>813</v>
      </c>
      <c r="B823" s="79" t="s">
        <v>3884</v>
      </c>
      <c r="C823" s="148" t="s">
        <v>8</v>
      </c>
      <c r="D823" s="80" t="s">
        <v>63</v>
      </c>
      <c r="E823" s="27" t="s">
        <v>3885</v>
      </c>
      <c r="F823" s="80" t="s">
        <v>65</v>
      </c>
      <c r="G823" s="81" t="s">
        <v>2474</v>
      </c>
      <c r="H823" s="80" t="s">
        <v>3886</v>
      </c>
      <c r="I823" s="92">
        <v>45673</v>
      </c>
      <c r="J823" s="80" t="s">
        <v>3565</v>
      </c>
      <c r="K823" s="80" t="s">
        <v>299</v>
      </c>
      <c r="L823" s="84" t="s">
        <v>189</v>
      </c>
      <c r="M823" s="84" t="s">
        <v>601</v>
      </c>
      <c r="N823" s="84" t="s">
        <v>72</v>
      </c>
      <c r="O823" s="28" t="s">
        <v>3887</v>
      </c>
      <c r="P823" s="149" t="s">
        <v>3888</v>
      </c>
      <c r="Q823" s="49" t="s">
        <v>75</v>
      </c>
      <c r="R823" s="25" t="s">
        <v>91</v>
      </c>
      <c r="S823" s="26">
        <v>21</v>
      </c>
      <c r="T823" s="26">
        <v>70</v>
      </c>
      <c r="U823" s="28" t="s">
        <v>3889</v>
      </c>
      <c r="V823" s="66"/>
      <c r="W823" s="106"/>
      <c r="X823" s="106" t="s">
        <v>516</v>
      </c>
      <c r="Y823" s="26" t="s">
        <v>76</v>
      </c>
      <c r="Z823" s="93" t="s">
        <v>106</v>
      </c>
      <c r="AA823" s="30" t="s">
        <v>76</v>
      </c>
    </row>
    <row r="824" spans="1:28" ht="49.5" hidden="1">
      <c r="A824" s="88">
        <v>814</v>
      </c>
      <c r="B824" s="79" t="s">
        <v>3890</v>
      </c>
      <c r="C824" s="148" t="s">
        <v>8</v>
      </c>
      <c r="D824" s="80" t="s">
        <v>63</v>
      </c>
      <c r="E824" s="27" t="s">
        <v>3891</v>
      </c>
      <c r="F824" s="80" t="s">
        <v>284</v>
      </c>
      <c r="G824" s="81" t="s">
        <v>2076</v>
      </c>
      <c r="H824" s="80" t="s">
        <v>3892</v>
      </c>
      <c r="I824" s="92">
        <v>45673</v>
      </c>
      <c r="J824" s="80" t="s">
        <v>3565</v>
      </c>
      <c r="K824" s="80" t="s">
        <v>299</v>
      </c>
      <c r="L824" s="84" t="s">
        <v>189</v>
      </c>
      <c r="M824" s="84" t="s">
        <v>252</v>
      </c>
      <c r="N824" s="84" t="s">
        <v>72</v>
      </c>
      <c r="O824" s="28" t="s">
        <v>3893</v>
      </c>
      <c r="P824" s="149" t="s">
        <v>3894</v>
      </c>
      <c r="Q824" s="49" t="s">
        <v>75</v>
      </c>
      <c r="R824" s="25" t="s">
        <v>91</v>
      </c>
      <c r="S824" s="26">
        <v>18</v>
      </c>
      <c r="T824" s="26">
        <v>59</v>
      </c>
      <c r="U824" s="28" t="s">
        <v>3895</v>
      </c>
      <c r="V824" s="66"/>
      <c r="W824" s="106"/>
      <c r="X824" s="106" t="s">
        <v>516</v>
      </c>
      <c r="Y824" s="26" t="s">
        <v>76</v>
      </c>
      <c r="Z824" s="93" t="s">
        <v>93</v>
      </c>
      <c r="AA824" s="30" t="s">
        <v>76</v>
      </c>
    </row>
    <row r="825" spans="1:28" ht="66" hidden="1">
      <c r="A825" s="88">
        <v>815</v>
      </c>
      <c r="B825" s="79" t="s">
        <v>3896</v>
      </c>
      <c r="C825" s="148" t="s">
        <v>8</v>
      </c>
      <c r="D825" s="80" t="s">
        <v>63</v>
      </c>
      <c r="E825" s="27" t="s">
        <v>3166</v>
      </c>
      <c r="F825" s="80" t="s">
        <v>65</v>
      </c>
      <c r="G825" s="81" t="s">
        <v>1701</v>
      </c>
      <c r="H825" s="80" t="s">
        <v>3167</v>
      </c>
      <c r="I825" s="92">
        <v>45673</v>
      </c>
      <c r="J825" s="80" t="s">
        <v>3543</v>
      </c>
      <c r="K825" s="80" t="s">
        <v>299</v>
      </c>
      <c r="L825" s="84" t="s">
        <v>113</v>
      </c>
      <c r="M825" s="84" t="s">
        <v>114</v>
      </c>
      <c r="N825" s="84" t="s">
        <v>72</v>
      </c>
      <c r="O825" s="28" t="s">
        <v>3897</v>
      </c>
      <c r="P825" s="149" t="s">
        <v>3898</v>
      </c>
      <c r="Q825" s="49" t="s">
        <v>91</v>
      </c>
      <c r="R825" s="25"/>
      <c r="S825" s="26">
        <v>10</v>
      </c>
      <c r="T825" s="26"/>
      <c r="U825" s="28" t="s">
        <v>3899</v>
      </c>
      <c r="V825" s="66"/>
      <c r="W825" s="106"/>
      <c r="X825" s="106" t="s">
        <v>76</v>
      </c>
      <c r="Y825" s="26" t="s">
        <v>76</v>
      </c>
      <c r="Z825" s="75" t="s">
        <v>193</v>
      </c>
      <c r="AA825" s="30" t="s">
        <v>76</v>
      </c>
      <c r="AB825" s="25" t="s">
        <v>75</v>
      </c>
    </row>
    <row r="826" spans="1:28" ht="82.5" hidden="1">
      <c r="A826" s="88">
        <v>816</v>
      </c>
      <c r="B826" s="79" t="s">
        <v>3900</v>
      </c>
      <c r="C826" s="148" t="s">
        <v>8</v>
      </c>
      <c r="D826" s="80" t="s">
        <v>63</v>
      </c>
      <c r="E826" s="27" t="s">
        <v>3589</v>
      </c>
      <c r="F826" s="80" t="s">
        <v>109</v>
      </c>
      <c r="G826" s="81" t="s">
        <v>995</v>
      </c>
      <c r="H826" s="80" t="s">
        <v>3590</v>
      </c>
      <c r="I826" s="92">
        <v>45675</v>
      </c>
      <c r="J826" s="80" t="s">
        <v>3505</v>
      </c>
      <c r="K826" s="80" t="s">
        <v>69</v>
      </c>
      <c r="L826" s="84" t="s">
        <v>251</v>
      </c>
      <c r="M826" s="84" t="s">
        <v>252</v>
      </c>
      <c r="N826" s="84" t="s">
        <v>253</v>
      </c>
      <c r="O826" s="28" t="s">
        <v>3901</v>
      </c>
      <c r="P826" s="149" t="s">
        <v>3902</v>
      </c>
      <c r="Q826" s="49" t="s">
        <v>75</v>
      </c>
      <c r="R826" s="25" t="s">
        <v>91</v>
      </c>
      <c r="S826" s="26">
        <v>26</v>
      </c>
      <c r="T826" s="26" t="s">
        <v>313</v>
      </c>
      <c r="U826" s="28" t="s">
        <v>3903</v>
      </c>
      <c r="V826" s="66"/>
      <c r="W826" s="106"/>
      <c r="X826" s="106" t="s">
        <v>516</v>
      </c>
      <c r="Y826" s="26" t="s">
        <v>76</v>
      </c>
      <c r="Z826" s="75" t="s">
        <v>93</v>
      </c>
      <c r="AA826" s="30" t="s">
        <v>76</v>
      </c>
    </row>
    <row r="827" spans="1:28" ht="66" hidden="1">
      <c r="A827" s="88">
        <v>817</v>
      </c>
      <c r="B827" s="79" t="s">
        <v>3904</v>
      </c>
      <c r="C827" s="148" t="s">
        <v>8</v>
      </c>
      <c r="D827" s="80" t="s">
        <v>63</v>
      </c>
      <c r="E827" s="27" t="s">
        <v>3362</v>
      </c>
      <c r="F827" s="80" t="s">
        <v>338</v>
      </c>
      <c r="G827" s="81" t="s">
        <v>995</v>
      </c>
      <c r="H827" s="80" t="s">
        <v>3363</v>
      </c>
      <c r="I827" s="92">
        <v>45675</v>
      </c>
      <c r="J827" s="80" t="s">
        <v>525</v>
      </c>
      <c r="K827" s="80" t="s">
        <v>146</v>
      </c>
      <c r="L827" s="84" t="s">
        <v>189</v>
      </c>
      <c r="M827" s="84" t="s">
        <v>148</v>
      </c>
      <c r="N827" s="84" t="s">
        <v>72</v>
      </c>
      <c r="O827" s="28" t="s">
        <v>3905</v>
      </c>
      <c r="P827" s="149" t="s">
        <v>3906</v>
      </c>
      <c r="Q827" s="49" t="s">
        <v>75</v>
      </c>
      <c r="R827" s="25" t="s">
        <v>91</v>
      </c>
      <c r="S827" s="26">
        <v>18</v>
      </c>
      <c r="T827" s="26">
        <v>60</v>
      </c>
      <c r="U827" s="28" t="s">
        <v>3907</v>
      </c>
      <c r="V827" s="66"/>
      <c r="W827" s="106"/>
      <c r="X827" s="106" t="s">
        <v>516</v>
      </c>
      <c r="Y827" s="26" t="s">
        <v>76</v>
      </c>
      <c r="Z827" s="75" t="s">
        <v>93</v>
      </c>
      <c r="AA827" s="30" t="s">
        <v>76</v>
      </c>
    </row>
    <row r="828" spans="1:28" ht="82.5" hidden="1">
      <c r="A828" s="88">
        <v>818</v>
      </c>
      <c r="B828" s="79" t="s">
        <v>3908</v>
      </c>
      <c r="C828" s="148" t="s">
        <v>8</v>
      </c>
      <c r="D828" s="80" t="s">
        <v>63</v>
      </c>
      <c r="E828" s="27" t="s">
        <v>2631</v>
      </c>
      <c r="F828" s="80" t="s">
        <v>109</v>
      </c>
      <c r="G828" s="81" t="s">
        <v>995</v>
      </c>
      <c r="H828" s="80" t="s">
        <v>2632</v>
      </c>
      <c r="I828" s="92">
        <v>45678</v>
      </c>
      <c r="J828" s="80" t="s">
        <v>3500</v>
      </c>
      <c r="K828" s="80" t="s">
        <v>198</v>
      </c>
      <c r="L828" s="84" t="s">
        <v>199</v>
      </c>
      <c r="M828" s="84" t="s">
        <v>221</v>
      </c>
      <c r="N828" s="84" t="s">
        <v>72</v>
      </c>
      <c r="O828" s="28" t="s">
        <v>3909</v>
      </c>
      <c r="P828" s="149" t="s">
        <v>3910</v>
      </c>
      <c r="Q828" s="49" t="s">
        <v>91</v>
      </c>
      <c r="R828" s="25"/>
      <c r="S828" s="26">
        <v>12</v>
      </c>
      <c r="T828" s="26"/>
      <c r="U828" s="28" t="s">
        <v>3911</v>
      </c>
      <c r="V828" s="66"/>
      <c r="W828" s="106"/>
      <c r="X828" s="106" t="s">
        <v>76</v>
      </c>
      <c r="Y828" s="26" t="s">
        <v>76</v>
      </c>
      <c r="Z828" s="75" t="s">
        <v>193</v>
      </c>
      <c r="AA828" s="30" t="s">
        <v>76</v>
      </c>
    </row>
    <row r="829" spans="1:28" ht="82.5" hidden="1">
      <c r="A829" s="88">
        <v>819</v>
      </c>
      <c r="B829" s="79" t="s">
        <v>3912</v>
      </c>
      <c r="C829" s="148" t="s">
        <v>8</v>
      </c>
      <c r="D829" s="80" t="s">
        <v>63</v>
      </c>
      <c r="E829" s="27" t="s">
        <v>2761</v>
      </c>
      <c r="F829" s="80" t="s">
        <v>284</v>
      </c>
      <c r="G829" s="81" t="s">
        <v>2762</v>
      </c>
      <c r="H829" s="80" t="s">
        <v>2763</v>
      </c>
      <c r="I829" s="92">
        <v>45678</v>
      </c>
      <c r="J829" s="80" t="s">
        <v>3505</v>
      </c>
      <c r="K829" s="80" t="s">
        <v>69</v>
      </c>
      <c r="L829" s="84" t="s">
        <v>100</v>
      </c>
      <c r="M829" s="84" t="s">
        <v>601</v>
      </c>
      <c r="N829" s="84" t="s">
        <v>72</v>
      </c>
      <c r="O829" s="28" t="s">
        <v>3913</v>
      </c>
      <c r="P829" s="149" t="s">
        <v>3914</v>
      </c>
      <c r="Q829" s="49" t="s">
        <v>75</v>
      </c>
      <c r="R829" s="25" t="s">
        <v>91</v>
      </c>
      <c r="S829" s="26">
        <v>19</v>
      </c>
      <c r="T829" s="26">
        <v>59</v>
      </c>
      <c r="U829" s="28" t="s">
        <v>3915</v>
      </c>
      <c r="V829" s="66"/>
      <c r="W829" s="106"/>
      <c r="X829" s="106" t="s">
        <v>516</v>
      </c>
      <c r="Y829" s="26" t="s">
        <v>76</v>
      </c>
      <c r="Z829" s="75" t="s">
        <v>93</v>
      </c>
      <c r="AA829" s="30" t="s">
        <v>76</v>
      </c>
    </row>
    <row r="830" spans="1:28" ht="33" hidden="1">
      <c r="A830" s="88">
        <v>820</v>
      </c>
      <c r="B830" s="79" t="s">
        <v>3916</v>
      </c>
      <c r="C830" s="148" t="s">
        <v>8</v>
      </c>
      <c r="D830" s="80" t="s">
        <v>83</v>
      </c>
      <c r="E830" s="27" t="s">
        <v>588</v>
      </c>
      <c r="F830" s="80" t="s">
        <v>109</v>
      </c>
      <c r="G830" s="81" t="s">
        <v>589</v>
      </c>
      <c r="H830" s="80" t="s">
        <v>590</v>
      </c>
      <c r="I830" s="92">
        <v>45678</v>
      </c>
      <c r="J830" s="80" t="s">
        <v>3505</v>
      </c>
      <c r="K830" s="80" t="s">
        <v>69</v>
      </c>
      <c r="L830" s="84" t="s">
        <v>100</v>
      </c>
      <c r="M830" s="84" t="s">
        <v>252</v>
      </c>
      <c r="N830" s="84" t="s">
        <v>1080</v>
      </c>
      <c r="O830" s="28" t="s">
        <v>3917</v>
      </c>
      <c r="P830" s="149" t="s">
        <v>3918</v>
      </c>
      <c r="Q830" s="49" t="s">
        <v>91</v>
      </c>
      <c r="R830" s="25"/>
      <c r="S830" s="26">
        <v>14</v>
      </c>
      <c r="T830" s="26"/>
      <c r="U830" s="28" t="s">
        <v>3919</v>
      </c>
      <c r="V830" s="66"/>
      <c r="W830" s="106"/>
      <c r="X830" s="106" t="s">
        <v>76</v>
      </c>
      <c r="Y830" s="26" t="s">
        <v>76</v>
      </c>
      <c r="Z830" s="75" t="s">
        <v>193</v>
      </c>
      <c r="AA830" s="30" t="s">
        <v>76</v>
      </c>
    </row>
    <row r="831" spans="1:28" ht="66" hidden="1">
      <c r="A831" s="88">
        <v>821</v>
      </c>
      <c r="B831" s="79" t="s">
        <v>3920</v>
      </c>
      <c r="C831" s="148" t="s">
        <v>8</v>
      </c>
      <c r="D831" s="80" t="s">
        <v>63</v>
      </c>
      <c r="E831" s="27" t="s">
        <v>2790</v>
      </c>
      <c r="F831" s="80" t="s">
        <v>338</v>
      </c>
      <c r="G831" s="81" t="s">
        <v>995</v>
      </c>
      <c r="H831" s="80" t="s">
        <v>2791</v>
      </c>
      <c r="I831" s="92">
        <v>45678</v>
      </c>
      <c r="J831" s="80" t="s">
        <v>170</v>
      </c>
      <c r="K831" s="80" t="s">
        <v>156</v>
      </c>
      <c r="L831" s="84" t="s">
        <v>171</v>
      </c>
      <c r="M831" s="84" t="s">
        <v>71</v>
      </c>
      <c r="N831" s="84" t="s">
        <v>72</v>
      </c>
      <c r="O831" s="28" t="s">
        <v>3921</v>
      </c>
      <c r="P831" s="149" t="s">
        <v>3922</v>
      </c>
      <c r="Q831" s="49" t="s">
        <v>75</v>
      </c>
      <c r="R831" s="25" t="s">
        <v>91</v>
      </c>
      <c r="S831" s="26">
        <v>18</v>
      </c>
      <c r="T831" s="26">
        <v>66</v>
      </c>
      <c r="U831" s="28" t="s">
        <v>3923</v>
      </c>
      <c r="V831" s="66"/>
      <c r="W831" s="106"/>
      <c r="X831" s="106" t="s">
        <v>516</v>
      </c>
      <c r="Y831" s="26" t="s">
        <v>76</v>
      </c>
      <c r="Z831" s="75" t="s">
        <v>93</v>
      </c>
      <c r="AA831" s="30" t="s">
        <v>76</v>
      </c>
    </row>
    <row r="832" spans="1:28" ht="132" hidden="1">
      <c r="A832" s="88">
        <v>822</v>
      </c>
      <c r="B832" s="79" t="s">
        <v>3924</v>
      </c>
      <c r="C832" s="148" t="s">
        <v>8</v>
      </c>
      <c r="D832" s="80" t="s">
        <v>63</v>
      </c>
      <c r="E832" s="27" t="s">
        <v>3395</v>
      </c>
      <c r="F832" s="80" t="s">
        <v>109</v>
      </c>
      <c r="G832" s="81" t="s">
        <v>154</v>
      </c>
      <c r="H832" s="80" t="s">
        <v>3396</v>
      </c>
      <c r="I832" s="92">
        <v>45678</v>
      </c>
      <c r="J832" s="80" t="s">
        <v>3505</v>
      </c>
      <c r="K832" s="80" t="s">
        <v>69</v>
      </c>
      <c r="L832" s="84" t="s">
        <v>100</v>
      </c>
      <c r="M832" s="84" t="s">
        <v>595</v>
      </c>
      <c r="N832" s="84" t="s">
        <v>72</v>
      </c>
      <c r="O832" s="28" t="s">
        <v>3925</v>
      </c>
      <c r="P832" s="149" t="s">
        <v>3926</v>
      </c>
      <c r="Q832" s="49" t="s">
        <v>75</v>
      </c>
      <c r="R832" s="25" t="s">
        <v>91</v>
      </c>
      <c r="S832" s="26">
        <v>21</v>
      </c>
      <c r="T832" s="26">
        <v>67</v>
      </c>
      <c r="U832" s="28" t="s">
        <v>3927</v>
      </c>
      <c r="V832" s="66"/>
      <c r="W832" s="106"/>
      <c r="X832" s="106" t="s">
        <v>516</v>
      </c>
      <c r="Y832" s="26" t="s">
        <v>76</v>
      </c>
      <c r="Z832" s="75" t="s">
        <v>106</v>
      </c>
      <c r="AA832" s="30" t="s">
        <v>76</v>
      </c>
    </row>
    <row r="833" spans="1:28" ht="82.5" hidden="1">
      <c r="A833" s="88">
        <v>823</v>
      </c>
      <c r="B833" s="79" t="s">
        <v>3928</v>
      </c>
      <c r="C833" s="148" t="s">
        <v>8</v>
      </c>
      <c r="D833" s="80" t="s">
        <v>63</v>
      </c>
      <c r="E833" s="27" t="s">
        <v>3929</v>
      </c>
      <c r="F833" s="80" t="s">
        <v>120</v>
      </c>
      <c r="G833" s="81" t="s">
        <v>1132</v>
      </c>
      <c r="H833" s="80" t="s">
        <v>3930</v>
      </c>
      <c r="I833" s="92">
        <v>45678</v>
      </c>
      <c r="J833" s="80" t="s">
        <v>3500</v>
      </c>
      <c r="K833" s="80" t="s">
        <v>198</v>
      </c>
      <c r="L833" s="84" t="s">
        <v>199</v>
      </c>
      <c r="M833" s="84" t="s">
        <v>221</v>
      </c>
      <c r="N833" s="84" t="s">
        <v>72</v>
      </c>
      <c r="O833" s="28" t="s">
        <v>3931</v>
      </c>
      <c r="P833" s="149" t="s">
        <v>3932</v>
      </c>
      <c r="Q833" s="49" t="s">
        <v>75</v>
      </c>
      <c r="R833" s="25" t="s">
        <v>91</v>
      </c>
      <c r="S833" s="26">
        <v>18</v>
      </c>
      <c r="T833" s="26">
        <v>59</v>
      </c>
      <c r="U833" s="28" t="s">
        <v>3933</v>
      </c>
      <c r="V833" s="66"/>
      <c r="W833" s="106"/>
      <c r="X833" s="106" t="s">
        <v>516</v>
      </c>
      <c r="Y833" s="106" t="s">
        <v>76</v>
      </c>
      <c r="Z833" s="75" t="s">
        <v>93</v>
      </c>
      <c r="AA833" s="30" t="s">
        <v>76</v>
      </c>
    </row>
    <row r="834" spans="1:28" ht="82.5" hidden="1">
      <c r="A834" s="88">
        <v>824</v>
      </c>
      <c r="B834" s="79" t="s">
        <v>3934</v>
      </c>
      <c r="C834" s="148" t="s">
        <v>8</v>
      </c>
      <c r="D834" s="80" t="s">
        <v>63</v>
      </c>
      <c r="E834" s="27" t="s">
        <v>2613</v>
      </c>
      <c r="F834" s="80" t="s">
        <v>109</v>
      </c>
      <c r="G834" s="81" t="s">
        <v>995</v>
      </c>
      <c r="H834" s="80" t="s">
        <v>2614</v>
      </c>
      <c r="I834" s="92">
        <v>45679</v>
      </c>
      <c r="J834" s="80" t="s">
        <v>3565</v>
      </c>
      <c r="K834" s="80" t="s">
        <v>299</v>
      </c>
      <c r="L834" s="84" t="s">
        <v>189</v>
      </c>
      <c r="M834" s="84" t="s">
        <v>252</v>
      </c>
      <c r="N834" s="84" t="s">
        <v>72</v>
      </c>
      <c r="O834" s="28" t="s">
        <v>3935</v>
      </c>
      <c r="P834" s="149" t="s">
        <v>3936</v>
      </c>
      <c r="Q834" s="49" t="s">
        <v>75</v>
      </c>
      <c r="R834" s="196" t="s">
        <v>91</v>
      </c>
      <c r="S834" s="26">
        <v>20</v>
      </c>
      <c r="T834" s="198" t="s">
        <v>313</v>
      </c>
      <c r="U834" s="28" t="s">
        <v>3937</v>
      </c>
      <c r="V834" s="66"/>
      <c r="W834" s="106"/>
      <c r="X834" s="106" t="s">
        <v>516</v>
      </c>
      <c r="Y834" s="26" t="s">
        <v>76</v>
      </c>
      <c r="Z834" s="93" t="s">
        <v>106</v>
      </c>
      <c r="AA834" s="30" t="s">
        <v>76</v>
      </c>
    </row>
    <row r="835" spans="1:28" ht="33" hidden="1">
      <c r="A835" s="88">
        <v>825</v>
      </c>
      <c r="B835" s="79" t="s">
        <v>3938</v>
      </c>
      <c r="C835" s="148" t="s">
        <v>9</v>
      </c>
      <c r="D835" s="80" t="s">
        <v>83</v>
      </c>
      <c r="E835" s="27" t="s">
        <v>3939</v>
      </c>
      <c r="F835" s="80" t="s">
        <v>338</v>
      </c>
      <c r="G835" s="81" t="s">
        <v>1286</v>
      </c>
      <c r="H835" s="80" t="s">
        <v>3940</v>
      </c>
      <c r="I835" s="92">
        <v>45679</v>
      </c>
      <c r="J835" s="80" t="s">
        <v>3941</v>
      </c>
      <c r="K835" s="80" t="s">
        <v>112</v>
      </c>
      <c r="L835" s="84" t="s">
        <v>122</v>
      </c>
      <c r="M835" s="84" t="s">
        <v>784</v>
      </c>
      <c r="N835" s="84" t="s">
        <v>72</v>
      </c>
      <c r="O835" s="28" t="s">
        <v>3942</v>
      </c>
      <c r="P835" s="149" t="s">
        <v>3943</v>
      </c>
      <c r="Q835" s="49" t="s">
        <v>75</v>
      </c>
      <c r="R835" s="25" t="s">
        <v>75</v>
      </c>
      <c r="S835" s="26">
        <v>24</v>
      </c>
      <c r="T835" s="26">
        <v>79</v>
      </c>
      <c r="U835" s="28" t="s">
        <v>3944</v>
      </c>
      <c r="V835" s="66"/>
      <c r="W835" s="106" t="s">
        <v>305</v>
      </c>
      <c r="X835" s="106" t="s">
        <v>516</v>
      </c>
      <c r="Y835" s="26" t="s">
        <v>76</v>
      </c>
      <c r="Z835" s="75" t="s">
        <v>106</v>
      </c>
      <c r="AA835" s="30" t="s">
        <v>76</v>
      </c>
    </row>
    <row r="836" spans="1:28" ht="99" hidden="1">
      <c r="A836" s="88">
        <v>826</v>
      </c>
      <c r="B836" s="79" t="s">
        <v>3945</v>
      </c>
      <c r="C836" s="148" t="s">
        <v>8</v>
      </c>
      <c r="D836" s="80" t="s">
        <v>63</v>
      </c>
      <c r="E836" s="27" t="s">
        <v>3946</v>
      </c>
      <c r="F836" s="80" t="s">
        <v>284</v>
      </c>
      <c r="G836" s="81" t="s">
        <v>2762</v>
      </c>
      <c r="H836" s="80" t="s">
        <v>3947</v>
      </c>
      <c r="I836" s="92">
        <v>45679</v>
      </c>
      <c r="J836" s="80" t="s">
        <v>3526</v>
      </c>
      <c r="K836" s="80" t="s">
        <v>299</v>
      </c>
      <c r="L836" s="84" t="s">
        <v>189</v>
      </c>
      <c r="M836" s="84" t="s">
        <v>114</v>
      </c>
      <c r="N836" s="84" t="s">
        <v>72</v>
      </c>
      <c r="O836" s="28" t="s">
        <v>3948</v>
      </c>
      <c r="P836" s="149" t="s">
        <v>3949</v>
      </c>
      <c r="Q836" s="49" t="s">
        <v>75</v>
      </c>
      <c r="R836" s="25" t="s">
        <v>91</v>
      </c>
      <c r="S836" s="26">
        <v>20</v>
      </c>
      <c r="T836" s="26">
        <v>69</v>
      </c>
      <c r="U836" s="28" t="s">
        <v>3950</v>
      </c>
      <c r="V836" s="66"/>
      <c r="W836" s="106"/>
      <c r="X836" s="106" t="s">
        <v>516</v>
      </c>
      <c r="Y836" s="26" t="s">
        <v>76</v>
      </c>
      <c r="Z836" s="93" t="s">
        <v>93</v>
      </c>
      <c r="AA836" s="30" t="s">
        <v>76</v>
      </c>
    </row>
    <row r="837" spans="1:28" ht="132" hidden="1">
      <c r="A837" s="88">
        <v>827</v>
      </c>
      <c r="B837" s="79" t="s">
        <v>3951</v>
      </c>
      <c r="C837" s="148" t="s">
        <v>8</v>
      </c>
      <c r="D837" s="80" t="s">
        <v>63</v>
      </c>
      <c r="E837" s="27" t="s">
        <v>2761</v>
      </c>
      <c r="F837" s="80" t="s">
        <v>284</v>
      </c>
      <c r="G837" s="81" t="s">
        <v>2762</v>
      </c>
      <c r="H837" s="80" t="s">
        <v>2763</v>
      </c>
      <c r="I837" s="92">
        <v>45679</v>
      </c>
      <c r="J837" s="80" t="s">
        <v>3505</v>
      </c>
      <c r="K837" s="80" t="s">
        <v>69</v>
      </c>
      <c r="L837" s="84" t="s">
        <v>100</v>
      </c>
      <c r="M837" s="84" t="s">
        <v>252</v>
      </c>
      <c r="N837" s="84" t="s">
        <v>72</v>
      </c>
      <c r="O837" s="28" t="s">
        <v>3952</v>
      </c>
      <c r="P837" s="149" t="s">
        <v>3953</v>
      </c>
      <c r="Q837" s="49" t="s">
        <v>75</v>
      </c>
      <c r="R837" s="25" t="s">
        <v>91</v>
      </c>
      <c r="S837" s="26">
        <v>20</v>
      </c>
      <c r="T837" s="26">
        <v>60</v>
      </c>
      <c r="U837" s="28" t="s">
        <v>3954</v>
      </c>
      <c r="V837" s="66"/>
      <c r="W837" s="106"/>
      <c r="X837" s="106" t="s">
        <v>516</v>
      </c>
      <c r="Y837" s="26" t="s">
        <v>76</v>
      </c>
      <c r="Z837" s="75" t="s">
        <v>93</v>
      </c>
      <c r="AA837" s="30" t="s">
        <v>76</v>
      </c>
    </row>
    <row r="838" spans="1:28" ht="109.5" hidden="1" customHeight="1">
      <c r="A838" s="88">
        <v>828</v>
      </c>
      <c r="B838" s="79" t="s">
        <v>3955</v>
      </c>
      <c r="C838" s="148" t="s">
        <v>10</v>
      </c>
      <c r="D838" s="80" t="s">
        <v>63</v>
      </c>
      <c r="E838" s="27" t="s">
        <v>3854</v>
      </c>
      <c r="F838" s="80" t="s">
        <v>120</v>
      </c>
      <c r="G838" s="81" t="s">
        <v>3855</v>
      </c>
      <c r="H838" s="80" t="s">
        <v>3856</v>
      </c>
      <c r="I838" s="92">
        <v>45679</v>
      </c>
      <c r="J838" s="80" t="s">
        <v>145</v>
      </c>
      <c r="K838" s="80" t="s">
        <v>299</v>
      </c>
      <c r="L838" s="84" t="s">
        <v>147</v>
      </c>
      <c r="M838" s="84" t="s">
        <v>148</v>
      </c>
      <c r="N838" s="84" t="s">
        <v>72</v>
      </c>
      <c r="O838" s="307" t="s">
        <v>3956</v>
      </c>
      <c r="P838" s="149" t="s">
        <v>3957</v>
      </c>
      <c r="Q838" s="49" t="s">
        <v>75</v>
      </c>
      <c r="R838" s="196" t="s">
        <v>91</v>
      </c>
      <c r="S838" s="26">
        <v>24</v>
      </c>
      <c r="T838" s="26"/>
      <c r="U838" s="28" t="s">
        <v>3958</v>
      </c>
      <c r="V838" s="66"/>
      <c r="W838" s="106"/>
      <c r="X838" s="106" t="s">
        <v>516</v>
      </c>
      <c r="Y838" s="26" t="s">
        <v>76</v>
      </c>
      <c r="Z838" s="75" t="s">
        <v>106</v>
      </c>
      <c r="AA838" s="30" t="s">
        <v>76</v>
      </c>
    </row>
    <row r="839" spans="1:28" ht="33" hidden="1">
      <c r="A839" s="88">
        <v>829</v>
      </c>
      <c r="B839" s="79" t="s">
        <v>3959</v>
      </c>
      <c r="C839" s="148" t="s">
        <v>8</v>
      </c>
      <c r="D839" s="80" t="s">
        <v>63</v>
      </c>
      <c r="E839" s="27" t="s">
        <v>3555</v>
      </c>
      <c r="F839" s="80" t="s">
        <v>65</v>
      </c>
      <c r="G839" s="81" t="s">
        <v>2762</v>
      </c>
      <c r="H839" s="80" t="s">
        <v>3556</v>
      </c>
      <c r="I839" s="92">
        <v>45679</v>
      </c>
      <c r="J839" s="80" t="s">
        <v>3505</v>
      </c>
      <c r="K839" s="80" t="s">
        <v>69</v>
      </c>
      <c r="L839" s="84" t="s">
        <v>100</v>
      </c>
      <c r="M839" s="84" t="s">
        <v>252</v>
      </c>
      <c r="N839" s="84" t="s">
        <v>253</v>
      </c>
      <c r="O839" s="28" t="s">
        <v>3960</v>
      </c>
      <c r="P839" s="149" t="s">
        <v>3961</v>
      </c>
      <c r="Q839" s="49" t="s">
        <v>91</v>
      </c>
      <c r="R839" s="25"/>
      <c r="S839" s="26">
        <v>16</v>
      </c>
      <c r="T839" s="26"/>
      <c r="U839" s="28" t="s">
        <v>3954</v>
      </c>
      <c r="V839" s="66"/>
      <c r="W839" s="106"/>
      <c r="X839" s="106" t="s">
        <v>76</v>
      </c>
      <c r="Y839" s="26" t="s">
        <v>76</v>
      </c>
      <c r="Z839" s="75" t="s">
        <v>193</v>
      </c>
      <c r="AA839" s="30" t="s">
        <v>76</v>
      </c>
    </row>
    <row r="840" spans="1:28" ht="180.75" hidden="1">
      <c r="A840" s="88">
        <v>830</v>
      </c>
      <c r="B840" s="79" t="s">
        <v>3962</v>
      </c>
      <c r="C840" s="148" t="s">
        <v>8</v>
      </c>
      <c r="D840" s="80" t="s">
        <v>63</v>
      </c>
      <c r="E840" s="27" t="s">
        <v>3579</v>
      </c>
      <c r="F840" s="80" t="s">
        <v>284</v>
      </c>
      <c r="G840" s="81" t="s">
        <v>2762</v>
      </c>
      <c r="H840" s="80" t="s">
        <v>3580</v>
      </c>
      <c r="I840" s="92">
        <v>45679</v>
      </c>
      <c r="J840" s="80" t="s">
        <v>3505</v>
      </c>
      <c r="K840" s="80" t="s">
        <v>69</v>
      </c>
      <c r="L840" s="84" t="s">
        <v>100</v>
      </c>
      <c r="M840" s="84" t="s">
        <v>252</v>
      </c>
      <c r="N840" s="84" t="s">
        <v>72</v>
      </c>
      <c r="O840" s="28" t="s">
        <v>3963</v>
      </c>
      <c r="P840" s="149" t="s">
        <v>3964</v>
      </c>
      <c r="Q840" s="49" t="s">
        <v>91</v>
      </c>
      <c r="R840" s="25"/>
      <c r="S840" s="26">
        <v>12</v>
      </c>
      <c r="T840" s="26"/>
      <c r="U840" s="28" t="s">
        <v>3965</v>
      </c>
      <c r="V840" s="66"/>
      <c r="W840" s="106"/>
      <c r="X840" s="106" t="s">
        <v>76</v>
      </c>
      <c r="Y840" s="26" t="s">
        <v>76</v>
      </c>
      <c r="Z840" s="75" t="s">
        <v>193</v>
      </c>
      <c r="AA840" s="30" t="s">
        <v>76</v>
      </c>
    </row>
    <row r="841" spans="1:28" ht="378.75" hidden="1">
      <c r="A841" s="88">
        <v>831</v>
      </c>
      <c r="B841" s="79" t="s">
        <v>3966</v>
      </c>
      <c r="C841" s="148" t="s">
        <v>8</v>
      </c>
      <c r="D841" s="80" t="s">
        <v>63</v>
      </c>
      <c r="E841" s="27" t="s">
        <v>2177</v>
      </c>
      <c r="F841" s="80" t="s">
        <v>65</v>
      </c>
      <c r="G841" s="81" t="s">
        <v>1419</v>
      </c>
      <c r="H841" s="80" t="s">
        <v>2178</v>
      </c>
      <c r="I841" s="92">
        <v>45680</v>
      </c>
      <c r="J841" s="80" t="s">
        <v>3500</v>
      </c>
      <c r="K841" s="80" t="s">
        <v>198</v>
      </c>
      <c r="L841" s="84" t="s">
        <v>199</v>
      </c>
      <c r="M841" s="84" t="s">
        <v>221</v>
      </c>
      <c r="N841" s="84" t="s">
        <v>72</v>
      </c>
      <c r="O841" s="28" t="s">
        <v>3967</v>
      </c>
      <c r="P841" s="149" t="s">
        <v>3968</v>
      </c>
      <c r="Q841" s="49" t="s">
        <v>75</v>
      </c>
      <c r="R841" s="181" t="s">
        <v>91</v>
      </c>
      <c r="S841" s="26">
        <v>18</v>
      </c>
      <c r="T841" s="26"/>
      <c r="U841" s="28" t="s">
        <v>3969</v>
      </c>
      <c r="V841" s="66"/>
      <c r="W841" s="106"/>
      <c r="X841" s="106" t="s">
        <v>516</v>
      </c>
      <c r="Y841" s="106" t="s">
        <v>76</v>
      </c>
      <c r="Z841" s="75" t="s">
        <v>106</v>
      </c>
      <c r="AA841" s="30" t="s">
        <v>76</v>
      </c>
    </row>
    <row r="842" spans="1:28" ht="82.5" hidden="1">
      <c r="A842" s="88">
        <v>832</v>
      </c>
      <c r="B842" s="79" t="s">
        <v>3970</v>
      </c>
      <c r="C842" s="148" t="s">
        <v>8</v>
      </c>
      <c r="D842" s="80" t="s">
        <v>63</v>
      </c>
      <c r="E842" s="27" t="s">
        <v>2527</v>
      </c>
      <c r="F842" s="80" t="s">
        <v>65</v>
      </c>
      <c r="G842" s="81" t="s">
        <v>1701</v>
      </c>
      <c r="H842" s="80" t="s">
        <v>2528</v>
      </c>
      <c r="I842" s="92">
        <v>45680</v>
      </c>
      <c r="J842" s="80" t="s">
        <v>3512</v>
      </c>
      <c r="K842" s="80" t="s">
        <v>198</v>
      </c>
      <c r="L842" s="84" t="s">
        <v>189</v>
      </c>
      <c r="M842" s="84" t="s">
        <v>221</v>
      </c>
      <c r="N842" s="84" t="s">
        <v>72</v>
      </c>
      <c r="O842" s="28" t="s">
        <v>3971</v>
      </c>
      <c r="P842" s="149" t="s">
        <v>3972</v>
      </c>
      <c r="Q842" s="49" t="s">
        <v>91</v>
      </c>
      <c r="R842" s="25"/>
      <c r="S842" s="26">
        <v>4</v>
      </c>
      <c r="T842" s="26"/>
      <c r="U842" s="28" t="s">
        <v>3973</v>
      </c>
      <c r="V842" s="66"/>
      <c r="W842" s="106"/>
      <c r="X842" s="106" t="s">
        <v>76</v>
      </c>
      <c r="Y842" s="26" t="s">
        <v>76</v>
      </c>
      <c r="Z842" s="75" t="s">
        <v>193</v>
      </c>
      <c r="AA842" s="30" t="s">
        <v>76</v>
      </c>
      <c r="AB842" s="25" t="s">
        <v>75</v>
      </c>
    </row>
    <row r="843" spans="1:28" ht="66" hidden="1">
      <c r="A843" s="88">
        <v>833</v>
      </c>
      <c r="B843" s="79" t="s">
        <v>3974</v>
      </c>
      <c r="C843" s="148" t="s">
        <v>8</v>
      </c>
      <c r="D843" s="80" t="s">
        <v>63</v>
      </c>
      <c r="E843" s="27" t="s">
        <v>2767</v>
      </c>
      <c r="F843" s="80" t="s">
        <v>65</v>
      </c>
      <c r="G843" s="81" t="s">
        <v>995</v>
      </c>
      <c r="H843" s="80" t="s">
        <v>2768</v>
      </c>
      <c r="I843" s="92">
        <v>45680</v>
      </c>
      <c r="J843" s="80" t="s">
        <v>3512</v>
      </c>
      <c r="K843" s="80" t="s">
        <v>299</v>
      </c>
      <c r="L843" s="84" t="s">
        <v>189</v>
      </c>
      <c r="M843" s="84" t="s">
        <v>221</v>
      </c>
      <c r="N843" s="84" t="s">
        <v>72</v>
      </c>
      <c r="O843" s="28" t="s">
        <v>3975</v>
      </c>
      <c r="P843" s="149" t="s">
        <v>3976</v>
      </c>
      <c r="Q843" s="49" t="s">
        <v>75</v>
      </c>
      <c r="R843" s="25" t="s">
        <v>91</v>
      </c>
      <c r="S843" s="26">
        <v>18</v>
      </c>
      <c r="T843" s="26">
        <v>65</v>
      </c>
      <c r="U843" s="28" t="s">
        <v>3977</v>
      </c>
      <c r="V843" s="66"/>
      <c r="W843" s="106"/>
      <c r="X843" s="106" t="s">
        <v>516</v>
      </c>
      <c r="Y843" s="26" t="s">
        <v>76</v>
      </c>
      <c r="Z843" s="93" t="s">
        <v>93</v>
      </c>
      <c r="AA843" s="30" t="s">
        <v>76</v>
      </c>
    </row>
    <row r="844" spans="1:28" ht="33" hidden="1">
      <c r="A844" s="88">
        <v>834</v>
      </c>
      <c r="B844" s="79" t="s">
        <v>3978</v>
      </c>
      <c r="C844" s="148" t="s">
        <v>8</v>
      </c>
      <c r="D844" s="80" t="s">
        <v>63</v>
      </c>
      <c r="E844" s="27" t="s">
        <v>3979</v>
      </c>
      <c r="F844" s="80" t="s">
        <v>284</v>
      </c>
      <c r="G844" s="81" t="s">
        <v>277</v>
      </c>
      <c r="H844" s="80" t="s">
        <v>3980</v>
      </c>
      <c r="I844" s="92">
        <v>45687</v>
      </c>
      <c r="J844" s="80" t="s">
        <v>3505</v>
      </c>
      <c r="K844" s="80" t="s">
        <v>69</v>
      </c>
      <c r="L844" s="84" t="s">
        <v>100</v>
      </c>
      <c r="M844" s="84" t="s">
        <v>252</v>
      </c>
      <c r="N844" s="84" t="s">
        <v>253</v>
      </c>
      <c r="O844" s="28" t="s">
        <v>3981</v>
      </c>
      <c r="P844" s="149" t="s">
        <v>3982</v>
      </c>
      <c r="Q844" s="49" t="s">
        <v>91</v>
      </c>
      <c r="R844" s="25"/>
      <c r="S844" s="26">
        <v>12</v>
      </c>
      <c r="T844" s="26"/>
      <c r="U844" s="28" t="s">
        <v>3983</v>
      </c>
      <c r="V844" s="66"/>
      <c r="W844" s="106"/>
      <c r="X844" s="106" t="s">
        <v>76</v>
      </c>
      <c r="Y844" s="26" t="s">
        <v>76</v>
      </c>
      <c r="Z844" s="75" t="s">
        <v>193</v>
      </c>
      <c r="AA844" s="30" t="s">
        <v>76</v>
      </c>
    </row>
    <row r="845" spans="1:28" ht="33" hidden="1">
      <c r="A845" s="88">
        <v>835</v>
      </c>
      <c r="B845" s="79" t="s">
        <v>3984</v>
      </c>
      <c r="C845" s="148" t="s">
        <v>8</v>
      </c>
      <c r="D845" s="80" t="s">
        <v>63</v>
      </c>
      <c r="E845" s="27" t="s">
        <v>3979</v>
      </c>
      <c r="F845" s="80" t="s">
        <v>284</v>
      </c>
      <c r="G845" s="81" t="s">
        <v>277</v>
      </c>
      <c r="H845" s="80" t="s">
        <v>3980</v>
      </c>
      <c r="I845" s="92">
        <v>45687</v>
      </c>
      <c r="J845" s="80" t="s">
        <v>3565</v>
      </c>
      <c r="K845" s="80" t="s">
        <v>299</v>
      </c>
      <c r="L845" s="84" t="s">
        <v>189</v>
      </c>
      <c r="M845" s="84" t="s">
        <v>252</v>
      </c>
      <c r="N845" s="84" t="s">
        <v>72</v>
      </c>
      <c r="O845" s="28" t="s">
        <v>3985</v>
      </c>
      <c r="P845" s="149" t="s">
        <v>3986</v>
      </c>
      <c r="Q845" s="49" t="s">
        <v>75</v>
      </c>
      <c r="R845" s="25" t="s">
        <v>91</v>
      </c>
      <c r="S845" s="26">
        <v>18</v>
      </c>
      <c r="T845" s="26">
        <v>64</v>
      </c>
      <c r="U845" s="28" t="s">
        <v>3987</v>
      </c>
      <c r="V845" s="66"/>
      <c r="W845" s="106"/>
      <c r="X845" s="106" t="s">
        <v>516</v>
      </c>
      <c r="Y845" s="26" t="s">
        <v>76</v>
      </c>
      <c r="Z845" s="93" t="s">
        <v>93</v>
      </c>
      <c r="AA845" s="30" t="s">
        <v>76</v>
      </c>
    </row>
    <row r="846" spans="1:28" ht="49.5" hidden="1">
      <c r="A846" s="88">
        <v>836</v>
      </c>
      <c r="B846" s="79" t="s">
        <v>3988</v>
      </c>
      <c r="C846" s="148" t="s">
        <v>8</v>
      </c>
      <c r="D846" s="80" t="s">
        <v>63</v>
      </c>
      <c r="E846" s="27" t="s">
        <v>3989</v>
      </c>
      <c r="F846" s="80" t="s">
        <v>284</v>
      </c>
      <c r="G846" s="81" t="s">
        <v>1132</v>
      </c>
      <c r="H846" s="80" t="s">
        <v>3990</v>
      </c>
      <c r="I846" s="92">
        <v>45691</v>
      </c>
      <c r="J846" s="80" t="s">
        <v>3505</v>
      </c>
      <c r="K846" s="80" t="s">
        <v>69</v>
      </c>
      <c r="L846" s="84" t="s">
        <v>100</v>
      </c>
      <c r="M846" s="84" t="s">
        <v>252</v>
      </c>
      <c r="N846" s="84" t="s">
        <v>72</v>
      </c>
      <c r="O846" s="28" t="s">
        <v>3991</v>
      </c>
      <c r="P846" s="149" t="s">
        <v>3992</v>
      </c>
      <c r="Q846" s="49" t="s">
        <v>75</v>
      </c>
      <c r="R846" s="25" t="s">
        <v>91</v>
      </c>
      <c r="S846" s="26">
        <v>26</v>
      </c>
      <c r="T846" s="26" t="s">
        <v>313</v>
      </c>
      <c r="U846" s="28" t="s">
        <v>3993</v>
      </c>
      <c r="V846" s="66"/>
      <c r="W846" s="106"/>
      <c r="X846" s="106" t="s">
        <v>516</v>
      </c>
      <c r="Y846" s="26" t="s">
        <v>76</v>
      </c>
      <c r="Z846" s="75" t="s">
        <v>93</v>
      </c>
      <c r="AA846" s="30" t="s">
        <v>76</v>
      </c>
    </row>
    <row r="847" spans="1:28" ht="409.6" hidden="1">
      <c r="A847" s="88">
        <v>837</v>
      </c>
      <c r="B847" s="79" t="s">
        <v>3994</v>
      </c>
      <c r="C847" s="148" t="s">
        <v>8</v>
      </c>
      <c r="D847" s="80" t="s">
        <v>63</v>
      </c>
      <c r="E847" s="27" t="s">
        <v>650</v>
      </c>
      <c r="F847" s="80" t="s">
        <v>109</v>
      </c>
      <c r="G847" s="81" t="s">
        <v>651</v>
      </c>
      <c r="H847" s="80" t="s">
        <v>652</v>
      </c>
      <c r="I847" s="92">
        <v>45692</v>
      </c>
      <c r="J847" s="80" t="s">
        <v>3565</v>
      </c>
      <c r="K847" s="80" t="s">
        <v>299</v>
      </c>
      <c r="L847" s="84" t="s">
        <v>189</v>
      </c>
      <c r="M847" s="84" t="s">
        <v>252</v>
      </c>
      <c r="N847" s="84" t="s">
        <v>72</v>
      </c>
      <c r="O847" s="28" t="s">
        <v>3995</v>
      </c>
      <c r="P847" s="149" t="s">
        <v>3996</v>
      </c>
      <c r="Q847" s="49" t="s">
        <v>75</v>
      </c>
      <c r="R847" s="25" t="s">
        <v>91</v>
      </c>
      <c r="S847" s="26">
        <v>20</v>
      </c>
      <c r="T847" s="26">
        <v>63</v>
      </c>
      <c r="U847" s="28" t="s">
        <v>3997</v>
      </c>
      <c r="V847" s="66"/>
      <c r="W847" s="106"/>
      <c r="X847" s="106" t="s">
        <v>516</v>
      </c>
      <c r="Y847" s="26" t="s">
        <v>76</v>
      </c>
      <c r="Z847" s="93" t="s">
        <v>93</v>
      </c>
      <c r="AA847" s="30" t="s">
        <v>76</v>
      </c>
    </row>
    <row r="848" spans="1:28" ht="49.5" hidden="1">
      <c r="A848" s="88">
        <v>838</v>
      </c>
      <c r="B848" s="79" t="s">
        <v>3998</v>
      </c>
      <c r="C848" s="148" t="s">
        <v>8</v>
      </c>
      <c r="D848" s="80" t="s">
        <v>63</v>
      </c>
      <c r="E848" s="27" t="s">
        <v>3166</v>
      </c>
      <c r="F848" s="80" t="s">
        <v>65</v>
      </c>
      <c r="G848" s="81" t="s">
        <v>1701</v>
      </c>
      <c r="H848" s="80" t="s">
        <v>3167</v>
      </c>
      <c r="I848" s="92">
        <v>45692</v>
      </c>
      <c r="J848" s="80" t="s">
        <v>3999</v>
      </c>
      <c r="K848" s="80" t="s">
        <v>198</v>
      </c>
      <c r="L848" s="84" t="s">
        <v>199</v>
      </c>
      <c r="M848" s="84" t="s">
        <v>114</v>
      </c>
      <c r="N848" s="84" t="s">
        <v>72</v>
      </c>
      <c r="O848" s="28" t="s">
        <v>4000</v>
      </c>
      <c r="P848" s="149" t="s">
        <v>4001</v>
      </c>
      <c r="Q848" s="49" t="s">
        <v>75</v>
      </c>
      <c r="R848" s="25" t="s">
        <v>91</v>
      </c>
      <c r="S848" s="26">
        <v>18</v>
      </c>
      <c r="T848" s="26">
        <v>61</v>
      </c>
      <c r="U848" s="28" t="s">
        <v>4002</v>
      </c>
      <c r="V848" s="66"/>
      <c r="W848" s="106"/>
      <c r="X848" s="106" t="s">
        <v>516</v>
      </c>
      <c r="Y848" s="106" t="s">
        <v>76</v>
      </c>
      <c r="Z848" s="75" t="s">
        <v>93</v>
      </c>
      <c r="AA848" s="30" t="s">
        <v>1536</v>
      </c>
    </row>
    <row r="849" spans="1:28" ht="115.5" hidden="1">
      <c r="A849" s="88">
        <v>839</v>
      </c>
      <c r="B849" s="79" t="s">
        <v>4003</v>
      </c>
      <c r="C849" s="148" t="s">
        <v>8</v>
      </c>
      <c r="D849" s="80" t="s">
        <v>63</v>
      </c>
      <c r="E849" s="27" t="s">
        <v>3166</v>
      </c>
      <c r="F849" s="80" t="s">
        <v>65</v>
      </c>
      <c r="G849" s="81" t="s">
        <v>1701</v>
      </c>
      <c r="H849" s="80" t="s">
        <v>3167</v>
      </c>
      <c r="I849" s="92">
        <v>45693</v>
      </c>
      <c r="J849" s="80" t="s">
        <v>3500</v>
      </c>
      <c r="K849" s="80" t="s">
        <v>198</v>
      </c>
      <c r="L849" s="84" t="s">
        <v>199</v>
      </c>
      <c r="M849" s="84" t="s">
        <v>221</v>
      </c>
      <c r="N849" s="84" t="s">
        <v>72</v>
      </c>
      <c r="O849" s="28" t="s">
        <v>4004</v>
      </c>
      <c r="P849" s="149" t="s">
        <v>4005</v>
      </c>
      <c r="Q849" s="49" t="s">
        <v>75</v>
      </c>
      <c r="R849" s="25" t="s">
        <v>91</v>
      </c>
      <c r="S849" s="26">
        <v>18</v>
      </c>
      <c r="T849" s="26">
        <v>44</v>
      </c>
      <c r="U849" s="28" t="s">
        <v>4006</v>
      </c>
      <c r="V849" s="66"/>
      <c r="W849" s="106"/>
      <c r="X849" s="106" t="s">
        <v>516</v>
      </c>
      <c r="Y849" s="106" t="s">
        <v>76</v>
      </c>
      <c r="Z849" s="75" t="s">
        <v>93</v>
      </c>
      <c r="AA849" s="30" t="s">
        <v>76</v>
      </c>
    </row>
    <row r="850" spans="1:28" ht="66" hidden="1">
      <c r="A850" s="88">
        <v>840</v>
      </c>
      <c r="B850" s="79" t="s">
        <v>4007</v>
      </c>
      <c r="C850" s="148" t="s">
        <v>8</v>
      </c>
      <c r="D850" s="80" t="s">
        <v>63</v>
      </c>
      <c r="E850" s="27" t="s">
        <v>2418</v>
      </c>
      <c r="F850" s="80" t="s">
        <v>120</v>
      </c>
      <c r="G850" s="81" t="s">
        <v>1413</v>
      </c>
      <c r="H850" s="80" t="s">
        <v>2419</v>
      </c>
      <c r="I850" s="92">
        <v>45694</v>
      </c>
      <c r="J850" s="80" t="s">
        <v>145</v>
      </c>
      <c r="K850" s="80" t="s">
        <v>146</v>
      </c>
      <c r="L850" s="84" t="s">
        <v>147</v>
      </c>
      <c r="M850" s="84" t="s">
        <v>148</v>
      </c>
      <c r="N850" s="84" t="s">
        <v>72</v>
      </c>
      <c r="O850" s="28" t="s">
        <v>4008</v>
      </c>
      <c r="P850" s="149" t="s">
        <v>4009</v>
      </c>
      <c r="Q850" s="49" t="s">
        <v>75</v>
      </c>
      <c r="R850" s="25" t="s">
        <v>91</v>
      </c>
      <c r="S850" s="26">
        <v>18</v>
      </c>
      <c r="T850" s="26">
        <v>60</v>
      </c>
      <c r="U850" s="28" t="s">
        <v>4010</v>
      </c>
      <c r="V850" s="66"/>
      <c r="W850" s="106"/>
      <c r="X850" s="106" t="s">
        <v>516</v>
      </c>
      <c r="Y850" s="26" t="s">
        <v>76</v>
      </c>
      <c r="Z850" s="75" t="s">
        <v>93</v>
      </c>
      <c r="AA850" s="30" t="s">
        <v>76</v>
      </c>
    </row>
    <row r="851" spans="1:28" ht="82.5" hidden="1">
      <c r="A851" s="88">
        <v>841</v>
      </c>
      <c r="B851" s="79" t="s">
        <v>4011</v>
      </c>
      <c r="C851" s="148" t="s">
        <v>237</v>
      </c>
      <c r="D851" s="80" t="s">
        <v>83</v>
      </c>
      <c r="E851" s="27" t="s">
        <v>4012</v>
      </c>
      <c r="F851" s="80" t="s">
        <v>109</v>
      </c>
      <c r="G851" s="81" t="s">
        <v>2110</v>
      </c>
      <c r="H851" s="80" t="s">
        <v>4013</v>
      </c>
      <c r="I851" s="92">
        <v>45698</v>
      </c>
      <c r="J851" s="80" t="s">
        <v>3505</v>
      </c>
      <c r="K851" s="80" t="s">
        <v>299</v>
      </c>
      <c r="L851" s="84" t="s">
        <v>100</v>
      </c>
      <c r="M851" s="84" t="s">
        <v>252</v>
      </c>
      <c r="N851" s="84" t="s">
        <v>72</v>
      </c>
      <c r="O851" s="28" t="s">
        <v>4014</v>
      </c>
      <c r="P851" s="149" t="s">
        <v>4015</v>
      </c>
      <c r="Q851" s="49" t="s">
        <v>75</v>
      </c>
      <c r="R851" s="25" t="s">
        <v>75</v>
      </c>
      <c r="S851" s="26">
        <v>26</v>
      </c>
      <c r="T851" s="26">
        <v>86</v>
      </c>
      <c r="U851" s="28" t="s">
        <v>4016</v>
      </c>
      <c r="V851" s="66" t="s">
        <v>75</v>
      </c>
      <c r="W851" s="106" t="s">
        <v>4017</v>
      </c>
      <c r="X851" s="106" t="s">
        <v>516</v>
      </c>
      <c r="Y851" s="106" t="s">
        <v>3375</v>
      </c>
      <c r="Z851" s="75" t="s">
        <v>79</v>
      </c>
      <c r="AA851" s="30" t="s">
        <v>76</v>
      </c>
    </row>
    <row r="852" spans="1:28" ht="33" hidden="1">
      <c r="A852" s="88">
        <v>842</v>
      </c>
      <c r="B852" s="79" t="s">
        <v>4018</v>
      </c>
      <c r="C852" s="148" t="s">
        <v>8</v>
      </c>
      <c r="D852" s="80" t="s">
        <v>63</v>
      </c>
      <c r="E852" s="27" t="s">
        <v>3208</v>
      </c>
      <c r="F852" s="80" t="s">
        <v>65</v>
      </c>
      <c r="G852" s="81" t="s">
        <v>2762</v>
      </c>
      <c r="H852" s="80" t="s">
        <v>3209</v>
      </c>
      <c r="I852" s="92">
        <v>45698</v>
      </c>
      <c r="J852" s="80" t="s">
        <v>3505</v>
      </c>
      <c r="K852" s="80" t="s">
        <v>69</v>
      </c>
      <c r="L852" s="84" t="s">
        <v>251</v>
      </c>
      <c r="M852" s="84" t="s">
        <v>252</v>
      </c>
      <c r="N852" s="84" t="s">
        <v>72</v>
      </c>
      <c r="O852" s="28" t="s">
        <v>4019</v>
      </c>
      <c r="P852" s="149" t="s">
        <v>4020</v>
      </c>
      <c r="Q852" s="49" t="s">
        <v>75</v>
      </c>
      <c r="R852" s="25" t="s">
        <v>91</v>
      </c>
      <c r="S852" s="26">
        <v>18</v>
      </c>
      <c r="T852" s="26">
        <v>48</v>
      </c>
      <c r="U852" s="28" t="s">
        <v>4021</v>
      </c>
      <c r="V852" s="66"/>
      <c r="W852" s="106"/>
      <c r="X852" s="106" t="s">
        <v>516</v>
      </c>
      <c r="Y852" s="26" t="s">
        <v>76</v>
      </c>
      <c r="Z852" s="75" t="s">
        <v>93</v>
      </c>
      <c r="AA852" s="30" t="s">
        <v>76</v>
      </c>
    </row>
    <row r="853" spans="1:28" ht="33" hidden="1">
      <c r="A853" s="88">
        <v>843</v>
      </c>
      <c r="B853" s="79" t="s">
        <v>4022</v>
      </c>
      <c r="C853" s="148" t="s">
        <v>8</v>
      </c>
      <c r="D853" s="80" t="s">
        <v>63</v>
      </c>
      <c r="E853" s="27" t="s">
        <v>1582</v>
      </c>
      <c r="F853" s="80" t="s">
        <v>109</v>
      </c>
      <c r="G853" s="81" t="s">
        <v>1562</v>
      </c>
      <c r="H853" s="80" t="s">
        <v>1583</v>
      </c>
      <c r="I853" s="92">
        <v>45699</v>
      </c>
      <c r="J853" s="80" t="s">
        <v>3565</v>
      </c>
      <c r="K853" s="80" t="s">
        <v>299</v>
      </c>
      <c r="L853" s="84" t="s">
        <v>189</v>
      </c>
      <c r="M853" s="84" t="s">
        <v>252</v>
      </c>
      <c r="N853" s="84" t="s">
        <v>72</v>
      </c>
      <c r="O853" s="28" t="s">
        <v>4023</v>
      </c>
      <c r="P853" s="149" t="s">
        <v>4024</v>
      </c>
      <c r="Q853" s="49" t="s">
        <v>75</v>
      </c>
      <c r="R853" s="25" t="s">
        <v>91</v>
      </c>
      <c r="S853" s="26">
        <v>19</v>
      </c>
      <c r="T853" s="26">
        <v>62</v>
      </c>
      <c r="U853" s="28" t="s">
        <v>4025</v>
      </c>
      <c r="V853" s="66"/>
      <c r="W853" s="106"/>
      <c r="X853" s="106" t="s">
        <v>516</v>
      </c>
      <c r="Y853" s="26" t="s">
        <v>76</v>
      </c>
      <c r="Z853" s="93" t="s">
        <v>93</v>
      </c>
      <c r="AA853" s="30" t="s">
        <v>76</v>
      </c>
    </row>
    <row r="854" spans="1:28" ht="33" hidden="1">
      <c r="A854" s="88">
        <v>844</v>
      </c>
      <c r="B854" s="79" t="s">
        <v>4026</v>
      </c>
      <c r="C854" s="148" t="s">
        <v>8</v>
      </c>
      <c r="D854" s="80" t="s">
        <v>83</v>
      </c>
      <c r="E854" s="27" t="s">
        <v>330</v>
      </c>
      <c r="F854" s="80" t="s">
        <v>120</v>
      </c>
      <c r="G854" s="81" t="s">
        <v>248</v>
      </c>
      <c r="H854" s="80" t="s">
        <v>331</v>
      </c>
      <c r="I854" s="92">
        <v>45699</v>
      </c>
      <c r="J854" s="80" t="s">
        <v>3565</v>
      </c>
      <c r="K854" s="80" t="s">
        <v>299</v>
      </c>
      <c r="L854" s="84" t="s">
        <v>189</v>
      </c>
      <c r="M854" s="84" t="s">
        <v>252</v>
      </c>
      <c r="N854" s="84" t="s">
        <v>72</v>
      </c>
      <c r="O854" s="28" t="s">
        <v>4027</v>
      </c>
      <c r="P854" s="149" t="s">
        <v>4028</v>
      </c>
      <c r="Q854" s="49" t="s">
        <v>75</v>
      </c>
      <c r="R854" s="25" t="s">
        <v>75</v>
      </c>
      <c r="S854" s="26">
        <v>23</v>
      </c>
      <c r="T854" s="26">
        <v>80</v>
      </c>
      <c r="U854" s="28" t="s">
        <v>3331</v>
      </c>
      <c r="V854" s="66" t="s">
        <v>75</v>
      </c>
      <c r="W854" s="106" t="s">
        <v>721</v>
      </c>
      <c r="X854" s="106" t="s">
        <v>516</v>
      </c>
      <c r="Y854" s="106" t="s">
        <v>516</v>
      </c>
      <c r="Z854" s="93" t="s">
        <v>106</v>
      </c>
      <c r="AA854" s="30" t="s">
        <v>76</v>
      </c>
    </row>
    <row r="855" spans="1:28" ht="66" hidden="1">
      <c r="A855" s="88">
        <v>845</v>
      </c>
      <c r="B855" s="79" t="s">
        <v>4029</v>
      </c>
      <c r="C855" s="148" t="s">
        <v>8</v>
      </c>
      <c r="D855" s="80" t="s">
        <v>83</v>
      </c>
      <c r="E855" s="27" t="s">
        <v>185</v>
      </c>
      <c r="F855" s="80" t="s">
        <v>120</v>
      </c>
      <c r="G855" s="81" t="s">
        <v>96</v>
      </c>
      <c r="H855" s="80" t="s">
        <v>186</v>
      </c>
      <c r="I855" s="92">
        <v>45700</v>
      </c>
      <c r="J855" s="80" t="s">
        <v>3494</v>
      </c>
      <c r="K855" s="80" t="s">
        <v>198</v>
      </c>
      <c r="L855" s="84" t="s">
        <v>199</v>
      </c>
      <c r="M855" s="84" t="s">
        <v>200</v>
      </c>
      <c r="N855" s="84" t="s">
        <v>72</v>
      </c>
      <c r="O855" s="28" t="s">
        <v>4030</v>
      </c>
      <c r="P855" s="149" t="s">
        <v>4031</v>
      </c>
      <c r="Q855" s="49" t="s">
        <v>75</v>
      </c>
      <c r="R855" s="25" t="s">
        <v>91</v>
      </c>
      <c r="S855" s="143">
        <v>26</v>
      </c>
      <c r="T855" s="143"/>
      <c r="U855" s="28" t="s">
        <v>4032</v>
      </c>
      <c r="V855" s="66"/>
      <c r="W855" s="106"/>
      <c r="X855" s="106" t="s">
        <v>516</v>
      </c>
      <c r="Y855" s="106"/>
      <c r="Z855" s="75" t="s">
        <v>93</v>
      </c>
      <c r="AA855" s="30" t="s">
        <v>76</v>
      </c>
    </row>
    <row r="856" spans="1:28" ht="49.5" hidden="1">
      <c r="A856" s="88">
        <v>846</v>
      </c>
      <c r="B856" s="79" t="s">
        <v>4033</v>
      </c>
      <c r="C856" s="148" t="s">
        <v>8</v>
      </c>
      <c r="D856" s="80" t="s">
        <v>63</v>
      </c>
      <c r="E856" s="27" t="s">
        <v>4034</v>
      </c>
      <c r="F856" s="80" t="s">
        <v>338</v>
      </c>
      <c r="G856" s="81" t="s">
        <v>1132</v>
      </c>
      <c r="H856" s="80" t="s">
        <v>4035</v>
      </c>
      <c r="I856" s="92">
        <v>45701</v>
      </c>
      <c r="J856" s="80" t="s">
        <v>3565</v>
      </c>
      <c r="K856" s="80" t="s">
        <v>299</v>
      </c>
      <c r="L856" s="84" t="s">
        <v>189</v>
      </c>
      <c r="M856" s="84" t="s">
        <v>252</v>
      </c>
      <c r="N856" s="84" t="s">
        <v>72</v>
      </c>
      <c r="O856" s="28" t="s">
        <v>4036</v>
      </c>
      <c r="P856" s="149" t="s">
        <v>4037</v>
      </c>
      <c r="Q856" s="49" t="s">
        <v>75</v>
      </c>
      <c r="R856" s="25" t="s">
        <v>91</v>
      </c>
      <c r="S856" s="26">
        <v>19</v>
      </c>
      <c r="T856" s="26">
        <v>61</v>
      </c>
      <c r="U856" s="28" t="s">
        <v>4038</v>
      </c>
      <c r="V856" s="66"/>
      <c r="W856" s="106"/>
      <c r="X856" s="106" t="s">
        <v>516</v>
      </c>
      <c r="Y856" s="26" t="s">
        <v>76</v>
      </c>
      <c r="Z856" s="93" t="s">
        <v>93</v>
      </c>
      <c r="AA856" s="30" t="s">
        <v>76</v>
      </c>
    </row>
    <row r="857" spans="1:28" ht="180.75" hidden="1">
      <c r="A857" s="88">
        <v>847</v>
      </c>
      <c r="B857" s="79" t="s">
        <v>4039</v>
      </c>
      <c r="C857" s="148" t="s">
        <v>9</v>
      </c>
      <c r="D857" s="80" t="s">
        <v>83</v>
      </c>
      <c r="E857" s="27" t="s">
        <v>1321</v>
      </c>
      <c r="F857" s="80" t="s">
        <v>65</v>
      </c>
      <c r="G857" s="81" t="s">
        <v>1286</v>
      </c>
      <c r="H857" s="80" t="s">
        <v>1322</v>
      </c>
      <c r="I857" s="92">
        <v>45702</v>
      </c>
      <c r="J857" s="80" t="s">
        <v>3821</v>
      </c>
      <c r="K857" s="80" t="s">
        <v>112</v>
      </c>
      <c r="L857" s="84" t="s">
        <v>113</v>
      </c>
      <c r="M857" s="84" t="s">
        <v>252</v>
      </c>
      <c r="N857" s="84" t="s">
        <v>72</v>
      </c>
      <c r="O857" s="28" t="s">
        <v>4040</v>
      </c>
      <c r="P857" s="149" t="s">
        <v>4041</v>
      </c>
      <c r="Q857" s="49" t="s">
        <v>75</v>
      </c>
      <c r="R857" s="25" t="s">
        <v>91</v>
      </c>
      <c r="S857" s="26">
        <v>19</v>
      </c>
      <c r="T857" s="26">
        <v>54</v>
      </c>
      <c r="U857" s="28" t="s">
        <v>4042</v>
      </c>
      <c r="V857" s="66"/>
      <c r="W857" s="106"/>
      <c r="X857" s="106" t="s">
        <v>516</v>
      </c>
      <c r="Y857" s="26" t="s">
        <v>76</v>
      </c>
      <c r="Z857" s="75" t="s">
        <v>93</v>
      </c>
      <c r="AA857" s="30" t="s">
        <v>76</v>
      </c>
    </row>
    <row r="858" spans="1:28" ht="148.5" hidden="1">
      <c r="A858" s="88">
        <v>848</v>
      </c>
      <c r="B858" s="79" t="s">
        <v>4043</v>
      </c>
      <c r="C858" s="148" t="s">
        <v>8</v>
      </c>
      <c r="D858" s="80" t="s">
        <v>83</v>
      </c>
      <c r="E858" s="27" t="s">
        <v>350</v>
      </c>
      <c r="F858" s="80" t="s">
        <v>109</v>
      </c>
      <c r="G858" s="81" t="s">
        <v>339</v>
      </c>
      <c r="H858" s="80" t="s">
        <v>351</v>
      </c>
      <c r="I858" s="92">
        <v>45702</v>
      </c>
      <c r="J858" s="80" t="s">
        <v>3494</v>
      </c>
      <c r="K858" s="80" t="s">
        <v>198</v>
      </c>
      <c r="L858" s="84" t="s">
        <v>199</v>
      </c>
      <c r="M858" s="84" t="s">
        <v>200</v>
      </c>
      <c r="N858" s="84" t="s">
        <v>72</v>
      </c>
      <c r="O858" s="28" t="s">
        <v>4044</v>
      </c>
      <c r="P858" s="149" t="s">
        <v>4045</v>
      </c>
      <c r="Q858" s="49" t="s">
        <v>75</v>
      </c>
      <c r="R858" s="195" t="s">
        <v>91</v>
      </c>
      <c r="S858" s="143">
        <v>18</v>
      </c>
      <c r="T858" s="143"/>
      <c r="U858" s="28" t="s">
        <v>4046</v>
      </c>
      <c r="V858" s="66"/>
      <c r="W858" s="106"/>
      <c r="X858" s="106" t="s">
        <v>516</v>
      </c>
      <c r="Y858" s="106" t="s">
        <v>76</v>
      </c>
      <c r="Z858" s="75" t="s">
        <v>106</v>
      </c>
      <c r="AA858" s="176" t="s">
        <v>4047</v>
      </c>
    </row>
    <row r="859" spans="1:28" ht="132" hidden="1">
      <c r="A859" s="88">
        <v>849</v>
      </c>
      <c r="B859" s="79" t="s">
        <v>4048</v>
      </c>
      <c r="C859" s="148" t="s">
        <v>8</v>
      </c>
      <c r="D859" s="80" t="s">
        <v>63</v>
      </c>
      <c r="E859" s="27" t="s">
        <v>4049</v>
      </c>
      <c r="F859" s="80" t="s">
        <v>65</v>
      </c>
      <c r="G859" s="81" t="s">
        <v>2474</v>
      </c>
      <c r="H859" s="80" t="s">
        <v>4050</v>
      </c>
      <c r="I859" s="92">
        <v>45705</v>
      </c>
      <c r="J859" s="80" t="s">
        <v>3565</v>
      </c>
      <c r="K859" s="80" t="s">
        <v>299</v>
      </c>
      <c r="L859" s="84" t="s">
        <v>189</v>
      </c>
      <c r="M859" s="84" t="s">
        <v>252</v>
      </c>
      <c r="N859" s="84" t="s">
        <v>72</v>
      </c>
      <c r="O859" s="28" t="s">
        <v>4051</v>
      </c>
      <c r="P859" s="149" t="s">
        <v>4052</v>
      </c>
      <c r="Q859" s="49" t="s">
        <v>75</v>
      </c>
      <c r="R859" s="25" t="s">
        <v>91</v>
      </c>
      <c r="S859" s="26">
        <v>21</v>
      </c>
      <c r="T859" s="26">
        <v>65</v>
      </c>
      <c r="U859" s="28" t="s">
        <v>4053</v>
      </c>
      <c r="V859" s="66"/>
      <c r="W859" s="106"/>
      <c r="X859" s="106" t="s">
        <v>516</v>
      </c>
      <c r="Y859" s="26" t="s">
        <v>76</v>
      </c>
      <c r="Z859" s="93" t="s">
        <v>93</v>
      </c>
      <c r="AA859" s="30" t="s">
        <v>76</v>
      </c>
    </row>
    <row r="860" spans="1:28" ht="82.5" hidden="1">
      <c r="A860" s="88">
        <v>850</v>
      </c>
      <c r="B860" s="79" t="s">
        <v>4054</v>
      </c>
      <c r="C860" s="148" t="s">
        <v>8</v>
      </c>
      <c r="D860" s="80" t="s">
        <v>63</v>
      </c>
      <c r="E860" s="27" t="s">
        <v>3979</v>
      </c>
      <c r="F860" s="80" t="s">
        <v>284</v>
      </c>
      <c r="G860" s="81" t="s">
        <v>277</v>
      </c>
      <c r="H860" s="80" t="s">
        <v>3980</v>
      </c>
      <c r="I860" s="92">
        <v>45705</v>
      </c>
      <c r="J860" s="80" t="s">
        <v>3565</v>
      </c>
      <c r="K860" s="80" t="s">
        <v>299</v>
      </c>
      <c r="L860" s="84" t="s">
        <v>189</v>
      </c>
      <c r="M860" s="84" t="s">
        <v>601</v>
      </c>
      <c r="N860" s="84" t="s">
        <v>72</v>
      </c>
      <c r="O860" s="28" t="s">
        <v>4055</v>
      </c>
      <c r="P860" s="149" t="s">
        <v>4056</v>
      </c>
      <c r="Q860" s="49" t="s">
        <v>75</v>
      </c>
      <c r="R860" s="25" t="s">
        <v>91</v>
      </c>
      <c r="S860" s="26">
        <v>20</v>
      </c>
      <c r="T860" s="26">
        <v>61</v>
      </c>
      <c r="U860" s="28" t="s">
        <v>4057</v>
      </c>
      <c r="V860" s="66"/>
      <c r="W860" s="106"/>
      <c r="X860" s="106" t="s">
        <v>516</v>
      </c>
      <c r="Y860" s="26" t="s">
        <v>76</v>
      </c>
      <c r="Z860" s="93" t="s">
        <v>93</v>
      </c>
      <c r="AA860" s="30" t="s">
        <v>76</v>
      </c>
    </row>
    <row r="861" spans="1:28" ht="49.5" hidden="1">
      <c r="A861" s="88">
        <v>851</v>
      </c>
      <c r="B861" s="79" t="s">
        <v>4058</v>
      </c>
      <c r="C861" s="148" t="s">
        <v>8</v>
      </c>
      <c r="D861" s="80" t="s">
        <v>63</v>
      </c>
      <c r="E861" s="27" t="s">
        <v>2404</v>
      </c>
      <c r="F861" s="80" t="s">
        <v>65</v>
      </c>
      <c r="G861" s="81" t="s">
        <v>1132</v>
      </c>
      <c r="H861" s="80" t="s">
        <v>2405</v>
      </c>
      <c r="I861" s="92">
        <v>45705</v>
      </c>
      <c r="J861" s="80" t="s">
        <v>145</v>
      </c>
      <c r="K861" s="80" t="s">
        <v>146</v>
      </c>
      <c r="L861" s="84" t="s">
        <v>147</v>
      </c>
      <c r="M861" s="84" t="s">
        <v>148</v>
      </c>
      <c r="N861" s="84" t="s">
        <v>72</v>
      </c>
      <c r="O861" s="28" t="s">
        <v>4059</v>
      </c>
      <c r="P861" s="149" t="s">
        <v>4060</v>
      </c>
      <c r="Q861" s="49" t="s">
        <v>75</v>
      </c>
      <c r="R861" s="25" t="s">
        <v>91</v>
      </c>
      <c r="S861" s="26">
        <v>18</v>
      </c>
      <c r="T861" s="26">
        <v>60</v>
      </c>
      <c r="U861" s="28" t="s">
        <v>4061</v>
      </c>
      <c r="V861" s="66"/>
      <c r="W861" s="106"/>
      <c r="X861" s="106" t="s">
        <v>516</v>
      </c>
      <c r="Y861" s="26" t="s">
        <v>76</v>
      </c>
      <c r="Z861" s="75" t="s">
        <v>93</v>
      </c>
      <c r="AA861" s="30" t="s">
        <v>76</v>
      </c>
    </row>
    <row r="862" spans="1:28" ht="82.5" hidden="1">
      <c r="A862" s="88">
        <v>852</v>
      </c>
      <c r="B862" s="79" t="s">
        <v>4062</v>
      </c>
      <c r="C862" s="148" t="s">
        <v>10</v>
      </c>
      <c r="D862" s="80" t="s">
        <v>83</v>
      </c>
      <c r="E862" s="27" t="s">
        <v>4063</v>
      </c>
      <c r="F862" s="80" t="s">
        <v>120</v>
      </c>
      <c r="G862" s="81" t="s">
        <v>4064</v>
      </c>
      <c r="H862" s="80" t="s">
        <v>4065</v>
      </c>
      <c r="I862" s="92">
        <v>45706</v>
      </c>
      <c r="J862" s="80" t="s">
        <v>4066</v>
      </c>
      <c r="K862" s="80" t="s">
        <v>3373</v>
      </c>
      <c r="L862" s="84" t="s">
        <v>10</v>
      </c>
      <c r="M862" s="84" t="s">
        <v>252</v>
      </c>
      <c r="N862" s="84" t="s">
        <v>72</v>
      </c>
      <c r="O862" s="307" t="s">
        <v>4067</v>
      </c>
      <c r="P862" s="149" t="s">
        <v>4068</v>
      </c>
      <c r="Q862" s="49" t="s">
        <v>75</v>
      </c>
      <c r="R862" s="25" t="s">
        <v>91</v>
      </c>
      <c r="S862" s="26">
        <v>23</v>
      </c>
      <c r="T862" s="26">
        <v>60</v>
      </c>
      <c r="U862" s="28" t="s">
        <v>4069</v>
      </c>
      <c r="V862" s="66"/>
      <c r="W862" s="106"/>
      <c r="X862" s="106" t="s">
        <v>516</v>
      </c>
      <c r="Y862" s="26" t="s">
        <v>76</v>
      </c>
      <c r="Z862" s="75" t="s">
        <v>93</v>
      </c>
      <c r="AA862" s="30" t="s">
        <v>76</v>
      </c>
    </row>
    <row r="863" spans="1:28" ht="33" hidden="1">
      <c r="A863" s="88">
        <v>853</v>
      </c>
      <c r="B863" s="79" t="s">
        <v>4070</v>
      </c>
      <c r="C863" s="148" t="s">
        <v>10</v>
      </c>
      <c r="D863" s="80" t="s">
        <v>83</v>
      </c>
      <c r="E863" s="27" t="s">
        <v>4071</v>
      </c>
      <c r="F863" s="80" t="s">
        <v>109</v>
      </c>
      <c r="G863" s="81" t="s">
        <v>4064</v>
      </c>
      <c r="H863" s="80" t="s">
        <v>4072</v>
      </c>
      <c r="I863" s="92">
        <v>45706</v>
      </c>
      <c r="J863" s="80" t="s">
        <v>4066</v>
      </c>
      <c r="K863" s="80" t="s">
        <v>3373</v>
      </c>
      <c r="L863" s="84" t="s">
        <v>10</v>
      </c>
      <c r="M863" s="84" t="s">
        <v>252</v>
      </c>
      <c r="N863" s="84" t="s">
        <v>72</v>
      </c>
      <c r="O863" s="307" t="s">
        <v>4073</v>
      </c>
      <c r="P863" s="149" t="s">
        <v>4074</v>
      </c>
      <c r="Q863" s="49" t="s">
        <v>91</v>
      </c>
      <c r="R863" s="25"/>
      <c r="S863" s="26">
        <v>8</v>
      </c>
      <c r="T863" s="26"/>
      <c r="U863" s="28" t="s">
        <v>4075</v>
      </c>
      <c r="V863" s="66"/>
      <c r="W863" s="106"/>
      <c r="X863" s="106" t="s">
        <v>76</v>
      </c>
      <c r="Y863" s="26" t="s">
        <v>76</v>
      </c>
      <c r="Z863" s="75" t="s">
        <v>193</v>
      </c>
      <c r="AA863" s="30" t="s">
        <v>76</v>
      </c>
      <c r="AB863" s="25" t="s">
        <v>75</v>
      </c>
    </row>
    <row r="864" spans="1:28" ht="66" hidden="1">
      <c r="A864" s="88">
        <v>854</v>
      </c>
      <c r="B864" s="79" t="s">
        <v>4076</v>
      </c>
      <c r="C864" s="148" t="s">
        <v>10</v>
      </c>
      <c r="D864" s="80" t="s">
        <v>83</v>
      </c>
      <c r="E864" s="27" t="s">
        <v>4077</v>
      </c>
      <c r="F864" s="80" t="s">
        <v>284</v>
      </c>
      <c r="G864" s="81" t="s">
        <v>4064</v>
      </c>
      <c r="H864" s="80" t="s">
        <v>4078</v>
      </c>
      <c r="I864" s="92">
        <v>45706</v>
      </c>
      <c r="J864" s="80" t="s">
        <v>4066</v>
      </c>
      <c r="K864" s="80" t="s">
        <v>3373</v>
      </c>
      <c r="L864" s="84" t="s">
        <v>10</v>
      </c>
      <c r="M864" s="84" t="s">
        <v>252</v>
      </c>
      <c r="N864" s="84" t="s">
        <v>72</v>
      </c>
      <c r="O864" s="307" t="s">
        <v>4079</v>
      </c>
      <c r="P864" s="149" t="s">
        <v>4080</v>
      </c>
      <c r="Q864" s="49" t="s">
        <v>75</v>
      </c>
      <c r="R864" s="25" t="s">
        <v>91</v>
      </c>
      <c r="S864" s="26">
        <v>21</v>
      </c>
      <c r="T864" s="26">
        <v>43</v>
      </c>
      <c r="U864" s="28" t="s">
        <v>4081</v>
      </c>
      <c r="V864" s="66"/>
      <c r="W864" s="106"/>
      <c r="X864" s="106" t="s">
        <v>516</v>
      </c>
      <c r="Y864" s="26" t="s">
        <v>76</v>
      </c>
      <c r="Z864" s="75" t="s">
        <v>93</v>
      </c>
      <c r="AA864" s="30" t="s">
        <v>76</v>
      </c>
    </row>
    <row r="865" spans="1:28" ht="33" hidden="1">
      <c r="A865" s="88">
        <v>855</v>
      </c>
      <c r="B865" s="79" t="s">
        <v>4082</v>
      </c>
      <c r="C865" s="148" t="s">
        <v>10</v>
      </c>
      <c r="D865" s="80" t="s">
        <v>83</v>
      </c>
      <c r="E865" s="27" t="s">
        <v>4077</v>
      </c>
      <c r="F865" s="80" t="s">
        <v>284</v>
      </c>
      <c r="G865" s="81" t="s">
        <v>4064</v>
      </c>
      <c r="H865" s="80" t="s">
        <v>4078</v>
      </c>
      <c r="I865" s="92">
        <v>45706</v>
      </c>
      <c r="J865" s="80" t="s">
        <v>4066</v>
      </c>
      <c r="K865" s="80" t="s">
        <v>3373</v>
      </c>
      <c r="L865" s="84" t="s">
        <v>10</v>
      </c>
      <c r="M865" s="84" t="s">
        <v>252</v>
      </c>
      <c r="N865" s="84" t="s">
        <v>72</v>
      </c>
      <c r="O865" s="307" t="s">
        <v>4083</v>
      </c>
      <c r="P865" s="149" t="s">
        <v>4084</v>
      </c>
      <c r="Q865" s="49" t="s">
        <v>91</v>
      </c>
      <c r="R865" s="25"/>
      <c r="S865" s="26">
        <v>8</v>
      </c>
      <c r="T865" s="26"/>
      <c r="U865" s="28" t="s">
        <v>4085</v>
      </c>
      <c r="V865" s="66"/>
      <c r="W865" s="106"/>
      <c r="X865" s="106" t="s">
        <v>76</v>
      </c>
      <c r="Y865" s="26" t="s">
        <v>76</v>
      </c>
      <c r="Z865" s="75" t="s">
        <v>193</v>
      </c>
      <c r="AA865" s="30" t="s">
        <v>76</v>
      </c>
      <c r="AB865" s="25" t="s">
        <v>75</v>
      </c>
    </row>
    <row r="866" spans="1:28" ht="115.5" hidden="1">
      <c r="A866" s="88">
        <v>856</v>
      </c>
      <c r="B866" s="79" t="s">
        <v>4086</v>
      </c>
      <c r="C866" s="148" t="s">
        <v>10</v>
      </c>
      <c r="D866" s="80" t="s">
        <v>83</v>
      </c>
      <c r="E866" s="27" t="s">
        <v>4087</v>
      </c>
      <c r="F866" s="80" t="s">
        <v>109</v>
      </c>
      <c r="G866" s="81" t="s">
        <v>4064</v>
      </c>
      <c r="H866" s="80" t="s">
        <v>4088</v>
      </c>
      <c r="I866" s="92">
        <v>45706</v>
      </c>
      <c r="J866" s="80" t="s">
        <v>4066</v>
      </c>
      <c r="K866" s="80" t="s">
        <v>3373</v>
      </c>
      <c r="L866" s="84" t="s">
        <v>10</v>
      </c>
      <c r="M866" s="84" t="s">
        <v>252</v>
      </c>
      <c r="N866" s="84" t="s">
        <v>72</v>
      </c>
      <c r="O866" s="307" t="s">
        <v>4089</v>
      </c>
      <c r="P866" s="149" t="s">
        <v>4090</v>
      </c>
      <c r="Q866" s="49" t="s">
        <v>75</v>
      </c>
      <c r="R866" s="25" t="s">
        <v>91</v>
      </c>
      <c r="S866" s="26">
        <v>21</v>
      </c>
      <c r="T866" s="26">
        <v>42</v>
      </c>
      <c r="U866" s="28" t="s">
        <v>4091</v>
      </c>
      <c r="V866" s="66"/>
      <c r="W866" s="106"/>
      <c r="X866" s="106" t="s">
        <v>516</v>
      </c>
      <c r="Y866" s="26" t="s">
        <v>76</v>
      </c>
      <c r="Z866" s="75" t="s">
        <v>93</v>
      </c>
      <c r="AA866" s="30" t="s">
        <v>76</v>
      </c>
    </row>
    <row r="867" spans="1:28" ht="197.25" hidden="1">
      <c r="A867" s="88">
        <v>857</v>
      </c>
      <c r="B867" s="79" t="s">
        <v>4092</v>
      </c>
      <c r="C867" s="148" t="s">
        <v>10</v>
      </c>
      <c r="D867" s="80" t="s">
        <v>83</v>
      </c>
      <c r="E867" s="27" t="s">
        <v>4093</v>
      </c>
      <c r="F867" s="80" t="s">
        <v>109</v>
      </c>
      <c r="G867" s="81" t="s">
        <v>4064</v>
      </c>
      <c r="H867" s="80" t="s">
        <v>4094</v>
      </c>
      <c r="I867" s="92">
        <v>45706</v>
      </c>
      <c r="J867" s="80" t="s">
        <v>4066</v>
      </c>
      <c r="K867" s="80" t="s">
        <v>3373</v>
      </c>
      <c r="L867" s="84" t="s">
        <v>10</v>
      </c>
      <c r="M867" s="84" t="s">
        <v>252</v>
      </c>
      <c r="N867" s="84" t="s">
        <v>72</v>
      </c>
      <c r="O867" s="307" t="s">
        <v>4095</v>
      </c>
      <c r="P867" s="149" t="s">
        <v>4096</v>
      </c>
      <c r="Q867" s="49" t="s">
        <v>75</v>
      </c>
      <c r="R867" s="25" t="s">
        <v>91</v>
      </c>
      <c r="S867" s="26">
        <v>20</v>
      </c>
      <c r="T867" s="26">
        <v>51</v>
      </c>
      <c r="U867" s="28" t="s">
        <v>4097</v>
      </c>
      <c r="V867" s="66"/>
      <c r="W867" s="106"/>
      <c r="X867" s="106" t="s">
        <v>516</v>
      </c>
      <c r="Y867" s="26" t="s">
        <v>76</v>
      </c>
      <c r="Z867" s="75" t="s">
        <v>106</v>
      </c>
      <c r="AA867" s="30" t="s">
        <v>76</v>
      </c>
    </row>
    <row r="868" spans="1:28" ht="165" hidden="1">
      <c r="A868" s="88">
        <v>858</v>
      </c>
      <c r="B868" s="79" t="s">
        <v>4098</v>
      </c>
      <c r="C868" s="148" t="s">
        <v>10</v>
      </c>
      <c r="D868" s="80" t="s">
        <v>83</v>
      </c>
      <c r="E868" s="27" t="s">
        <v>3369</v>
      </c>
      <c r="F868" s="80" t="s">
        <v>120</v>
      </c>
      <c r="G868" s="81" t="s">
        <v>3370</v>
      </c>
      <c r="H868" s="80" t="s">
        <v>3371</v>
      </c>
      <c r="I868" s="92">
        <v>45706</v>
      </c>
      <c r="J868" s="80" t="s">
        <v>4066</v>
      </c>
      <c r="K868" s="80" t="s">
        <v>3373</v>
      </c>
      <c r="L868" s="84" t="s">
        <v>10</v>
      </c>
      <c r="M868" s="84" t="s">
        <v>252</v>
      </c>
      <c r="N868" s="84" t="s">
        <v>72</v>
      </c>
      <c r="O868" s="307" t="s">
        <v>4099</v>
      </c>
      <c r="P868" s="149" t="s">
        <v>4100</v>
      </c>
      <c r="Q868" s="49" t="s">
        <v>91</v>
      </c>
      <c r="R868" s="25"/>
      <c r="S868" s="26">
        <v>4</v>
      </c>
      <c r="T868" s="26"/>
      <c r="U868" s="28" t="s">
        <v>4101</v>
      </c>
      <c r="V868" s="66"/>
      <c r="W868" s="106"/>
      <c r="X868" s="106" t="s">
        <v>76</v>
      </c>
      <c r="Y868" s="26" t="s">
        <v>76</v>
      </c>
      <c r="Z868" s="75" t="s">
        <v>193</v>
      </c>
      <c r="AA868" s="30" t="s">
        <v>76</v>
      </c>
      <c r="AB868" s="25" t="s">
        <v>75</v>
      </c>
    </row>
    <row r="869" spans="1:28" ht="148.5" hidden="1">
      <c r="A869" s="88">
        <v>859</v>
      </c>
      <c r="B869" s="79" t="s">
        <v>4102</v>
      </c>
      <c r="C869" s="148" t="s">
        <v>10</v>
      </c>
      <c r="D869" s="80" t="s">
        <v>83</v>
      </c>
      <c r="E869" s="27" t="s">
        <v>3369</v>
      </c>
      <c r="F869" s="80" t="s">
        <v>120</v>
      </c>
      <c r="G869" s="81" t="s">
        <v>3370</v>
      </c>
      <c r="H869" s="80" t="s">
        <v>3371</v>
      </c>
      <c r="I869" s="92">
        <v>45706</v>
      </c>
      <c r="J869" s="80" t="s">
        <v>4066</v>
      </c>
      <c r="K869" s="80" t="s">
        <v>3373</v>
      </c>
      <c r="L869" s="84" t="s">
        <v>10</v>
      </c>
      <c r="M869" s="84" t="s">
        <v>252</v>
      </c>
      <c r="N869" s="84" t="s">
        <v>72</v>
      </c>
      <c r="O869" s="307" t="s">
        <v>4103</v>
      </c>
      <c r="P869" s="149" t="s">
        <v>4104</v>
      </c>
      <c r="Q869" s="49" t="s">
        <v>75</v>
      </c>
      <c r="R869" s="25" t="s">
        <v>75</v>
      </c>
      <c r="S869" s="26">
        <v>20</v>
      </c>
      <c r="T869" s="26">
        <v>75</v>
      </c>
      <c r="U869" s="28" t="s">
        <v>4105</v>
      </c>
      <c r="V869" s="66"/>
      <c r="W869" s="106"/>
      <c r="X869" s="106" t="s">
        <v>516</v>
      </c>
      <c r="Y869" s="26" t="s">
        <v>76</v>
      </c>
      <c r="Z869" s="75" t="s">
        <v>106</v>
      </c>
      <c r="AA869" s="30" t="s">
        <v>76</v>
      </c>
    </row>
    <row r="870" spans="1:28" ht="49.5" hidden="1">
      <c r="A870" s="88">
        <v>860</v>
      </c>
      <c r="B870" s="79" t="s">
        <v>4106</v>
      </c>
      <c r="C870" s="148" t="s">
        <v>10</v>
      </c>
      <c r="D870" s="80" t="s">
        <v>83</v>
      </c>
      <c r="E870" s="27" t="s">
        <v>4107</v>
      </c>
      <c r="F870" s="80" t="s">
        <v>109</v>
      </c>
      <c r="G870" s="81" t="s">
        <v>3370</v>
      </c>
      <c r="H870" s="80" t="s">
        <v>4108</v>
      </c>
      <c r="I870" s="92">
        <v>45706</v>
      </c>
      <c r="J870" s="80" t="s">
        <v>4109</v>
      </c>
      <c r="K870" s="80" t="s">
        <v>3373</v>
      </c>
      <c r="L870" s="84" t="s">
        <v>10</v>
      </c>
      <c r="M870" s="84" t="s">
        <v>200</v>
      </c>
      <c r="N870" s="84" t="s">
        <v>72</v>
      </c>
      <c r="O870" s="307" t="s">
        <v>4110</v>
      </c>
      <c r="P870" s="149" t="s">
        <v>4111</v>
      </c>
      <c r="Q870" s="49" t="s">
        <v>75</v>
      </c>
      <c r="R870" s="25" t="s">
        <v>504</v>
      </c>
      <c r="S870" s="26">
        <v>21</v>
      </c>
      <c r="T870" s="26"/>
      <c r="U870" s="28" t="s">
        <v>4112</v>
      </c>
      <c r="V870" s="66"/>
      <c r="W870" s="106"/>
      <c r="X870" s="106" t="s">
        <v>516</v>
      </c>
      <c r="Y870" s="26" t="s">
        <v>76</v>
      </c>
      <c r="Z870" s="75" t="s">
        <v>106</v>
      </c>
      <c r="AA870" s="30" t="s">
        <v>76</v>
      </c>
    </row>
    <row r="871" spans="1:28" ht="92.25" hidden="1" customHeight="1">
      <c r="A871" s="88">
        <v>861</v>
      </c>
      <c r="B871" s="79" t="s">
        <v>4113</v>
      </c>
      <c r="C871" s="148" t="s">
        <v>10</v>
      </c>
      <c r="D871" s="80" t="s">
        <v>83</v>
      </c>
      <c r="E871" s="27" t="s">
        <v>4107</v>
      </c>
      <c r="F871" s="80" t="s">
        <v>109</v>
      </c>
      <c r="G871" s="81" t="s">
        <v>3370</v>
      </c>
      <c r="H871" s="80" t="s">
        <v>4108</v>
      </c>
      <c r="I871" s="92">
        <v>45706</v>
      </c>
      <c r="J871" s="80" t="s">
        <v>4109</v>
      </c>
      <c r="K871" s="80" t="s">
        <v>3373</v>
      </c>
      <c r="L871" s="84" t="s">
        <v>10</v>
      </c>
      <c r="M871" s="84" t="s">
        <v>200</v>
      </c>
      <c r="N871" s="84" t="s">
        <v>72</v>
      </c>
      <c r="O871" s="307" t="s">
        <v>4114</v>
      </c>
      <c r="P871" s="149" t="s">
        <v>4115</v>
      </c>
      <c r="Q871" s="49" t="s">
        <v>75</v>
      </c>
      <c r="R871" s="25" t="s">
        <v>504</v>
      </c>
      <c r="S871" s="26">
        <v>23</v>
      </c>
      <c r="T871" s="26"/>
      <c r="U871" s="28" t="s">
        <v>4116</v>
      </c>
      <c r="V871" s="66"/>
      <c r="W871" s="106"/>
      <c r="X871" s="106" t="s">
        <v>516</v>
      </c>
      <c r="Y871" s="26" t="s">
        <v>76</v>
      </c>
      <c r="Z871" s="75" t="s">
        <v>106</v>
      </c>
      <c r="AA871" s="30" t="s">
        <v>76</v>
      </c>
    </row>
    <row r="872" spans="1:28" ht="49.5" hidden="1">
      <c r="A872" s="88">
        <v>862</v>
      </c>
      <c r="B872" s="79" t="s">
        <v>4117</v>
      </c>
      <c r="C872" s="148" t="s">
        <v>10</v>
      </c>
      <c r="D872" s="80" t="s">
        <v>83</v>
      </c>
      <c r="E872" s="27" t="s">
        <v>4118</v>
      </c>
      <c r="F872" s="80" t="s">
        <v>284</v>
      </c>
      <c r="G872" s="81" t="s">
        <v>3370</v>
      </c>
      <c r="H872" s="80" t="s">
        <v>4119</v>
      </c>
      <c r="I872" s="92">
        <v>45706</v>
      </c>
      <c r="J872" s="80" t="s">
        <v>4109</v>
      </c>
      <c r="K872" s="80" t="s">
        <v>3373</v>
      </c>
      <c r="L872" s="84" t="s">
        <v>10</v>
      </c>
      <c r="M872" s="84" t="s">
        <v>200</v>
      </c>
      <c r="N872" s="84" t="s">
        <v>72</v>
      </c>
      <c r="O872" s="307" t="s">
        <v>4120</v>
      </c>
      <c r="P872" s="149" t="s">
        <v>4121</v>
      </c>
      <c r="Q872" s="49" t="s">
        <v>75</v>
      </c>
      <c r="R872" s="25" t="s">
        <v>91</v>
      </c>
      <c r="S872" s="26">
        <v>22</v>
      </c>
      <c r="T872" s="26">
        <v>51</v>
      </c>
      <c r="U872" s="28" t="s">
        <v>4122</v>
      </c>
      <c r="V872" s="66"/>
      <c r="W872" s="106"/>
      <c r="X872" s="106" t="s">
        <v>516</v>
      </c>
      <c r="Y872" s="26" t="s">
        <v>76</v>
      </c>
      <c r="Z872" s="75" t="s">
        <v>93</v>
      </c>
      <c r="AA872" s="30" t="s">
        <v>76</v>
      </c>
    </row>
    <row r="873" spans="1:28" ht="33" hidden="1">
      <c r="A873" s="88">
        <v>863</v>
      </c>
      <c r="B873" s="79" t="s">
        <v>4123</v>
      </c>
      <c r="C873" s="148" t="s">
        <v>10</v>
      </c>
      <c r="D873" s="80" t="s">
        <v>83</v>
      </c>
      <c r="E873" s="27" t="s">
        <v>4124</v>
      </c>
      <c r="F873" s="80" t="s">
        <v>338</v>
      </c>
      <c r="G873" s="81" t="s">
        <v>3370</v>
      </c>
      <c r="H873" s="80" t="s">
        <v>4125</v>
      </c>
      <c r="I873" s="92">
        <v>45706</v>
      </c>
      <c r="J873" s="80" t="s">
        <v>4109</v>
      </c>
      <c r="K873" s="80" t="s">
        <v>3373</v>
      </c>
      <c r="L873" s="84" t="s">
        <v>10</v>
      </c>
      <c r="M873" s="84" t="s">
        <v>200</v>
      </c>
      <c r="N873" s="84" t="s">
        <v>72</v>
      </c>
      <c r="O873" s="307" t="s">
        <v>4126</v>
      </c>
      <c r="P873" s="149" t="s">
        <v>4127</v>
      </c>
      <c r="Q873" s="49" t="s">
        <v>75</v>
      </c>
      <c r="R873" s="25" t="s">
        <v>91</v>
      </c>
      <c r="S873" s="26">
        <v>19</v>
      </c>
      <c r="T873" s="26">
        <v>38</v>
      </c>
      <c r="U873" s="28" t="s">
        <v>4128</v>
      </c>
      <c r="V873" s="66"/>
      <c r="W873" s="106"/>
      <c r="X873" s="106" t="s">
        <v>516</v>
      </c>
      <c r="Y873" s="26" t="s">
        <v>76</v>
      </c>
      <c r="Z873" s="75" t="s">
        <v>93</v>
      </c>
      <c r="AA873" s="30" t="s">
        <v>76</v>
      </c>
    </row>
    <row r="874" spans="1:28" ht="99" hidden="1">
      <c r="A874" s="88">
        <v>864</v>
      </c>
      <c r="B874" s="79" t="s">
        <v>4129</v>
      </c>
      <c r="C874" s="148" t="s">
        <v>10</v>
      </c>
      <c r="D874" s="80" t="s">
        <v>83</v>
      </c>
      <c r="E874" s="27" t="s">
        <v>4130</v>
      </c>
      <c r="F874" s="80" t="s">
        <v>338</v>
      </c>
      <c r="G874" s="81" t="s">
        <v>3370</v>
      </c>
      <c r="H874" s="80" t="s">
        <v>4131</v>
      </c>
      <c r="I874" s="92">
        <v>45706</v>
      </c>
      <c r="J874" s="80" t="s">
        <v>4132</v>
      </c>
      <c r="K874" s="80" t="s">
        <v>3373</v>
      </c>
      <c r="L874" s="84" t="s">
        <v>10</v>
      </c>
      <c r="M874" s="84" t="s">
        <v>221</v>
      </c>
      <c r="N874" s="84" t="s">
        <v>72</v>
      </c>
      <c r="O874" s="307" t="s">
        <v>4133</v>
      </c>
      <c r="P874" s="149" t="s">
        <v>4134</v>
      </c>
      <c r="Q874" s="49" t="s">
        <v>75</v>
      </c>
      <c r="R874" s="195" t="s">
        <v>91</v>
      </c>
      <c r="S874" s="26">
        <v>21</v>
      </c>
      <c r="T874" s="26">
        <v>62</v>
      </c>
      <c r="U874" s="28" t="s">
        <v>4135</v>
      </c>
      <c r="V874" s="66" t="s">
        <v>75</v>
      </c>
      <c r="W874" s="106" t="s">
        <v>305</v>
      </c>
      <c r="X874" s="106" t="s">
        <v>516</v>
      </c>
      <c r="Y874" s="26" t="s">
        <v>76</v>
      </c>
      <c r="Z874" s="75" t="s">
        <v>106</v>
      </c>
      <c r="AA874" s="30" t="s">
        <v>76</v>
      </c>
    </row>
    <row r="875" spans="1:28" ht="49.5" hidden="1">
      <c r="A875" s="88">
        <v>865</v>
      </c>
      <c r="B875" s="79" t="s">
        <v>4136</v>
      </c>
      <c r="C875" s="148" t="s">
        <v>10</v>
      </c>
      <c r="D875" s="80" t="s">
        <v>83</v>
      </c>
      <c r="E875" s="27" t="s">
        <v>4130</v>
      </c>
      <c r="F875" s="80" t="s">
        <v>338</v>
      </c>
      <c r="G875" s="81" t="s">
        <v>3370</v>
      </c>
      <c r="H875" s="80" t="s">
        <v>4131</v>
      </c>
      <c r="I875" s="92">
        <v>45706</v>
      </c>
      <c r="J875" s="80" t="s">
        <v>4066</v>
      </c>
      <c r="K875" s="80" t="s">
        <v>69</v>
      </c>
      <c r="L875" s="84" t="s">
        <v>10</v>
      </c>
      <c r="M875" s="84" t="s">
        <v>252</v>
      </c>
      <c r="N875" s="84" t="s">
        <v>72</v>
      </c>
      <c r="O875" s="307" t="s">
        <v>4137</v>
      </c>
      <c r="P875" s="149" t="s">
        <v>4138</v>
      </c>
      <c r="Q875" s="49" t="s">
        <v>75</v>
      </c>
      <c r="R875" s="25" t="s">
        <v>75</v>
      </c>
      <c r="S875" s="26">
        <v>20</v>
      </c>
      <c r="T875" s="55" t="s">
        <v>228</v>
      </c>
      <c r="U875" s="28" t="s">
        <v>4139</v>
      </c>
      <c r="V875" s="66" t="s">
        <v>75</v>
      </c>
      <c r="W875" s="106" t="s">
        <v>1511</v>
      </c>
      <c r="X875" s="106" t="s">
        <v>516</v>
      </c>
      <c r="Y875" s="106" t="s">
        <v>176</v>
      </c>
      <c r="Z875" s="75" t="s">
        <v>79</v>
      </c>
      <c r="AA875" s="30" t="s">
        <v>4140</v>
      </c>
    </row>
    <row r="876" spans="1:28" ht="82.5" hidden="1">
      <c r="A876" s="88">
        <v>866</v>
      </c>
      <c r="B876" s="79" t="s">
        <v>4141</v>
      </c>
      <c r="C876" s="148" t="s">
        <v>10</v>
      </c>
      <c r="D876" s="80" t="s">
        <v>83</v>
      </c>
      <c r="E876" s="27" t="s">
        <v>4130</v>
      </c>
      <c r="F876" s="80" t="s">
        <v>338</v>
      </c>
      <c r="G876" s="81" t="s">
        <v>3370</v>
      </c>
      <c r="H876" s="80" t="s">
        <v>4131</v>
      </c>
      <c r="I876" s="92">
        <v>45706</v>
      </c>
      <c r="J876" s="80" t="s">
        <v>4066</v>
      </c>
      <c r="K876" s="80" t="s">
        <v>3373</v>
      </c>
      <c r="L876" s="84" t="s">
        <v>10</v>
      </c>
      <c r="M876" s="84" t="s">
        <v>252</v>
      </c>
      <c r="N876" s="84" t="s">
        <v>72</v>
      </c>
      <c r="O876" s="307" t="s">
        <v>4142</v>
      </c>
      <c r="P876" s="149" t="s">
        <v>4143</v>
      </c>
      <c r="Q876" s="49" t="s">
        <v>75</v>
      </c>
      <c r="R876" s="195" t="s">
        <v>91</v>
      </c>
      <c r="S876" s="26">
        <v>20</v>
      </c>
      <c r="T876" s="26">
        <v>54</v>
      </c>
      <c r="U876" s="28" t="s">
        <v>4144</v>
      </c>
      <c r="V876" s="66"/>
      <c r="W876" s="106"/>
      <c r="X876" s="106" t="s">
        <v>516</v>
      </c>
      <c r="Y876" s="26" t="s">
        <v>76</v>
      </c>
      <c r="Z876" s="75" t="s">
        <v>106</v>
      </c>
      <c r="AA876" s="30" t="s">
        <v>76</v>
      </c>
    </row>
    <row r="877" spans="1:28" ht="33" hidden="1">
      <c r="A877" s="88">
        <v>867</v>
      </c>
      <c r="B877" s="79" t="s">
        <v>4145</v>
      </c>
      <c r="C877" s="148" t="s">
        <v>10</v>
      </c>
      <c r="D877" s="80" t="s">
        <v>83</v>
      </c>
      <c r="E877" s="27" t="s">
        <v>4146</v>
      </c>
      <c r="F877" s="80" t="s">
        <v>284</v>
      </c>
      <c r="G877" s="81" t="s">
        <v>3370</v>
      </c>
      <c r="H877" s="80" t="s">
        <v>4147</v>
      </c>
      <c r="I877" s="92">
        <v>45706</v>
      </c>
      <c r="J877" s="80" t="s">
        <v>4066</v>
      </c>
      <c r="K877" s="80" t="s">
        <v>3373</v>
      </c>
      <c r="L877" s="84" t="s">
        <v>10</v>
      </c>
      <c r="M877" s="84" t="s">
        <v>252</v>
      </c>
      <c r="N877" s="84" t="s">
        <v>72</v>
      </c>
      <c r="O877" s="307" t="s">
        <v>4148</v>
      </c>
      <c r="P877" s="149" t="s">
        <v>4149</v>
      </c>
      <c r="Q877" s="49" t="s">
        <v>91</v>
      </c>
      <c r="R877" s="25"/>
      <c r="S877" s="26">
        <v>5</v>
      </c>
      <c r="T877" s="26"/>
      <c r="U877" s="28" t="s">
        <v>4150</v>
      </c>
      <c r="V877" s="66"/>
      <c r="W877" s="106"/>
      <c r="X877" s="106" t="s">
        <v>76</v>
      </c>
      <c r="Y877" s="26" t="s">
        <v>76</v>
      </c>
      <c r="Z877" s="75" t="s">
        <v>193</v>
      </c>
      <c r="AA877" s="30" t="s">
        <v>76</v>
      </c>
      <c r="AB877" s="25" t="s">
        <v>75</v>
      </c>
    </row>
    <row r="878" spans="1:28" ht="132" hidden="1">
      <c r="A878" s="88">
        <v>868</v>
      </c>
      <c r="B878" s="79" t="s">
        <v>4151</v>
      </c>
      <c r="C878" s="148" t="s">
        <v>10</v>
      </c>
      <c r="D878" s="80" t="s">
        <v>83</v>
      </c>
      <c r="E878" s="27" t="s">
        <v>4152</v>
      </c>
      <c r="F878" s="80" t="s">
        <v>109</v>
      </c>
      <c r="G878" s="81" t="s">
        <v>3370</v>
      </c>
      <c r="H878" s="80" t="s">
        <v>4153</v>
      </c>
      <c r="I878" s="92">
        <v>45706</v>
      </c>
      <c r="J878" s="80" t="s">
        <v>4066</v>
      </c>
      <c r="K878" s="80" t="s">
        <v>3373</v>
      </c>
      <c r="L878" s="84" t="s">
        <v>10</v>
      </c>
      <c r="M878" s="84" t="s">
        <v>252</v>
      </c>
      <c r="N878" s="84" t="s">
        <v>72</v>
      </c>
      <c r="O878" s="307" t="s">
        <v>4154</v>
      </c>
      <c r="P878" s="149" t="s">
        <v>4155</v>
      </c>
      <c r="Q878" s="49" t="s">
        <v>75</v>
      </c>
      <c r="R878" s="25" t="s">
        <v>91</v>
      </c>
      <c r="S878" s="26">
        <v>20</v>
      </c>
      <c r="T878" s="75">
        <v>68</v>
      </c>
      <c r="U878" s="28" t="s">
        <v>4156</v>
      </c>
      <c r="V878" s="66"/>
      <c r="W878" s="106"/>
      <c r="X878" s="106" t="s">
        <v>516</v>
      </c>
      <c r="Y878" s="26" t="s">
        <v>76</v>
      </c>
      <c r="Z878" s="75" t="s">
        <v>106</v>
      </c>
      <c r="AA878" s="30" t="s">
        <v>76</v>
      </c>
    </row>
    <row r="879" spans="1:28" ht="115.5" hidden="1">
      <c r="A879" s="88">
        <v>869</v>
      </c>
      <c r="B879" s="79" t="s">
        <v>4157</v>
      </c>
      <c r="C879" s="148" t="s">
        <v>10</v>
      </c>
      <c r="D879" s="80" t="s">
        <v>83</v>
      </c>
      <c r="E879" s="27" t="s">
        <v>4152</v>
      </c>
      <c r="F879" s="80" t="s">
        <v>109</v>
      </c>
      <c r="G879" s="81" t="s">
        <v>3370</v>
      </c>
      <c r="H879" s="80" t="s">
        <v>4153</v>
      </c>
      <c r="I879" s="92">
        <v>45706</v>
      </c>
      <c r="J879" s="80" t="s">
        <v>4066</v>
      </c>
      <c r="K879" s="80" t="s">
        <v>3373</v>
      </c>
      <c r="L879" s="84" t="s">
        <v>10</v>
      </c>
      <c r="M879" s="84" t="s">
        <v>252</v>
      </c>
      <c r="N879" s="84" t="s">
        <v>72</v>
      </c>
      <c r="O879" s="307" t="s">
        <v>4158</v>
      </c>
      <c r="P879" s="149" t="s">
        <v>4159</v>
      </c>
      <c r="Q879" s="49" t="s">
        <v>75</v>
      </c>
      <c r="R879" s="25" t="s">
        <v>91</v>
      </c>
      <c r="S879" s="26">
        <v>22</v>
      </c>
      <c r="T879" s="26">
        <v>50</v>
      </c>
      <c r="U879" s="28" t="s">
        <v>4160</v>
      </c>
      <c r="V879" s="66"/>
      <c r="W879" s="106"/>
      <c r="X879" s="106" t="s">
        <v>516</v>
      </c>
      <c r="Y879" s="26" t="s">
        <v>76</v>
      </c>
      <c r="Z879" s="75" t="s">
        <v>93</v>
      </c>
      <c r="AA879" s="30" t="s">
        <v>76</v>
      </c>
    </row>
    <row r="880" spans="1:28" ht="33" hidden="1">
      <c r="A880" s="88">
        <v>870</v>
      </c>
      <c r="B880" s="79" t="s">
        <v>4161</v>
      </c>
      <c r="C880" s="148" t="s">
        <v>10</v>
      </c>
      <c r="D880" s="80" t="s">
        <v>83</v>
      </c>
      <c r="E880" s="27" t="s">
        <v>4162</v>
      </c>
      <c r="F880" s="80" t="s">
        <v>120</v>
      </c>
      <c r="G880" s="81" t="s">
        <v>4163</v>
      </c>
      <c r="H880" s="80" t="s">
        <v>4164</v>
      </c>
      <c r="I880" s="92">
        <v>45706</v>
      </c>
      <c r="J880" s="80" t="s">
        <v>4066</v>
      </c>
      <c r="K880" s="80" t="s">
        <v>3373</v>
      </c>
      <c r="L880" s="84" t="s">
        <v>10</v>
      </c>
      <c r="M880" s="84" t="s">
        <v>252</v>
      </c>
      <c r="N880" s="84" t="s">
        <v>72</v>
      </c>
      <c r="O880" s="307" t="s">
        <v>4165</v>
      </c>
      <c r="P880" s="149" t="s">
        <v>4166</v>
      </c>
      <c r="Q880" s="49" t="s">
        <v>75</v>
      </c>
      <c r="R880" s="196" t="s">
        <v>91</v>
      </c>
      <c r="S880" s="26">
        <v>23</v>
      </c>
      <c r="T880" s="26" t="s">
        <v>313</v>
      </c>
      <c r="U880" s="28" t="s">
        <v>4167</v>
      </c>
      <c r="V880" s="66"/>
      <c r="W880" s="106"/>
      <c r="X880" s="106" t="s">
        <v>516</v>
      </c>
      <c r="Y880" s="26" t="s">
        <v>76</v>
      </c>
      <c r="Z880" s="75" t="s">
        <v>106</v>
      </c>
      <c r="AA880" s="30" t="s">
        <v>76</v>
      </c>
    </row>
    <row r="881" spans="1:28" ht="82.5" hidden="1">
      <c r="A881" s="88">
        <v>871</v>
      </c>
      <c r="B881" s="79" t="s">
        <v>4168</v>
      </c>
      <c r="C881" s="148" t="s">
        <v>10</v>
      </c>
      <c r="D881" s="80" t="s">
        <v>83</v>
      </c>
      <c r="E881" s="27" t="s">
        <v>4169</v>
      </c>
      <c r="F881" s="80" t="s">
        <v>120</v>
      </c>
      <c r="G881" s="81" t="s">
        <v>3370</v>
      </c>
      <c r="H881" s="80" t="s">
        <v>4170</v>
      </c>
      <c r="I881" s="92">
        <v>45706</v>
      </c>
      <c r="J881" s="80" t="s">
        <v>4066</v>
      </c>
      <c r="K881" s="80" t="s">
        <v>3373</v>
      </c>
      <c r="L881" s="84" t="s">
        <v>10</v>
      </c>
      <c r="M881" s="84" t="s">
        <v>252</v>
      </c>
      <c r="N881" s="84" t="s">
        <v>72</v>
      </c>
      <c r="O881" s="307" t="s">
        <v>4171</v>
      </c>
      <c r="P881" s="149" t="s">
        <v>4172</v>
      </c>
      <c r="Q881" s="49" t="s">
        <v>75</v>
      </c>
      <c r="R881" s="25" t="s">
        <v>91</v>
      </c>
      <c r="S881" s="26">
        <v>21</v>
      </c>
      <c r="T881" s="26">
        <v>41</v>
      </c>
      <c r="U881" s="28" t="s">
        <v>4173</v>
      </c>
      <c r="W881" s="66"/>
      <c r="X881" s="106" t="s">
        <v>516</v>
      </c>
      <c r="Y881" s="26" t="s">
        <v>76</v>
      </c>
      <c r="Z881" s="75" t="s">
        <v>93</v>
      </c>
      <c r="AA881" s="30" t="s">
        <v>76</v>
      </c>
    </row>
    <row r="882" spans="1:28" ht="99" hidden="1">
      <c r="A882" s="88">
        <v>872</v>
      </c>
      <c r="B882" s="79" t="s">
        <v>4174</v>
      </c>
      <c r="C882" s="148" t="s">
        <v>10</v>
      </c>
      <c r="D882" s="80" t="s">
        <v>83</v>
      </c>
      <c r="E882" s="216">
        <v>2201932</v>
      </c>
      <c r="F882" s="80" t="s">
        <v>120</v>
      </c>
      <c r="G882" s="81" t="s">
        <v>3370</v>
      </c>
      <c r="H882" s="80" t="s">
        <v>4175</v>
      </c>
      <c r="I882" s="92">
        <v>45706</v>
      </c>
      <c r="J882" s="80" t="s">
        <v>4066</v>
      </c>
      <c r="K882" s="80" t="s">
        <v>3373</v>
      </c>
      <c r="L882" s="84" t="s">
        <v>10</v>
      </c>
      <c r="M882" s="84" t="s">
        <v>252</v>
      </c>
      <c r="N882" s="84" t="s">
        <v>72</v>
      </c>
      <c r="O882" s="307" t="s">
        <v>4176</v>
      </c>
      <c r="P882" s="149" t="s">
        <v>4177</v>
      </c>
      <c r="Q882" s="49" t="s">
        <v>75</v>
      </c>
      <c r="R882" s="25" t="s">
        <v>91</v>
      </c>
      <c r="S882" s="26">
        <v>22</v>
      </c>
      <c r="T882" s="26">
        <v>41</v>
      </c>
      <c r="U882" s="28" t="s">
        <v>4178</v>
      </c>
      <c r="V882" s="66"/>
      <c r="W882" s="106"/>
      <c r="X882" s="106" t="s">
        <v>516</v>
      </c>
      <c r="Y882" s="26" t="s">
        <v>76</v>
      </c>
      <c r="Z882" s="75" t="s">
        <v>93</v>
      </c>
      <c r="AA882" s="30" t="s">
        <v>76</v>
      </c>
    </row>
    <row r="883" spans="1:28" ht="115.5" hidden="1">
      <c r="A883" s="88">
        <v>873</v>
      </c>
      <c r="B883" s="79" t="s">
        <v>4179</v>
      </c>
      <c r="C883" s="148" t="s">
        <v>10</v>
      </c>
      <c r="D883" s="80" t="s">
        <v>83</v>
      </c>
      <c r="E883" s="27" t="s">
        <v>4180</v>
      </c>
      <c r="F883" s="80" t="s">
        <v>109</v>
      </c>
      <c r="G883" s="81" t="s">
        <v>3370</v>
      </c>
      <c r="H883" s="80" t="s">
        <v>4181</v>
      </c>
      <c r="I883" s="92">
        <v>45706</v>
      </c>
      <c r="J883" s="80" t="s">
        <v>4066</v>
      </c>
      <c r="K883" s="80" t="s">
        <v>3373</v>
      </c>
      <c r="L883" s="84" t="s">
        <v>10</v>
      </c>
      <c r="M883" s="84" t="s">
        <v>252</v>
      </c>
      <c r="N883" s="84" t="s">
        <v>72</v>
      </c>
      <c r="O883" s="307" t="s">
        <v>4182</v>
      </c>
      <c r="P883" s="149" t="s">
        <v>4183</v>
      </c>
      <c r="Q883" s="49" t="s">
        <v>75</v>
      </c>
      <c r="R883" s="25" t="s">
        <v>91</v>
      </c>
      <c r="S883" s="26">
        <v>23</v>
      </c>
      <c r="T883" s="26">
        <v>51</v>
      </c>
      <c r="U883" s="28" t="s">
        <v>4184</v>
      </c>
      <c r="V883" s="66"/>
      <c r="W883" s="106"/>
      <c r="X883" s="106" t="s">
        <v>516</v>
      </c>
      <c r="Y883" s="26" t="s">
        <v>76</v>
      </c>
      <c r="Z883" s="75" t="s">
        <v>106</v>
      </c>
      <c r="AA883" s="30" t="s">
        <v>76</v>
      </c>
    </row>
    <row r="884" spans="1:28" ht="99" hidden="1">
      <c r="A884" s="88">
        <v>874</v>
      </c>
      <c r="B884" s="79" t="s">
        <v>4185</v>
      </c>
      <c r="C884" s="148" t="s">
        <v>10</v>
      </c>
      <c r="D884" s="80" t="s">
        <v>83</v>
      </c>
      <c r="E884" s="27" t="s">
        <v>4186</v>
      </c>
      <c r="F884" s="80" t="s">
        <v>109</v>
      </c>
      <c r="G884" s="81" t="s">
        <v>4187</v>
      </c>
      <c r="H884" s="80" t="s">
        <v>4188</v>
      </c>
      <c r="I884" s="92">
        <v>45707</v>
      </c>
      <c r="J884" s="80" t="s">
        <v>4066</v>
      </c>
      <c r="K884" s="80" t="s">
        <v>3373</v>
      </c>
      <c r="L884" s="84" t="s">
        <v>10</v>
      </c>
      <c r="M884" s="84" t="s">
        <v>252</v>
      </c>
      <c r="N884" s="84" t="s">
        <v>72</v>
      </c>
      <c r="O884" s="307" t="s">
        <v>4189</v>
      </c>
      <c r="P884" s="149" t="s">
        <v>4190</v>
      </c>
      <c r="Q884" s="49" t="s">
        <v>75</v>
      </c>
      <c r="R884" s="25" t="s">
        <v>91</v>
      </c>
      <c r="S884" s="26">
        <v>26</v>
      </c>
      <c r="T884" s="26">
        <v>57</v>
      </c>
      <c r="U884" s="28" t="s">
        <v>4191</v>
      </c>
      <c r="V884" s="66"/>
      <c r="W884" s="106"/>
      <c r="X884" s="106" t="s">
        <v>516</v>
      </c>
      <c r="Y884" s="26" t="s">
        <v>76</v>
      </c>
      <c r="Z884" s="75" t="s">
        <v>93</v>
      </c>
      <c r="AA884" s="30" t="s">
        <v>76</v>
      </c>
    </row>
    <row r="885" spans="1:28" ht="329.25" hidden="1">
      <c r="A885" s="88">
        <v>875</v>
      </c>
      <c r="B885" s="79" t="s">
        <v>4192</v>
      </c>
      <c r="C885" s="148" t="s">
        <v>10</v>
      </c>
      <c r="D885" s="80" t="s">
        <v>83</v>
      </c>
      <c r="E885" s="27" t="s">
        <v>4186</v>
      </c>
      <c r="F885" s="80" t="s">
        <v>109</v>
      </c>
      <c r="G885" s="81" t="s">
        <v>4187</v>
      </c>
      <c r="H885" s="80" t="s">
        <v>4188</v>
      </c>
      <c r="I885" s="92">
        <v>45707</v>
      </c>
      <c r="J885" s="80" t="s">
        <v>4066</v>
      </c>
      <c r="K885" s="80" t="s">
        <v>3373</v>
      </c>
      <c r="L885" s="84" t="s">
        <v>10</v>
      </c>
      <c r="M885" s="84" t="s">
        <v>252</v>
      </c>
      <c r="N885" s="84" t="s">
        <v>72</v>
      </c>
      <c r="O885" s="307" t="s">
        <v>4193</v>
      </c>
      <c r="P885" s="149" t="s">
        <v>4194</v>
      </c>
      <c r="Q885" s="49" t="s">
        <v>75</v>
      </c>
      <c r="R885" s="25" t="s">
        <v>91</v>
      </c>
      <c r="S885" s="26">
        <v>23</v>
      </c>
      <c r="T885" s="26">
        <v>54</v>
      </c>
      <c r="U885" s="28" t="s">
        <v>4195</v>
      </c>
      <c r="V885" s="66"/>
      <c r="W885" s="106"/>
      <c r="X885" s="106" t="s">
        <v>516</v>
      </c>
      <c r="Y885" s="26" t="s">
        <v>76</v>
      </c>
      <c r="Z885" s="75" t="s">
        <v>93</v>
      </c>
      <c r="AA885" s="30" t="s">
        <v>76</v>
      </c>
    </row>
    <row r="886" spans="1:28" ht="99" hidden="1">
      <c r="A886" s="88">
        <v>876</v>
      </c>
      <c r="B886" s="79" t="s">
        <v>4196</v>
      </c>
      <c r="C886" s="148" t="s">
        <v>10</v>
      </c>
      <c r="D886" s="80" t="s">
        <v>83</v>
      </c>
      <c r="E886" s="27" t="s">
        <v>4197</v>
      </c>
      <c r="F886" s="80" t="s">
        <v>338</v>
      </c>
      <c r="G886" s="81" t="s">
        <v>4187</v>
      </c>
      <c r="H886" s="80" t="s">
        <v>4198</v>
      </c>
      <c r="I886" s="92">
        <v>45707</v>
      </c>
      <c r="J886" s="80" t="s">
        <v>4066</v>
      </c>
      <c r="K886" s="80" t="s">
        <v>3373</v>
      </c>
      <c r="L886" s="84" t="s">
        <v>10</v>
      </c>
      <c r="M886" s="84" t="s">
        <v>252</v>
      </c>
      <c r="N886" s="84" t="s">
        <v>72</v>
      </c>
      <c r="O886" s="307" t="s">
        <v>4199</v>
      </c>
      <c r="P886" s="149" t="s">
        <v>4200</v>
      </c>
      <c r="Q886" s="49" t="s">
        <v>75</v>
      </c>
      <c r="R886" s="25" t="s">
        <v>91</v>
      </c>
      <c r="S886" s="26">
        <v>23</v>
      </c>
      <c r="T886" s="26">
        <v>42</v>
      </c>
      <c r="U886" s="28" t="s">
        <v>4201</v>
      </c>
      <c r="V886" s="66"/>
      <c r="W886" s="106"/>
      <c r="X886" s="106" t="s">
        <v>516</v>
      </c>
      <c r="Y886" s="26" t="s">
        <v>76</v>
      </c>
      <c r="Z886" s="75" t="s">
        <v>93</v>
      </c>
      <c r="AA886" s="30" t="s">
        <v>76</v>
      </c>
    </row>
    <row r="887" spans="1:28" ht="148.5" hidden="1">
      <c r="A887" s="88">
        <v>877</v>
      </c>
      <c r="B887" s="79" t="s">
        <v>4202</v>
      </c>
      <c r="C887" s="148" t="s">
        <v>10</v>
      </c>
      <c r="D887" s="80" t="s">
        <v>83</v>
      </c>
      <c r="E887" s="27" t="s">
        <v>4203</v>
      </c>
      <c r="F887" s="80" t="s">
        <v>120</v>
      </c>
      <c r="G887" s="81" t="s">
        <v>4187</v>
      </c>
      <c r="H887" s="80" t="s">
        <v>4204</v>
      </c>
      <c r="I887" s="92">
        <v>45707</v>
      </c>
      <c r="J887" s="80" t="s">
        <v>4066</v>
      </c>
      <c r="K887" s="80" t="s">
        <v>3373</v>
      </c>
      <c r="L887" s="84" t="s">
        <v>10</v>
      </c>
      <c r="M887" s="84" t="s">
        <v>252</v>
      </c>
      <c r="N887" s="84" t="s">
        <v>72</v>
      </c>
      <c r="O887" s="307" t="s">
        <v>4205</v>
      </c>
      <c r="P887" s="149" t="s">
        <v>4206</v>
      </c>
      <c r="Q887" s="49" t="s">
        <v>75</v>
      </c>
      <c r="R887" s="25" t="s">
        <v>91</v>
      </c>
      <c r="S887" s="26">
        <v>26</v>
      </c>
      <c r="T887" s="26">
        <v>45</v>
      </c>
      <c r="U887" s="28" t="s">
        <v>4207</v>
      </c>
      <c r="V887" s="66"/>
      <c r="W887" s="106"/>
      <c r="X887" s="106" t="s">
        <v>516</v>
      </c>
      <c r="Y887" s="26" t="s">
        <v>76</v>
      </c>
      <c r="Z887" s="75" t="s">
        <v>93</v>
      </c>
      <c r="AA887" s="30" t="s">
        <v>76</v>
      </c>
    </row>
    <row r="888" spans="1:28" ht="130.5" hidden="1" customHeight="1">
      <c r="A888" s="88">
        <v>878</v>
      </c>
      <c r="B888" s="79" t="s">
        <v>4208</v>
      </c>
      <c r="C888" s="148" t="s">
        <v>10</v>
      </c>
      <c r="D888" s="80" t="s">
        <v>83</v>
      </c>
      <c r="E888" s="27" t="s">
        <v>4209</v>
      </c>
      <c r="F888" s="80" t="s">
        <v>120</v>
      </c>
      <c r="G888" s="81" t="s">
        <v>4187</v>
      </c>
      <c r="H888" s="80" t="s">
        <v>4210</v>
      </c>
      <c r="I888" s="92">
        <v>45707</v>
      </c>
      <c r="J888" s="80" t="s">
        <v>4066</v>
      </c>
      <c r="K888" s="80" t="s">
        <v>3373</v>
      </c>
      <c r="L888" s="84" t="s">
        <v>10</v>
      </c>
      <c r="M888" s="84" t="s">
        <v>252</v>
      </c>
      <c r="N888" s="84" t="s">
        <v>72</v>
      </c>
      <c r="O888" s="307" t="s">
        <v>4211</v>
      </c>
      <c r="P888" s="149" t="s">
        <v>4212</v>
      </c>
      <c r="Q888" s="49" t="s">
        <v>91</v>
      </c>
      <c r="R888" s="25"/>
      <c r="S888" s="26">
        <v>11</v>
      </c>
      <c r="T888" s="26"/>
      <c r="U888" s="28" t="s">
        <v>4213</v>
      </c>
      <c r="V888" s="66"/>
      <c r="W888" s="106"/>
      <c r="X888" s="106" t="s">
        <v>76</v>
      </c>
      <c r="Y888" s="26" t="s">
        <v>76</v>
      </c>
      <c r="Z888" s="75" t="s">
        <v>193</v>
      </c>
      <c r="AA888" s="30" t="s">
        <v>76</v>
      </c>
      <c r="AB888" s="25" t="s">
        <v>75</v>
      </c>
    </row>
    <row r="889" spans="1:28" ht="82.5" hidden="1">
      <c r="A889" s="88">
        <v>879</v>
      </c>
      <c r="B889" s="79" t="s">
        <v>4214</v>
      </c>
      <c r="C889" s="148" t="s">
        <v>10</v>
      </c>
      <c r="D889" s="80" t="s">
        <v>83</v>
      </c>
      <c r="E889" s="27" t="s">
        <v>4215</v>
      </c>
      <c r="F889" s="80" t="s">
        <v>109</v>
      </c>
      <c r="G889" s="81" t="s">
        <v>4216</v>
      </c>
      <c r="H889" s="80" t="s">
        <v>4217</v>
      </c>
      <c r="I889" s="92">
        <v>45707</v>
      </c>
      <c r="J889" s="80" t="s">
        <v>4066</v>
      </c>
      <c r="K889" s="80" t="s">
        <v>3373</v>
      </c>
      <c r="L889" s="84" t="s">
        <v>10</v>
      </c>
      <c r="M889" s="84" t="s">
        <v>252</v>
      </c>
      <c r="N889" s="84" t="s">
        <v>72</v>
      </c>
      <c r="O889" s="307" t="s">
        <v>4218</v>
      </c>
      <c r="P889" s="149" t="s">
        <v>4219</v>
      </c>
      <c r="Q889" s="49" t="s">
        <v>75</v>
      </c>
      <c r="R889" s="196" t="s">
        <v>91</v>
      </c>
      <c r="S889" s="26">
        <v>24</v>
      </c>
      <c r="T889" s="26"/>
      <c r="U889" s="28" t="s">
        <v>4220</v>
      </c>
      <c r="V889" s="66"/>
      <c r="W889" s="106"/>
      <c r="X889" s="106" t="s">
        <v>516</v>
      </c>
      <c r="Y889" s="26" t="s">
        <v>76</v>
      </c>
      <c r="Z889" s="75" t="s">
        <v>106</v>
      </c>
      <c r="AA889" s="30" t="s">
        <v>76</v>
      </c>
    </row>
    <row r="890" spans="1:28" ht="132" hidden="1">
      <c r="A890" s="88">
        <v>880</v>
      </c>
      <c r="B890" s="79" t="s">
        <v>4221</v>
      </c>
      <c r="C890" s="148" t="s">
        <v>10</v>
      </c>
      <c r="D890" s="80" t="s">
        <v>83</v>
      </c>
      <c r="E890" s="27" t="s">
        <v>4215</v>
      </c>
      <c r="F890" s="80" t="s">
        <v>109</v>
      </c>
      <c r="G890" s="81" t="s">
        <v>4216</v>
      </c>
      <c r="H890" s="80" t="s">
        <v>4217</v>
      </c>
      <c r="I890" s="92">
        <v>45707</v>
      </c>
      <c r="J890" s="80" t="s">
        <v>4066</v>
      </c>
      <c r="K890" s="80" t="s">
        <v>3373</v>
      </c>
      <c r="L890" s="84" t="s">
        <v>10</v>
      </c>
      <c r="M890" s="84" t="s">
        <v>252</v>
      </c>
      <c r="N890" s="84" t="s">
        <v>72</v>
      </c>
      <c r="O890" s="307" t="s">
        <v>4222</v>
      </c>
      <c r="P890" s="149" t="s">
        <v>4223</v>
      </c>
      <c r="Q890" s="49" t="s">
        <v>75</v>
      </c>
      <c r="R890" s="25" t="s">
        <v>91</v>
      </c>
      <c r="S890" s="26">
        <v>23</v>
      </c>
      <c r="T890" s="26">
        <v>41</v>
      </c>
      <c r="U890" s="28" t="s">
        <v>4224</v>
      </c>
      <c r="V890" s="66"/>
      <c r="W890" s="106"/>
      <c r="X890" s="106" t="s">
        <v>516</v>
      </c>
      <c r="Y890" s="26" t="s">
        <v>76</v>
      </c>
      <c r="Z890" s="75" t="s">
        <v>93</v>
      </c>
      <c r="AA890" s="30" t="s">
        <v>76</v>
      </c>
    </row>
    <row r="891" spans="1:28" ht="33" hidden="1">
      <c r="A891" s="88">
        <v>881</v>
      </c>
      <c r="B891" s="79" t="s">
        <v>4225</v>
      </c>
      <c r="C891" s="148" t="s">
        <v>10</v>
      </c>
      <c r="D891" s="80" t="s">
        <v>83</v>
      </c>
      <c r="E891" s="27" t="s">
        <v>4226</v>
      </c>
      <c r="F891" s="80" t="s">
        <v>109</v>
      </c>
      <c r="G891" s="81" t="s">
        <v>4216</v>
      </c>
      <c r="H891" s="80" t="s">
        <v>4227</v>
      </c>
      <c r="I891" s="92">
        <v>45707</v>
      </c>
      <c r="J891" s="80" t="s">
        <v>4132</v>
      </c>
      <c r="K891" s="80" t="s">
        <v>3373</v>
      </c>
      <c r="L891" s="84" t="s">
        <v>10</v>
      </c>
      <c r="M891" s="84" t="s">
        <v>221</v>
      </c>
      <c r="N891" s="84" t="s">
        <v>72</v>
      </c>
      <c r="O891" s="307" t="s">
        <v>4228</v>
      </c>
      <c r="P891" s="149" t="s">
        <v>4229</v>
      </c>
      <c r="Q891" s="49" t="s">
        <v>75</v>
      </c>
      <c r="R891" s="25" t="s">
        <v>504</v>
      </c>
      <c r="S891" s="26">
        <v>24</v>
      </c>
      <c r="T891" s="26"/>
      <c r="U891" s="28" t="s">
        <v>4220</v>
      </c>
      <c r="V891" s="66"/>
      <c r="W891" s="106"/>
      <c r="X891" s="106" t="s">
        <v>516</v>
      </c>
      <c r="Y891" s="26" t="s">
        <v>76</v>
      </c>
      <c r="Z891" s="75" t="s">
        <v>106</v>
      </c>
      <c r="AA891" s="30" t="s">
        <v>76</v>
      </c>
    </row>
    <row r="892" spans="1:28" ht="49.5" hidden="1">
      <c r="A892" s="88">
        <v>882</v>
      </c>
      <c r="B892" s="79" t="s">
        <v>4230</v>
      </c>
      <c r="C892" s="148" t="s">
        <v>10</v>
      </c>
      <c r="D892" s="80" t="s">
        <v>83</v>
      </c>
      <c r="E892" s="27" t="s">
        <v>4231</v>
      </c>
      <c r="F892" s="80" t="s">
        <v>109</v>
      </c>
      <c r="G892" s="81" t="s">
        <v>4216</v>
      </c>
      <c r="H892" s="80" t="s">
        <v>4232</v>
      </c>
      <c r="I892" s="92">
        <v>45707</v>
      </c>
      <c r="J892" s="80" t="s">
        <v>4233</v>
      </c>
      <c r="K892" s="80" t="s">
        <v>3373</v>
      </c>
      <c r="L892" s="84" t="s">
        <v>10</v>
      </c>
      <c r="M892" s="84" t="s">
        <v>148</v>
      </c>
      <c r="N892" s="84" t="s">
        <v>72</v>
      </c>
      <c r="O892" s="307" t="s">
        <v>4234</v>
      </c>
      <c r="P892" s="149" t="s">
        <v>4235</v>
      </c>
      <c r="Q892" s="49" t="s">
        <v>75</v>
      </c>
      <c r="R892" s="25" t="s">
        <v>504</v>
      </c>
      <c r="S892" s="26">
        <v>25</v>
      </c>
      <c r="T892" s="26"/>
      <c r="U892" s="28" t="s">
        <v>4220</v>
      </c>
      <c r="V892" s="66"/>
      <c r="W892" s="106"/>
      <c r="X892" s="106" t="s">
        <v>516</v>
      </c>
      <c r="Y892" s="26" t="s">
        <v>76</v>
      </c>
      <c r="Z892" s="75" t="s">
        <v>106</v>
      </c>
      <c r="AA892" s="30" t="s">
        <v>76</v>
      </c>
    </row>
    <row r="893" spans="1:28" ht="82.5" hidden="1">
      <c r="A893" s="88">
        <v>883</v>
      </c>
      <c r="B893" s="79" t="s">
        <v>4236</v>
      </c>
      <c r="C893" s="148" t="s">
        <v>10</v>
      </c>
      <c r="D893" s="80" t="s">
        <v>83</v>
      </c>
      <c r="E893" s="27" t="s">
        <v>4237</v>
      </c>
      <c r="F893" s="80" t="s">
        <v>109</v>
      </c>
      <c r="G893" s="81" t="s">
        <v>4216</v>
      </c>
      <c r="H893" s="80" t="s">
        <v>4238</v>
      </c>
      <c r="I893" s="92">
        <v>45707</v>
      </c>
      <c r="J893" s="80" t="s">
        <v>4066</v>
      </c>
      <c r="K893" s="80" t="s">
        <v>3373</v>
      </c>
      <c r="L893" s="84" t="s">
        <v>10</v>
      </c>
      <c r="M893" s="84" t="s">
        <v>252</v>
      </c>
      <c r="N893" s="84" t="s">
        <v>72</v>
      </c>
      <c r="O893" s="307" t="s">
        <v>4239</v>
      </c>
      <c r="P893" s="149" t="s">
        <v>4240</v>
      </c>
      <c r="Q893" s="49" t="s">
        <v>75</v>
      </c>
      <c r="R893" s="25" t="s">
        <v>504</v>
      </c>
      <c r="S893" s="26">
        <v>20</v>
      </c>
      <c r="T893" s="26"/>
      <c r="U893" s="28" t="s">
        <v>4241</v>
      </c>
      <c r="V893" s="66"/>
      <c r="W893" s="106"/>
      <c r="X893" s="106" t="s">
        <v>516</v>
      </c>
      <c r="Y893" s="26" t="s">
        <v>76</v>
      </c>
      <c r="Z893" s="75" t="s">
        <v>106</v>
      </c>
      <c r="AA893" s="30" t="s">
        <v>76</v>
      </c>
    </row>
    <row r="894" spans="1:28" ht="99" hidden="1">
      <c r="A894" s="88">
        <v>884</v>
      </c>
      <c r="B894" s="79" t="s">
        <v>4242</v>
      </c>
      <c r="C894" s="148" t="s">
        <v>10</v>
      </c>
      <c r="D894" s="80" t="s">
        <v>83</v>
      </c>
      <c r="E894" s="27" t="s">
        <v>4243</v>
      </c>
      <c r="F894" s="80" t="s">
        <v>65</v>
      </c>
      <c r="G894" s="81" t="s">
        <v>4216</v>
      </c>
      <c r="H894" s="80" t="s">
        <v>4244</v>
      </c>
      <c r="I894" s="92">
        <v>45707</v>
      </c>
      <c r="J894" s="80" t="s">
        <v>4066</v>
      </c>
      <c r="K894" s="80" t="s">
        <v>3373</v>
      </c>
      <c r="L894" s="84" t="s">
        <v>10</v>
      </c>
      <c r="M894" s="84" t="s">
        <v>252</v>
      </c>
      <c r="N894" s="84" t="s">
        <v>72</v>
      </c>
      <c r="O894" s="307" t="s">
        <v>4245</v>
      </c>
      <c r="P894" s="149" t="s">
        <v>4246</v>
      </c>
      <c r="Q894" s="49" t="s">
        <v>91</v>
      </c>
      <c r="R894" s="25"/>
      <c r="S894" s="26">
        <v>8</v>
      </c>
      <c r="T894" s="26"/>
      <c r="U894" s="28" t="s">
        <v>4247</v>
      </c>
      <c r="V894" s="66"/>
      <c r="W894" s="106"/>
      <c r="X894" s="106" t="s">
        <v>76</v>
      </c>
      <c r="Y894" s="26" t="s">
        <v>76</v>
      </c>
      <c r="Z894" s="75" t="s">
        <v>193</v>
      </c>
      <c r="AA894" s="30" t="s">
        <v>76</v>
      </c>
      <c r="AB894" s="25" t="s">
        <v>75</v>
      </c>
    </row>
    <row r="895" spans="1:28" ht="66" hidden="1">
      <c r="A895" s="88">
        <v>885</v>
      </c>
      <c r="B895" s="79" t="s">
        <v>4248</v>
      </c>
      <c r="C895" s="148" t="s">
        <v>10</v>
      </c>
      <c r="D895" s="80" t="s">
        <v>83</v>
      </c>
      <c r="E895" s="27" t="s">
        <v>4249</v>
      </c>
      <c r="F895" s="80" t="s">
        <v>65</v>
      </c>
      <c r="G895" s="81" t="s">
        <v>871</v>
      </c>
      <c r="H895" s="80" t="s">
        <v>4250</v>
      </c>
      <c r="I895" s="92">
        <v>45707</v>
      </c>
      <c r="J895" s="80" t="s">
        <v>4066</v>
      </c>
      <c r="K895" s="80" t="s">
        <v>1654</v>
      </c>
      <c r="L895" s="84" t="s">
        <v>10</v>
      </c>
      <c r="M895" s="84" t="s">
        <v>252</v>
      </c>
      <c r="N895" s="84" t="s">
        <v>72</v>
      </c>
      <c r="O895" s="307" t="s">
        <v>4251</v>
      </c>
      <c r="P895" s="149" t="s">
        <v>4252</v>
      </c>
      <c r="Q895" s="49" t="s">
        <v>75</v>
      </c>
      <c r="R895" s="25" t="s">
        <v>504</v>
      </c>
      <c r="S895" s="26">
        <v>23</v>
      </c>
      <c r="T895" s="26"/>
      <c r="U895" s="28" t="s">
        <v>4253</v>
      </c>
      <c r="V895" s="66"/>
      <c r="W895" s="106"/>
      <c r="X895" s="106" t="s">
        <v>516</v>
      </c>
      <c r="Y895" s="26" t="s">
        <v>76</v>
      </c>
      <c r="Z895" s="75" t="s">
        <v>106</v>
      </c>
      <c r="AA895" s="30" t="s">
        <v>76</v>
      </c>
    </row>
    <row r="896" spans="1:28" ht="115.5" hidden="1">
      <c r="A896" s="88">
        <v>886</v>
      </c>
      <c r="B896" s="79" t="s">
        <v>4254</v>
      </c>
      <c r="C896" s="148" t="s">
        <v>10</v>
      </c>
      <c r="D896" s="80" t="s">
        <v>83</v>
      </c>
      <c r="E896" s="27" t="s">
        <v>4255</v>
      </c>
      <c r="F896" s="80" t="s">
        <v>338</v>
      </c>
      <c r="G896" s="81" t="s">
        <v>871</v>
      </c>
      <c r="H896" s="80" t="s">
        <v>4256</v>
      </c>
      <c r="I896" s="92">
        <v>45707</v>
      </c>
      <c r="J896" s="80" t="s">
        <v>4066</v>
      </c>
      <c r="K896" s="80" t="s">
        <v>1654</v>
      </c>
      <c r="L896" s="84" t="s">
        <v>10</v>
      </c>
      <c r="M896" s="84" t="s">
        <v>252</v>
      </c>
      <c r="N896" s="84" t="s">
        <v>72</v>
      </c>
      <c r="O896" s="307" t="s">
        <v>4257</v>
      </c>
      <c r="P896" s="149" t="s">
        <v>4258</v>
      </c>
      <c r="Q896" s="49" t="s">
        <v>75</v>
      </c>
      <c r="R896" s="25" t="s">
        <v>504</v>
      </c>
      <c r="S896" s="26">
        <v>24</v>
      </c>
      <c r="T896" s="26"/>
      <c r="U896" s="28" t="s">
        <v>4253</v>
      </c>
      <c r="V896" s="66"/>
      <c r="W896" s="106"/>
      <c r="X896" s="106" t="s">
        <v>516</v>
      </c>
      <c r="Y896" s="26" t="s">
        <v>76</v>
      </c>
      <c r="Z896" s="75" t="s">
        <v>106</v>
      </c>
      <c r="AA896" s="30" t="s">
        <v>76</v>
      </c>
    </row>
    <row r="897" spans="1:28" ht="82.5" hidden="1">
      <c r="A897" s="88">
        <v>887</v>
      </c>
      <c r="B897" s="79" t="s">
        <v>4259</v>
      </c>
      <c r="C897" s="148" t="s">
        <v>237</v>
      </c>
      <c r="D897" s="80" t="s">
        <v>83</v>
      </c>
      <c r="E897" s="27" t="s">
        <v>870</v>
      </c>
      <c r="F897" s="80" t="s">
        <v>109</v>
      </c>
      <c r="G897" s="81" t="s">
        <v>871</v>
      </c>
      <c r="H897" s="80" t="s">
        <v>872</v>
      </c>
      <c r="I897" s="92">
        <v>45707</v>
      </c>
      <c r="J897" s="80" t="s">
        <v>4066</v>
      </c>
      <c r="K897" s="80" t="s">
        <v>1654</v>
      </c>
      <c r="L897" s="84" t="s">
        <v>10</v>
      </c>
      <c r="M897" s="84" t="s">
        <v>252</v>
      </c>
      <c r="N897" s="84" t="s">
        <v>72</v>
      </c>
      <c r="O897" s="28" t="s">
        <v>4260</v>
      </c>
      <c r="P897" s="149" t="s">
        <v>4261</v>
      </c>
      <c r="Q897" s="49" t="s">
        <v>75</v>
      </c>
      <c r="R897" s="25" t="s">
        <v>91</v>
      </c>
      <c r="S897" s="26"/>
      <c r="T897" s="26"/>
      <c r="U897" s="28" t="s">
        <v>4262</v>
      </c>
      <c r="V897" s="66"/>
      <c r="W897" s="106"/>
      <c r="X897" s="106" t="s">
        <v>516</v>
      </c>
      <c r="Y897" s="26" t="s">
        <v>76</v>
      </c>
      <c r="Z897" s="75"/>
      <c r="AA897" s="30" t="s">
        <v>76</v>
      </c>
    </row>
    <row r="898" spans="1:28" ht="66" hidden="1">
      <c r="A898" s="88">
        <v>888</v>
      </c>
      <c r="B898" s="79" t="s">
        <v>4263</v>
      </c>
      <c r="C898" s="148" t="s">
        <v>10</v>
      </c>
      <c r="D898" s="80" t="s">
        <v>83</v>
      </c>
      <c r="E898" s="27" t="s">
        <v>4264</v>
      </c>
      <c r="F898" s="80" t="s">
        <v>109</v>
      </c>
      <c r="G898" s="81" t="s">
        <v>871</v>
      </c>
      <c r="H898" s="80" t="s">
        <v>4265</v>
      </c>
      <c r="I898" s="92">
        <v>45707</v>
      </c>
      <c r="J898" s="80" t="s">
        <v>4066</v>
      </c>
      <c r="K898" s="80" t="s">
        <v>1654</v>
      </c>
      <c r="L898" s="84" t="s">
        <v>10</v>
      </c>
      <c r="M898" s="84" t="s">
        <v>252</v>
      </c>
      <c r="N898" s="84" t="s">
        <v>72</v>
      </c>
      <c r="O898" s="307" t="s">
        <v>4266</v>
      </c>
      <c r="P898" s="149" t="s">
        <v>4267</v>
      </c>
      <c r="Q898" s="49" t="s">
        <v>75</v>
      </c>
      <c r="R898" s="25" t="s">
        <v>504</v>
      </c>
      <c r="S898" s="26">
        <v>24</v>
      </c>
      <c r="T898" s="26"/>
      <c r="U898" s="28" t="s">
        <v>4268</v>
      </c>
      <c r="V898" s="66"/>
      <c r="W898" s="106"/>
      <c r="X898" s="106" t="s">
        <v>516</v>
      </c>
      <c r="Y898" s="26" t="s">
        <v>76</v>
      </c>
      <c r="Z898" s="75" t="s">
        <v>106</v>
      </c>
      <c r="AA898" s="30" t="s">
        <v>76</v>
      </c>
    </row>
    <row r="899" spans="1:28" ht="82.5" hidden="1">
      <c r="A899" s="88">
        <v>889</v>
      </c>
      <c r="B899" s="79" t="s">
        <v>4269</v>
      </c>
      <c r="C899" s="148" t="s">
        <v>10</v>
      </c>
      <c r="D899" s="80" t="s">
        <v>83</v>
      </c>
      <c r="E899" s="27" t="s">
        <v>4270</v>
      </c>
      <c r="F899" s="80" t="s">
        <v>120</v>
      </c>
      <c r="G899" s="81" t="s">
        <v>871</v>
      </c>
      <c r="H899" s="80" t="s">
        <v>4271</v>
      </c>
      <c r="I899" s="92">
        <v>45707</v>
      </c>
      <c r="J899" s="80" t="s">
        <v>4066</v>
      </c>
      <c r="K899" s="80" t="s">
        <v>1654</v>
      </c>
      <c r="L899" s="84" t="s">
        <v>10</v>
      </c>
      <c r="M899" s="84" t="s">
        <v>252</v>
      </c>
      <c r="N899" s="84" t="s">
        <v>72</v>
      </c>
      <c r="O899" s="307" t="s">
        <v>4272</v>
      </c>
      <c r="P899" s="149" t="s">
        <v>4273</v>
      </c>
      <c r="Q899" s="49" t="s">
        <v>75</v>
      </c>
      <c r="R899" s="25" t="s">
        <v>504</v>
      </c>
      <c r="S899" s="26">
        <v>25</v>
      </c>
      <c r="T899" s="26"/>
      <c r="U899" s="28" t="s">
        <v>4268</v>
      </c>
      <c r="V899" s="66"/>
      <c r="W899" s="106"/>
      <c r="X899" s="106" t="s">
        <v>516</v>
      </c>
      <c r="Y899" s="26" t="s">
        <v>76</v>
      </c>
      <c r="Z899" s="75" t="s">
        <v>106</v>
      </c>
      <c r="AA899" s="30" t="s">
        <v>76</v>
      </c>
    </row>
    <row r="900" spans="1:28" ht="180.75" hidden="1">
      <c r="A900" s="88">
        <v>890</v>
      </c>
      <c r="B900" s="79" t="s">
        <v>4274</v>
      </c>
      <c r="C900" s="148" t="s">
        <v>399</v>
      </c>
      <c r="D900" s="80" t="s">
        <v>83</v>
      </c>
      <c r="E900" s="27" t="s">
        <v>4275</v>
      </c>
      <c r="F900" s="80" t="s">
        <v>120</v>
      </c>
      <c r="G900" s="81" t="s">
        <v>2362</v>
      </c>
      <c r="H900" s="80" t="s">
        <v>4276</v>
      </c>
      <c r="I900" s="92">
        <v>45707</v>
      </c>
      <c r="J900" s="80" t="s">
        <v>3505</v>
      </c>
      <c r="K900" s="80" t="s">
        <v>69</v>
      </c>
      <c r="L900" s="84" t="s">
        <v>251</v>
      </c>
      <c r="M900" s="84" t="s">
        <v>252</v>
      </c>
      <c r="N900" s="84" t="s">
        <v>72</v>
      </c>
      <c r="O900" s="28" t="s">
        <v>4277</v>
      </c>
      <c r="P900" s="149" t="s">
        <v>4278</v>
      </c>
      <c r="Q900" s="49" t="s">
        <v>75</v>
      </c>
      <c r="R900" s="25" t="s">
        <v>91</v>
      </c>
      <c r="S900" s="26">
        <v>19</v>
      </c>
      <c r="T900" s="26">
        <v>65</v>
      </c>
      <c r="U900" s="28" t="s">
        <v>4279</v>
      </c>
      <c r="V900" s="66"/>
      <c r="W900" s="106"/>
      <c r="X900" s="106" t="s">
        <v>516</v>
      </c>
      <c r="Y900" s="26" t="s">
        <v>76</v>
      </c>
      <c r="Z900" s="75" t="s">
        <v>106</v>
      </c>
      <c r="AA900" s="30" t="s">
        <v>76</v>
      </c>
    </row>
    <row r="901" spans="1:28" ht="132" hidden="1">
      <c r="A901" s="88">
        <v>891</v>
      </c>
      <c r="B901" s="79" t="s">
        <v>4280</v>
      </c>
      <c r="C901" s="148" t="s">
        <v>10</v>
      </c>
      <c r="D901" s="80" t="s">
        <v>83</v>
      </c>
      <c r="E901" s="27" t="s">
        <v>4281</v>
      </c>
      <c r="F901" s="80" t="s">
        <v>120</v>
      </c>
      <c r="G901" s="81" t="s">
        <v>4282</v>
      </c>
      <c r="H901" s="80" t="s">
        <v>4283</v>
      </c>
      <c r="I901" s="92">
        <v>45707</v>
      </c>
      <c r="J901" s="80" t="s">
        <v>3505</v>
      </c>
      <c r="K901" s="80" t="s">
        <v>69</v>
      </c>
      <c r="L901" s="84" t="s">
        <v>251</v>
      </c>
      <c r="M901" s="84" t="s">
        <v>252</v>
      </c>
      <c r="N901" s="84" t="s">
        <v>72</v>
      </c>
      <c r="O901" s="307" t="s">
        <v>4284</v>
      </c>
      <c r="P901" s="149" t="s">
        <v>4285</v>
      </c>
      <c r="Q901" s="49" t="s">
        <v>75</v>
      </c>
      <c r="R901" s="25" t="s">
        <v>91</v>
      </c>
      <c r="S901" s="26">
        <v>18</v>
      </c>
      <c r="T901" s="26" t="s">
        <v>313</v>
      </c>
      <c r="U901" s="28" t="s">
        <v>4286</v>
      </c>
      <c r="V901" s="66"/>
      <c r="W901" s="106"/>
      <c r="X901" s="106" t="s">
        <v>516</v>
      </c>
      <c r="Y901" s="26" t="s">
        <v>76</v>
      </c>
      <c r="Z901" s="75" t="s">
        <v>93</v>
      </c>
      <c r="AA901" s="30" t="s">
        <v>76</v>
      </c>
    </row>
    <row r="902" spans="1:28" ht="148.5" hidden="1">
      <c r="A902" s="88">
        <v>892</v>
      </c>
      <c r="B902" s="79" t="s">
        <v>4287</v>
      </c>
      <c r="C902" s="148" t="s">
        <v>10</v>
      </c>
      <c r="D902" s="80" t="s">
        <v>83</v>
      </c>
      <c r="E902" s="27" t="s">
        <v>4288</v>
      </c>
      <c r="F902" s="80" t="s">
        <v>120</v>
      </c>
      <c r="G902" s="81" t="s">
        <v>4282</v>
      </c>
      <c r="H902" s="80" t="s">
        <v>4289</v>
      </c>
      <c r="I902" s="92">
        <v>45707</v>
      </c>
      <c r="J902" s="80" t="s">
        <v>4066</v>
      </c>
      <c r="K902" s="80" t="s">
        <v>3373</v>
      </c>
      <c r="L902" s="84" t="s">
        <v>10</v>
      </c>
      <c r="M902" s="84" t="s">
        <v>252</v>
      </c>
      <c r="N902" s="84" t="s">
        <v>72</v>
      </c>
      <c r="O902" s="307" t="s">
        <v>4290</v>
      </c>
      <c r="P902" s="149" t="s">
        <v>4291</v>
      </c>
      <c r="Q902" s="49" t="s">
        <v>75</v>
      </c>
      <c r="R902" s="179" t="s">
        <v>91</v>
      </c>
      <c r="S902" s="26">
        <v>25</v>
      </c>
      <c r="T902" s="26">
        <v>55</v>
      </c>
      <c r="U902" s="28" t="s">
        <v>4292</v>
      </c>
      <c r="V902" s="66"/>
      <c r="W902" s="106"/>
      <c r="X902" s="106" t="s">
        <v>516</v>
      </c>
      <c r="Y902" s="26" t="s">
        <v>76</v>
      </c>
      <c r="Z902" s="75" t="s">
        <v>106</v>
      </c>
      <c r="AA902" s="30" t="s">
        <v>76</v>
      </c>
    </row>
    <row r="903" spans="1:28" ht="66" hidden="1">
      <c r="A903" s="88">
        <v>893</v>
      </c>
      <c r="B903" s="79" t="s">
        <v>4293</v>
      </c>
      <c r="C903" s="148" t="s">
        <v>10</v>
      </c>
      <c r="D903" s="80" t="s">
        <v>83</v>
      </c>
      <c r="E903" s="27" t="s">
        <v>4294</v>
      </c>
      <c r="F903" s="80" t="s">
        <v>338</v>
      </c>
      <c r="G903" s="81" t="s">
        <v>4282</v>
      </c>
      <c r="H903" s="80" t="s">
        <v>4295</v>
      </c>
      <c r="I903" s="92">
        <v>45707</v>
      </c>
      <c r="J903" s="80" t="s">
        <v>3505</v>
      </c>
      <c r="K903" s="80" t="s">
        <v>69</v>
      </c>
      <c r="L903" s="84" t="s">
        <v>251</v>
      </c>
      <c r="M903" s="84" t="s">
        <v>252</v>
      </c>
      <c r="N903" s="84" t="s">
        <v>72</v>
      </c>
      <c r="O903" s="307" t="s">
        <v>4296</v>
      </c>
      <c r="P903" s="149" t="s">
        <v>4297</v>
      </c>
      <c r="Q903" s="49" t="s">
        <v>75</v>
      </c>
      <c r="R903" s="25" t="s">
        <v>91</v>
      </c>
      <c r="S903" s="26">
        <v>18</v>
      </c>
      <c r="T903" s="26" t="s">
        <v>313</v>
      </c>
      <c r="U903" s="28" t="s">
        <v>4298</v>
      </c>
      <c r="V903" s="66"/>
      <c r="W903" s="106"/>
      <c r="X903" s="106" t="s">
        <v>516</v>
      </c>
      <c r="Y903" s="26" t="s">
        <v>76</v>
      </c>
      <c r="Z903" s="75" t="s">
        <v>106</v>
      </c>
      <c r="AA903" s="30" t="s">
        <v>76</v>
      </c>
    </row>
    <row r="904" spans="1:28" ht="49.5" hidden="1">
      <c r="A904" s="88">
        <v>894</v>
      </c>
      <c r="B904" s="79" t="s">
        <v>4299</v>
      </c>
      <c r="C904" s="148" t="s">
        <v>10</v>
      </c>
      <c r="D904" s="80" t="s">
        <v>83</v>
      </c>
      <c r="E904" s="27" t="s">
        <v>4300</v>
      </c>
      <c r="F904" s="80" t="s">
        <v>109</v>
      </c>
      <c r="G904" s="81" t="s">
        <v>4301</v>
      </c>
      <c r="H904" s="80" t="s">
        <v>4302</v>
      </c>
      <c r="I904" s="92">
        <v>45707</v>
      </c>
      <c r="J904" s="80" t="s">
        <v>4066</v>
      </c>
      <c r="K904" s="80" t="s">
        <v>491</v>
      </c>
      <c r="L904" s="84" t="s">
        <v>10</v>
      </c>
      <c r="M904" s="84" t="s">
        <v>252</v>
      </c>
      <c r="N904" s="84" t="s">
        <v>72</v>
      </c>
      <c r="O904" s="307" t="s">
        <v>4303</v>
      </c>
      <c r="P904" s="149" t="s">
        <v>4304</v>
      </c>
      <c r="Q904" s="49" t="s">
        <v>75</v>
      </c>
      <c r="R904" s="25" t="s">
        <v>504</v>
      </c>
      <c r="S904" s="26">
        <v>18</v>
      </c>
      <c r="T904" s="26"/>
      <c r="U904" s="28" t="s">
        <v>4305</v>
      </c>
      <c r="V904" s="66"/>
      <c r="W904" s="106"/>
      <c r="X904" s="106" t="s">
        <v>516</v>
      </c>
      <c r="Y904" s="26" t="s">
        <v>76</v>
      </c>
      <c r="Z904" s="75" t="s">
        <v>106</v>
      </c>
      <c r="AA904" s="30" t="s">
        <v>76</v>
      </c>
    </row>
    <row r="905" spans="1:28" ht="29.25" hidden="1" customHeight="1">
      <c r="A905" s="88">
        <v>895</v>
      </c>
      <c r="B905" s="79" t="s">
        <v>4306</v>
      </c>
      <c r="C905" s="148" t="s">
        <v>10</v>
      </c>
      <c r="D905" s="80" t="s">
        <v>83</v>
      </c>
      <c r="E905" s="27" t="s">
        <v>4307</v>
      </c>
      <c r="F905" s="80" t="s">
        <v>120</v>
      </c>
      <c r="G905" s="81" t="s">
        <v>4301</v>
      </c>
      <c r="H905" s="80" t="s">
        <v>4308</v>
      </c>
      <c r="I905" s="92">
        <v>45707</v>
      </c>
      <c r="J905" s="80" t="s">
        <v>4066</v>
      </c>
      <c r="K905" s="80" t="s">
        <v>3373</v>
      </c>
      <c r="L905" s="84" t="s">
        <v>10</v>
      </c>
      <c r="M905" s="84" t="s">
        <v>252</v>
      </c>
      <c r="N905" s="84" t="s">
        <v>72</v>
      </c>
      <c r="O905" s="307" t="s">
        <v>4309</v>
      </c>
      <c r="P905" s="149" t="s">
        <v>4310</v>
      </c>
      <c r="Q905" s="49" t="s">
        <v>91</v>
      </c>
      <c r="R905" s="25"/>
      <c r="S905" s="26">
        <v>12</v>
      </c>
      <c r="T905" s="26"/>
      <c r="U905" s="28" t="s">
        <v>4311</v>
      </c>
      <c r="V905" s="66"/>
      <c r="W905" s="106"/>
      <c r="X905" s="106" t="s">
        <v>76</v>
      </c>
      <c r="Y905" s="26" t="s">
        <v>76</v>
      </c>
      <c r="Z905" s="75" t="s">
        <v>193</v>
      </c>
      <c r="AA905" s="30" t="s">
        <v>76</v>
      </c>
      <c r="AB905" s="25" t="s">
        <v>75</v>
      </c>
    </row>
    <row r="906" spans="1:28" ht="66" hidden="1">
      <c r="A906" s="88">
        <v>896</v>
      </c>
      <c r="B906" s="79" t="s">
        <v>4312</v>
      </c>
      <c r="C906" s="148" t="s">
        <v>10</v>
      </c>
      <c r="D906" s="80" t="s">
        <v>83</v>
      </c>
      <c r="E906" s="27" t="s">
        <v>4313</v>
      </c>
      <c r="F906" s="80" t="s">
        <v>338</v>
      </c>
      <c r="G906" s="81" t="s">
        <v>4301</v>
      </c>
      <c r="H906" s="80" t="s">
        <v>4314</v>
      </c>
      <c r="I906" s="92">
        <v>45707</v>
      </c>
      <c r="J906" s="80" t="s">
        <v>4066</v>
      </c>
      <c r="K906" s="80" t="s">
        <v>3373</v>
      </c>
      <c r="L906" s="84" t="s">
        <v>10</v>
      </c>
      <c r="M906" s="84" t="s">
        <v>252</v>
      </c>
      <c r="N906" s="84" t="s">
        <v>72</v>
      </c>
      <c r="O906" s="307" t="s">
        <v>4315</v>
      </c>
      <c r="P906" s="149" t="s">
        <v>4316</v>
      </c>
      <c r="Q906" s="49" t="s">
        <v>75</v>
      </c>
      <c r="R906" s="25" t="s">
        <v>91</v>
      </c>
      <c r="S906" s="26">
        <v>24</v>
      </c>
      <c r="T906" s="26" t="s">
        <v>313</v>
      </c>
      <c r="U906" s="28" t="s">
        <v>4317</v>
      </c>
      <c r="V906" s="66"/>
      <c r="W906" s="106"/>
      <c r="X906" s="106" t="s">
        <v>516</v>
      </c>
      <c r="Y906" s="26" t="s">
        <v>76</v>
      </c>
      <c r="Z906" s="75" t="s">
        <v>106</v>
      </c>
      <c r="AA906" s="30" t="s">
        <v>76</v>
      </c>
    </row>
    <row r="907" spans="1:28" ht="66" hidden="1">
      <c r="A907" s="88">
        <v>897</v>
      </c>
      <c r="B907" s="79" t="s">
        <v>4318</v>
      </c>
      <c r="C907" s="148" t="s">
        <v>10</v>
      </c>
      <c r="D907" s="80" t="s">
        <v>83</v>
      </c>
      <c r="E907" s="27" t="s">
        <v>4319</v>
      </c>
      <c r="F907" s="80" t="s">
        <v>120</v>
      </c>
      <c r="G907" s="81" t="s">
        <v>4301</v>
      </c>
      <c r="H907" s="80" t="s">
        <v>4320</v>
      </c>
      <c r="I907" s="92">
        <v>45707</v>
      </c>
      <c r="J907" s="80" t="s">
        <v>4066</v>
      </c>
      <c r="K907" s="80" t="s">
        <v>3373</v>
      </c>
      <c r="L907" s="84" t="s">
        <v>10</v>
      </c>
      <c r="M907" s="84" t="s">
        <v>252</v>
      </c>
      <c r="N907" s="84" t="s">
        <v>72</v>
      </c>
      <c r="O907" s="307" t="s">
        <v>4321</v>
      </c>
      <c r="P907" s="149" t="s">
        <v>4322</v>
      </c>
      <c r="Q907" s="49" t="s">
        <v>75</v>
      </c>
      <c r="R907" s="25" t="s">
        <v>91</v>
      </c>
      <c r="S907" s="26">
        <v>23</v>
      </c>
      <c r="T907" s="26">
        <v>52</v>
      </c>
      <c r="U907" s="28" t="s">
        <v>4323</v>
      </c>
      <c r="V907" s="66"/>
      <c r="W907" s="106"/>
      <c r="X907" s="106" t="s">
        <v>516</v>
      </c>
      <c r="Y907" s="26" t="s">
        <v>76</v>
      </c>
      <c r="Z907" s="75" t="s">
        <v>93</v>
      </c>
      <c r="AA907" s="30" t="s">
        <v>76</v>
      </c>
    </row>
    <row r="908" spans="1:28" ht="66" hidden="1">
      <c r="A908" s="88">
        <v>898</v>
      </c>
      <c r="B908" s="79" t="s">
        <v>4324</v>
      </c>
      <c r="C908" s="148" t="s">
        <v>10</v>
      </c>
      <c r="D908" s="80" t="s">
        <v>83</v>
      </c>
      <c r="E908" s="27" t="s">
        <v>4325</v>
      </c>
      <c r="F908" s="80" t="s">
        <v>65</v>
      </c>
      <c r="G908" s="81" t="s">
        <v>4301</v>
      </c>
      <c r="H908" s="80" t="s">
        <v>2926</v>
      </c>
      <c r="I908" s="92">
        <v>45707</v>
      </c>
      <c r="J908" s="80" t="s">
        <v>4066</v>
      </c>
      <c r="K908" s="80" t="s">
        <v>3373</v>
      </c>
      <c r="L908" s="84" t="s">
        <v>10</v>
      </c>
      <c r="M908" s="84" t="s">
        <v>252</v>
      </c>
      <c r="N908" s="84" t="s">
        <v>72</v>
      </c>
      <c r="O908" s="307" t="s">
        <v>4326</v>
      </c>
      <c r="P908" s="149" t="s">
        <v>4327</v>
      </c>
      <c r="Q908" s="49" t="s">
        <v>75</v>
      </c>
      <c r="R908" s="25" t="s">
        <v>91</v>
      </c>
      <c r="S908" s="26">
        <v>20</v>
      </c>
      <c r="T908" s="26">
        <v>47</v>
      </c>
      <c r="U908" s="28" t="s">
        <v>4328</v>
      </c>
      <c r="V908" s="66"/>
      <c r="W908" s="106"/>
      <c r="X908" s="106" t="s">
        <v>516</v>
      </c>
      <c r="Y908" s="26" t="s">
        <v>76</v>
      </c>
      <c r="Z908" s="75" t="s">
        <v>106</v>
      </c>
      <c r="AA908" s="30" t="s">
        <v>76</v>
      </c>
    </row>
    <row r="909" spans="1:28" ht="82.5" hidden="1">
      <c r="A909" s="88">
        <v>899</v>
      </c>
      <c r="B909" s="79" t="s">
        <v>4329</v>
      </c>
      <c r="C909" s="148" t="s">
        <v>10</v>
      </c>
      <c r="D909" s="80" t="s">
        <v>83</v>
      </c>
      <c r="E909" s="27" t="s">
        <v>4330</v>
      </c>
      <c r="F909" s="80" t="s">
        <v>120</v>
      </c>
      <c r="G909" s="81" t="s">
        <v>4301</v>
      </c>
      <c r="H909" s="80" t="s">
        <v>4331</v>
      </c>
      <c r="I909" s="92">
        <v>45707</v>
      </c>
      <c r="J909" s="80" t="s">
        <v>4066</v>
      </c>
      <c r="K909" s="80" t="s">
        <v>3373</v>
      </c>
      <c r="L909" s="84" t="s">
        <v>10</v>
      </c>
      <c r="M909" s="84" t="s">
        <v>252</v>
      </c>
      <c r="N909" s="84" t="s">
        <v>72</v>
      </c>
      <c r="O909" s="307" t="s">
        <v>4332</v>
      </c>
      <c r="P909" s="149" t="s">
        <v>4333</v>
      </c>
      <c r="Q909" s="49" t="s">
        <v>75</v>
      </c>
      <c r="R909" s="25" t="s">
        <v>91</v>
      </c>
      <c r="S909" s="26">
        <v>26</v>
      </c>
      <c r="T909" s="26">
        <v>46</v>
      </c>
      <c r="U909" s="28" t="s">
        <v>4328</v>
      </c>
      <c r="V909" s="66"/>
      <c r="W909" s="106"/>
      <c r="X909" s="106" t="s">
        <v>516</v>
      </c>
      <c r="Y909" s="26" t="s">
        <v>76</v>
      </c>
      <c r="Z909" s="75" t="s">
        <v>106</v>
      </c>
      <c r="AA909" s="30" t="s">
        <v>76</v>
      </c>
    </row>
    <row r="910" spans="1:28" ht="99" hidden="1">
      <c r="A910" s="88">
        <v>900</v>
      </c>
      <c r="B910" s="79" t="s">
        <v>4334</v>
      </c>
      <c r="C910" s="148" t="s">
        <v>10</v>
      </c>
      <c r="D910" s="80" t="s">
        <v>83</v>
      </c>
      <c r="E910" s="27" t="s">
        <v>4335</v>
      </c>
      <c r="F910" s="80" t="s">
        <v>284</v>
      </c>
      <c r="G910" s="81" t="s">
        <v>4336</v>
      </c>
      <c r="H910" s="80" t="s">
        <v>4337</v>
      </c>
      <c r="I910" s="92">
        <v>45707</v>
      </c>
      <c r="J910" s="80" t="s">
        <v>4066</v>
      </c>
      <c r="K910" s="80" t="s">
        <v>3373</v>
      </c>
      <c r="L910" s="84" t="s">
        <v>10</v>
      </c>
      <c r="M910" s="84" t="s">
        <v>252</v>
      </c>
      <c r="N910" s="84" t="s">
        <v>72</v>
      </c>
      <c r="O910" s="307" t="s">
        <v>4338</v>
      </c>
      <c r="P910" s="149" t="s">
        <v>4339</v>
      </c>
      <c r="Q910" s="49" t="s">
        <v>75</v>
      </c>
      <c r="R910" s="195" t="s">
        <v>91</v>
      </c>
      <c r="S910" s="26">
        <v>23</v>
      </c>
      <c r="T910" s="26">
        <v>48</v>
      </c>
      <c r="U910" s="28" t="s">
        <v>4340</v>
      </c>
      <c r="V910" s="66"/>
      <c r="W910" s="106"/>
      <c r="X910" s="106" t="s">
        <v>516</v>
      </c>
      <c r="Y910" s="26" t="s">
        <v>76</v>
      </c>
      <c r="Z910" s="75" t="s">
        <v>106</v>
      </c>
      <c r="AA910" s="30" t="s">
        <v>76</v>
      </c>
    </row>
    <row r="911" spans="1:28" ht="66" hidden="1">
      <c r="A911" s="88">
        <v>901</v>
      </c>
      <c r="B911" s="79" t="s">
        <v>4341</v>
      </c>
      <c r="C911" s="148" t="s">
        <v>10</v>
      </c>
      <c r="D911" s="80" t="s">
        <v>83</v>
      </c>
      <c r="E911" s="27" t="s">
        <v>4335</v>
      </c>
      <c r="F911" s="80" t="s">
        <v>284</v>
      </c>
      <c r="G911" s="81" t="s">
        <v>4336</v>
      </c>
      <c r="H911" s="80" t="s">
        <v>4337</v>
      </c>
      <c r="I911" s="92">
        <v>45707</v>
      </c>
      <c r="J911" s="80" t="s">
        <v>4066</v>
      </c>
      <c r="K911" s="80" t="s">
        <v>3373</v>
      </c>
      <c r="L911" s="84" t="s">
        <v>10</v>
      </c>
      <c r="M911" s="84" t="s">
        <v>252</v>
      </c>
      <c r="N911" s="84" t="s">
        <v>72</v>
      </c>
      <c r="O911" s="307" t="s">
        <v>4342</v>
      </c>
      <c r="P911" s="149" t="s">
        <v>4343</v>
      </c>
      <c r="Q911" s="49" t="s">
        <v>75</v>
      </c>
      <c r="R911" s="195" t="s">
        <v>91</v>
      </c>
      <c r="S911" s="26">
        <v>25</v>
      </c>
      <c r="T911" s="130">
        <v>53</v>
      </c>
      <c r="U911" s="28" t="s">
        <v>4344</v>
      </c>
      <c r="V911" s="66"/>
      <c r="W911" s="106"/>
      <c r="X911" s="106" t="s">
        <v>516</v>
      </c>
      <c r="Y911" s="26" t="s">
        <v>76</v>
      </c>
      <c r="Z911" s="75" t="s">
        <v>106</v>
      </c>
      <c r="AA911" s="30" t="s">
        <v>76</v>
      </c>
    </row>
    <row r="912" spans="1:28" ht="33" hidden="1">
      <c r="A912" s="88">
        <v>902</v>
      </c>
      <c r="B912" s="79" t="s">
        <v>4345</v>
      </c>
      <c r="C912" s="148" t="s">
        <v>10</v>
      </c>
      <c r="D912" s="80" t="s">
        <v>83</v>
      </c>
      <c r="E912" s="27" t="s">
        <v>4335</v>
      </c>
      <c r="F912" s="80" t="s">
        <v>284</v>
      </c>
      <c r="G912" s="81" t="s">
        <v>4336</v>
      </c>
      <c r="H912" s="80" t="s">
        <v>4337</v>
      </c>
      <c r="I912" s="92">
        <v>45707</v>
      </c>
      <c r="J912" s="80" t="s">
        <v>4066</v>
      </c>
      <c r="K912" s="80" t="s">
        <v>3373</v>
      </c>
      <c r="L912" s="84" t="s">
        <v>10</v>
      </c>
      <c r="M912" s="84" t="s">
        <v>252</v>
      </c>
      <c r="N912" s="84" t="s">
        <v>72</v>
      </c>
      <c r="O912" s="307" t="s">
        <v>4346</v>
      </c>
      <c r="P912" s="149" t="s">
        <v>4347</v>
      </c>
      <c r="Q912" s="49" t="s">
        <v>91</v>
      </c>
      <c r="R912" s="25"/>
      <c r="S912" s="26">
        <v>14</v>
      </c>
      <c r="T912" s="26"/>
      <c r="U912" s="152" t="s">
        <v>4348</v>
      </c>
      <c r="V912" s="66"/>
      <c r="W912" s="106"/>
      <c r="X912" s="106" t="s">
        <v>76</v>
      </c>
      <c r="Y912" s="26" t="s">
        <v>76</v>
      </c>
      <c r="Z912" s="75" t="s">
        <v>193</v>
      </c>
      <c r="AA912" s="30" t="s">
        <v>76</v>
      </c>
    </row>
    <row r="913" spans="1:27" ht="66" hidden="1">
      <c r="A913" s="88">
        <v>903</v>
      </c>
      <c r="B913" s="79" t="s">
        <v>4349</v>
      </c>
      <c r="C913" s="148" t="s">
        <v>10</v>
      </c>
      <c r="D913" s="80" t="s">
        <v>83</v>
      </c>
      <c r="E913" s="27" t="s">
        <v>4350</v>
      </c>
      <c r="F913" s="80" t="s">
        <v>120</v>
      </c>
      <c r="G913" s="81" t="s">
        <v>4336</v>
      </c>
      <c r="H913" s="80" t="s">
        <v>4351</v>
      </c>
      <c r="I913" s="92">
        <v>45707</v>
      </c>
      <c r="J913" s="80" t="s">
        <v>4066</v>
      </c>
      <c r="K913" s="80" t="s">
        <v>1654</v>
      </c>
      <c r="L913" s="84" t="s">
        <v>10</v>
      </c>
      <c r="M913" s="84" t="s">
        <v>252</v>
      </c>
      <c r="N913" s="84" t="s">
        <v>72</v>
      </c>
      <c r="O913" s="307" t="s">
        <v>4352</v>
      </c>
      <c r="P913" s="149" t="s">
        <v>4353</v>
      </c>
      <c r="Q913" s="49" t="s">
        <v>75</v>
      </c>
      <c r="R913" s="195" t="s">
        <v>91</v>
      </c>
      <c r="S913" s="26">
        <v>25</v>
      </c>
      <c r="T913" s="26">
        <v>65</v>
      </c>
      <c r="U913" s="152" t="s">
        <v>4354</v>
      </c>
      <c r="V913" s="66"/>
      <c r="W913" s="106"/>
      <c r="X913" s="106" t="s">
        <v>516</v>
      </c>
      <c r="Y913" s="26" t="s">
        <v>76</v>
      </c>
      <c r="Z913" s="75" t="s">
        <v>106</v>
      </c>
      <c r="AA913" s="30" t="s">
        <v>76</v>
      </c>
    </row>
    <row r="914" spans="1:27" ht="33" hidden="1">
      <c r="A914" s="88">
        <v>904</v>
      </c>
      <c r="B914" s="79" t="s">
        <v>4355</v>
      </c>
      <c r="C914" s="148" t="s">
        <v>10</v>
      </c>
      <c r="D914" s="80" t="s">
        <v>83</v>
      </c>
      <c r="E914" s="27" t="s">
        <v>4350</v>
      </c>
      <c r="F914" s="80" t="s">
        <v>120</v>
      </c>
      <c r="G914" s="81" t="s">
        <v>4336</v>
      </c>
      <c r="H914" s="80" t="s">
        <v>4351</v>
      </c>
      <c r="I914" s="92">
        <v>45707</v>
      </c>
      <c r="J914" s="80" t="s">
        <v>4066</v>
      </c>
      <c r="K914" s="80" t="s">
        <v>1654</v>
      </c>
      <c r="L914" s="84" t="s">
        <v>10</v>
      </c>
      <c r="M914" s="84" t="s">
        <v>252</v>
      </c>
      <c r="N914" s="84" t="s">
        <v>72</v>
      </c>
      <c r="O914" s="307" t="s">
        <v>4356</v>
      </c>
      <c r="P914" s="149" t="s">
        <v>4357</v>
      </c>
      <c r="Q914" s="49" t="s">
        <v>75</v>
      </c>
      <c r="R914" s="195" t="s">
        <v>91</v>
      </c>
      <c r="S914" s="26">
        <v>25</v>
      </c>
      <c r="T914" s="26">
        <v>60</v>
      </c>
      <c r="U914" s="152" t="s">
        <v>4354</v>
      </c>
      <c r="V914" s="66"/>
      <c r="W914" s="106"/>
      <c r="X914" s="106" t="s">
        <v>516</v>
      </c>
      <c r="Y914" s="26" t="s">
        <v>76</v>
      </c>
      <c r="Z914" s="75" t="s">
        <v>106</v>
      </c>
      <c r="AA914" s="30" t="s">
        <v>76</v>
      </c>
    </row>
    <row r="915" spans="1:27" ht="132" hidden="1">
      <c r="A915" s="88">
        <v>905</v>
      </c>
      <c r="B915" s="79" t="s">
        <v>4358</v>
      </c>
      <c r="C915" s="148" t="s">
        <v>10</v>
      </c>
      <c r="D915" s="80" t="s">
        <v>83</v>
      </c>
      <c r="E915" s="27" t="s">
        <v>4350</v>
      </c>
      <c r="F915" s="80" t="s">
        <v>120</v>
      </c>
      <c r="G915" s="81" t="s">
        <v>4336</v>
      </c>
      <c r="H915" s="80" t="s">
        <v>4351</v>
      </c>
      <c r="I915" s="92">
        <v>45707</v>
      </c>
      <c r="J915" s="80" t="s">
        <v>4066</v>
      </c>
      <c r="K915" s="80" t="s">
        <v>1654</v>
      </c>
      <c r="L915" s="84" t="s">
        <v>10</v>
      </c>
      <c r="M915" s="84" t="s">
        <v>252</v>
      </c>
      <c r="N915" s="84" t="s">
        <v>72</v>
      </c>
      <c r="O915" s="307" t="s">
        <v>4359</v>
      </c>
      <c r="P915" s="149" t="s">
        <v>4360</v>
      </c>
      <c r="Q915" s="49" t="s">
        <v>91</v>
      </c>
      <c r="R915" s="25"/>
      <c r="S915" s="26">
        <v>10</v>
      </c>
      <c r="T915" s="26"/>
      <c r="U915" s="152" t="s">
        <v>4361</v>
      </c>
      <c r="V915" s="66"/>
      <c r="W915" s="106"/>
      <c r="X915" s="106" t="s">
        <v>76</v>
      </c>
      <c r="Y915" s="26" t="s">
        <v>76</v>
      </c>
      <c r="Z915" s="75" t="s">
        <v>193</v>
      </c>
      <c r="AA915" s="30" t="s">
        <v>76</v>
      </c>
    </row>
    <row r="916" spans="1:27" ht="33" hidden="1">
      <c r="A916" s="88">
        <v>906</v>
      </c>
      <c r="B916" s="79" t="s">
        <v>4362</v>
      </c>
      <c r="C916" s="148" t="s">
        <v>10</v>
      </c>
      <c r="D916" s="80" t="s">
        <v>83</v>
      </c>
      <c r="E916" s="27" t="s">
        <v>4363</v>
      </c>
      <c r="F916" s="80" t="s">
        <v>109</v>
      </c>
      <c r="G916" s="81" t="s">
        <v>4336</v>
      </c>
      <c r="H916" s="80" t="s">
        <v>4364</v>
      </c>
      <c r="I916" s="92">
        <v>45707</v>
      </c>
      <c r="J916" s="80" t="s">
        <v>4066</v>
      </c>
      <c r="K916" s="80" t="s">
        <v>1654</v>
      </c>
      <c r="L916" s="84" t="s">
        <v>10</v>
      </c>
      <c r="M916" s="84" t="s">
        <v>252</v>
      </c>
      <c r="N916" s="84" t="s">
        <v>72</v>
      </c>
      <c r="O916" s="307" t="s">
        <v>4365</v>
      </c>
      <c r="P916" s="149" t="s">
        <v>4366</v>
      </c>
      <c r="Q916" s="49" t="s">
        <v>75</v>
      </c>
      <c r="R916" s="195" t="s">
        <v>91</v>
      </c>
      <c r="S916" s="26">
        <v>24</v>
      </c>
      <c r="T916" s="26">
        <v>52</v>
      </c>
      <c r="U916" s="152" t="s">
        <v>4354</v>
      </c>
      <c r="V916" s="66"/>
      <c r="W916" s="106"/>
      <c r="X916" s="106" t="s">
        <v>516</v>
      </c>
      <c r="Y916" s="26" t="s">
        <v>76</v>
      </c>
      <c r="Z916" s="75" t="s">
        <v>106</v>
      </c>
      <c r="AA916" s="30" t="s">
        <v>76</v>
      </c>
    </row>
    <row r="917" spans="1:27" ht="49.5" hidden="1">
      <c r="A917" s="88">
        <v>907</v>
      </c>
      <c r="B917" s="79" t="s">
        <v>4367</v>
      </c>
      <c r="C917" s="148" t="s">
        <v>10</v>
      </c>
      <c r="D917" s="80" t="s">
        <v>83</v>
      </c>
      <c r="E917" s="27" t="s">
        <v>4368</v>
      </c>
      <c r="F917" s="80" t="s">
        <v>65</v>
      </c>
      <c r="G917" s="81" t="s">
        <v>4336</v>
      </c>
      <c r="H917" s="80" t="s">
        <v>4369</v>
      </c>
      <c r="I917" s="92">
        <v>45707</v>
      </c>
      <c r="J917" s="80" t="s">
        <v>4066</v>
      </c>
      <c r="K917" s="80" t="s">
        <v>1654</v>
      </c>
      <c r="L917" s="84" t="s">
        <v>10</v>
      </c>
      <c r="M917" s="84" t="s">
        <v>252</v>
      </c>
      <c r="N917" s="84" t="s">
        <v>72</v>
      </c>
      <c r="O917" s="307" t="s">
        <v>4370</v>
      </c>
      <c r="P917" s="149" t="s">
        <v>4371</v>
      </c>
      <c r="Q917" s="49" t="s">
        <v>75</v>
      </c>
      <c r="R917" s="195" t="s">
        <v>91</v>
      </c>
      <c r="S917" s="26">
        <v>26</v>
      </c>
      <c r="T917" s="26">
        <v>64</v>
      </c>
      <c r="U917" s="152" t="s">
        <v>4354</v>
      </c>
      <c r="V917" s="66"/>
      <c r="W917" s="106"/>
      <c r="X917" s="106" t="s">
        <v>516</v>
      </c>
      <c r="Y917" s="26" t="s">
        <v>76</v>
      </c>
      <c r="Z917" s="75" t="s">
        <v>106</v>
      </c>
      <c r="AA917" s="30" t="s">
        <v>76</v>
      </c>
    </row>
    <row r="918" spans="1:27" ht="66" hidden="1">
      <c r="A918" s="88">
        <v>908</v>
      </c>
      <c r="B918" s="79" t="s">
        <v>4372</v>
      </c>
      <c r="C918" s="148" t="s">
        <v>10</v>
      </c>
      <c r="D918" s="80" t="s">
        <v>83</v>
      </c>
      <c r="E918" s="27" t="s">
        <v>4368</v>
      </c>
      <c r="F918" s="80" t="s">
        <v>65</v>
      </c>
      <c r="G918" s="81" t="s">
        <v>4336</v>
      </c>
      <c r="H918" s="80" t="s">
        <v>4369</v>
      </c>
      <c r="I918" s="92">
        <v>45707</v>
      </c>
      <c r="J918" s="80" t="s">
        <v>4066</v>
      </c>
      <c r="K918" s="80" t="s">
        <v>1654</v>
      </c>
      <c r="L918" s="84" t="s">
        <v>10</v>
      </c>
      <c r="M918" s="84" t="s">
        <v>252</v>
      </c>
      <c r="N918" s="84" t="s">
        <v>72</v>
      </c>
      <c r="O918" s="307" t="s">
        <v>4373</v>
      </c>
      <c r="P918" s="149" t="s">
        <v>4374</v>
      </c>
      <c r="Q918" s="49" t="s">
        <v>75</v>
      </c>
      <c r="R918" s="195" t="s">
        <v>91</v>
      </c>
      <c r="S918" s="26">
        <v>22</v>
      </c>
      <c r="T918" s="26">
        <v>58</v>
      </c>
      <c r="U918" s="152" t="s">
        <v>4375</v>
      </c>
      <c r="V918" s="66"/>
      <c r="W918" s="106"/>
      <c r="X918" s="106" t="s">
        <v>516</v>
      </c>
      <c r="Y918" s="26" t="s">
        <v>76</v>
      </c>
      <c r="Z918" s="75" t="s">
        <v>106</v>
      </c>
      <c r="AA918" s="30" t="s">
        <v>76</v>
      </c>
    </row>
    <row r="919" spans="1:27" ht="49.5" hidden="1">
      <c r="A919" s="88">
        <v>909</v>
      </c>
      <c r="B919" s="79" t="s">
        <v>4376</v>
      </c>
      <c r="C919" s="148" t="s">
        <v>10</v>
      </c>
      <c r="D919" s="80" t="s">
        <v>83</v>
      </c>
      <c r="E919" s="27" t="s">
        <v>4377</v>
      </c>
      <c r="F919" s="80" t="s">
        <v>120</v>
      </c>
      <c r="G919" s="81" t="s">
        <v>4336</v>
      </c>
      <c r="H919" s="80" t="s">
        <v>4378</v>
      </c>
      <c r="I919" s="92">
        <v>45707</v>
      </c>
      <c r="J919" s="80" t="s">
        <v>4066</v>
      </c>
      <c r="K919" s="80" t="s">
        <v>1654</v>
      </c>
      <c r="L919" s="84" t="s">
        <v>10</v>
      </c>
      <c r="M919" s="84" t="s">
        <v>252</v>
      </c>
      <c r="N919" s="84" t="s">
        <v>72</v>
      </c>
      <c r="O919" s="307" t="s">
        <v>4379</v>
      </c>
      <c r="P919" s="149" t="s">
        <v>4380</v>
      </c>
      <c r="Q919" s="49" t="s">
        <v>75</v>
      </c>
      <c r="R919" s="195" t="s">
        <v>91</v>
      </c>
      <c r="S919" s="26">
        <v>28</v>
      </c>
      <c r="T919" s="26">
        <v>59</v>
      </c>
      <c r="U919" s="152" t="s">
        <v>4354</v>
      </c>
      <c r="V919" s="66"/>
      <c r="W919" s="106"/>
      <c r="X919" s="106" t="s">
        <v>516</v>
      </c>
      <c r="Y919" s="26" t="s">
        <v>76</v>
      </c>
      <c r="Z919" s="75" t="s">
        <v>106</v>
      </c>
      <c r="AA919" s="30" t="s">
        <v>76</v>
      </c>
    </row>
    <row r="920" spans="1:27" ht="115.5" customHeight="1">
      <c r="A920" s="88">
        <v>910</v>
      </c>
      <c r="B920" s="79" t="s">
        <v>4381</v>
      </c>
      <c r="C920" s="148" t="s">
        <v>9</v>
      </c>
      <c r="D920" s="80" t="s">
        <v>83</v>
      </c>
      <c r="E920" s="27" t="s">
        <v>4382</v>
      </c>
      <c r="F920" s="80" t="s">
        <v>65</v>
      </c>
      <c r="G920" s="81" t="s">
        <v>4383</v>
      </c>
      <c r="H920" s="80" t="s">
        <v>4384</v>
      </c>
      <c r="I920" s="92">
        <v>45708</v>
      </c>
      <c r="J920" s="80" t="s">
        <v>4385</v>
      </c>
      <c r="K920" s="80" t="s">
        <v>4386</v>
      </c>
      <c r="L920" s="84" t="s">
        <v>4387</v>
      </c>
      <c r="M920" s="84" t="s">
        <v>252</v>
      </c>
      <c r="N920" s="84" t="s">
        <v>72</v>
      </c>
      <c r="O920" s="28" t="s">
        <v>4388</v>
      </c>
      <c r="P920" s="237" t="s">
        <v>4389</v>
      </c>
      <c r="Q920" s="49" t="s">
        <v>75</v>
      </c>
      <c r="R920" s="25" t="s">
        <v>504</v>
      </c>
      <c r="S920" s="270">
        <v>25</v>
      </c>
      <c r="T920" s="270">
        <v>86</v>
      </c>
      <c r="U920" s="255" t="s">
        <v>4390</v>
      </c>
      <c r="V920" s="66"/>
      <c r="W920" s="106"/>
      <c r="X920" s="106" t="s">
        <v>516</v>
      </c>
      <c r="Y920" s="26" t="s">
        <v>76</v>
      </c>
      <c r="Z920" s="75" t="s">
        <v>106</v>
      </c>
      <c r="AA920" s="30" t="s">
        <v>76</v>
      </c>
    </row>
    <row r="921" spans="1:27" ht="49.5">
      <c r="A921" s="88">
        <v>911</v>
      </c>
      <c r="B921" s="79" t="s">
        <v>4391</v>
      </c>
      <c r="C921" s="148" t="s">
        <v>9</v>
      </c>
      <c r="D921" s="80" t="s">
        <v>4392</v>
      </c>
      <c r="E921" s="27" t="s">
        <v>4393</v>
      </c>
      <c r="F921" s="80" t="s">
        <v>284</v>
      </c>
      <c r="G921" s="81" t="s">
        <v>4394</v>
      </c>
      <c r="H921" s="80" t="s">
        <v>4395</v>
      </c>
      <c r="I921" s="92">
        <v>45708</v>
      </c>
      <c r="J921" s="80" t="s">
        <v>4385</v>
      </c>
      <c r="K921" s="80" t="s">
        <v>4386</v>
      </c>
      <c r="L921" s="84" t="s">
        <v>4387</v>
      </c>
      <c r="M921" s="84" t="s">
        <v>252</v>
      </c>
      <c r="N921" s="84" t="s">
        <v>72</v>
      </c>
      <c r="O921" s="28" t="s">
        <v>4396</v>
      </c>
      <c r="P921" s="28" t="s">
        <v>4397</v>
      </c>
      <c r="Q921" s="49" t="s">
        <v>75</v>
      </c>
      <c r="R921" s="25" t="s">
        <v>91</v>
      </c>
      <c r="S921" s="130">
        <v>19</v>
      </c>
      <c r="T921" s="130">
        <v>59</v>
      </c>
      <c r="U921" s="28" t="s">
        <v>4398</v>
      </c>
      <c r="V921" s="66"/>
      <c r="W921" s="106"/>
      <c r="X921" s="106" t="s">
        <v>516</v>
      </c>
      <c r="Y921" s="26" t="s">
        <v>76</v>
      </c>
      <c r="Z921" s="75" t="s">
        <v>93</v>
      </c>
      <c r="AA921" s="30" t="s">
        <v>76</v>
      </c>
    </row>
    <row r="922" spans="1:27" ht="33">
      <c r="A922" s="88">
        <v>912</v>
      </c>
      <c r="B922" s="79" t="s">
        <v>4399</v>
      </c>
      <c r="C922" s="148" t="s">
        <v>9</v>
      </c>
      <c r="D922" s="80" t="s">
        <v>83</v>
      </c>
      <c r="E922" s="27" t="s">
        <v>4400</v>
      </c>
      <c r="F922" s="80" t="s">
        <v>109</v>
      </c>
      <c r="G922" s="81" t="s">
        <v>4383</v>
      </c>
      <c r="H922" s="80" t="s">
        <v>4401</v>
      </c>
      <c r="I922" s="92">
        <v>45708</v>
      </c>
      <c r="J922" s="80" t="s">
        <v>4385</v>
      </c>
      <c r="K922" s="80" t="s">
        <v>4386</v>
      </c>
      <c r="L922" s="84" t="s">
        <v>4387</v>
      </c>
      <c r="M922" s="84" t="s">
        <v>252</v>
      </c>
      <c r="N922" s="84" t="s">
        <v>72</v>
      </c>
      <c r="O922" s="28" t="s">
        <v>4402</v>
      </c>
      <c r="P922" s="28" t="s">
        <v>4403</v>
      </c>
      <c r="Q922" s="49" t="s">
        <v>75</v>
      </c>
      <c r="R922" s="25" t="s">
        <v>91</v>
      </c>
      <c r="S922" s="147">
        <v>19</v>
      </c>
      <c r="T922" s="147">
        <v>62</v>
      </c>
      <c r="U922" s="28" t="s">
        <v>4404</v>
      </c>
      <c r="V922" s="66"/>
      <c r="W922" s="106"/>
      <c r="X922" s="106" t="s">
        <v>516</v>
      </c>
      <c r="Y922" s="26" t="s">
        <v>76</v>
      </c>
      <c r="Z922" s="75" t="s">
        <v>93</v>
      </c>
      <c r="AA922" s="30" t="s">
        <v>76</v>
      </c>
    </row>
    <row r="923" spans="1:27" ht="33">
      <c r="A923" s="88">
        <v>913</v>
      </c>
      <c r="B923" s="79" t="s">
        <v>4405</v>
      </c>
      <c r="C923" s="148" t="s">
        <v>9</v>
      </c>
      <c r="D923" s="80" t="s">
        <v>83</v>
      </c>
      <c r="E923" s="27" t="s">
        <v>4406</v>
      </c>
      <c r="F923" s="80" t="s">
        <v>65</v>
      </c>
      <c r="G923" s="81" t="s">
        <v>4383</v>
      </c>
      <c r="H923" s="80" t="s">
        <v>4407</v>
      </c>
      <c r="I923" s="92">
        <v>45708</v>
      </c>
      <c r="J923" s="80" t="s">
        <v>4385</v>
      </c>
      <c r="K923" s="80" t="s">
        <v>4386</v>
      </c>
      <c r="L923" s="84" t="s">
        <v>4387</v>
      </c>
      <c r="M923" s="84" t="s">
        <v>252</v>
      </c>
      <c r="N923" s="84" t="s">
        <v>72</v>
      </c>
      <c r="O923" s="28" t="s">
        <v>4408</v>
      </c>
      <c r="P923" s="237" t="s">
        <v>4409</v>
      </c>
      <c r="Q923" s="49" t="s">
        <v>75</v>
      </c>
      <c r="R923" s="25" t="s">
        <v>91</v>
      </c>
      <c r="S923" s="147">
        <v>20</v>
      </c>
      <c r="T923" s="147">
        <v>67</v>
      </c>
      <c r="U923" s="28" t="s">
        <v>4410</v>
      </c>
      <c r="V923" s="66"/>
      <c r="W923" s="106"/>
      <c r="X923" s="106" t="s">
        <v>516</v>
      </c>
      <c r="Y923" s="26" t="s">
        <v>76</v>
      </c>
      <c r="Z923" s="75" t="s">
        <v>93</v>
      </c>
      <c r="AA923" s="30" t="s">
        <v>76</v>
      </c>
    </row>
    <row r="924" spans="1:27" ht="33">
      <c r="A924" s="88">
        <v>914</v>
      </c>
      <c r="B924" s="79" t="s">
        <v>4411</v>
      </c>
      <c r="C924" s="148" t="s">
        <v>9</v>
      </c>
      <c r="D924" s="80" t="s">
        <v>83</v>
      </c>
      <c r="E924" s="27" t="s">
        <v>4412</v>
      </c>
      <c r="F924" s="80" t="s">
        <v>120</v>
      </c>
      <c r="G924" s="81" t="s">
        <v>4383</v>
      </c>
      <c r="H924" s="80" t="s">
        <v>4413</v>
      </c>
      <c r="I924" s="92">
        <v>45708</v>
      </c>
      <c r="J924" s="80" t="s">
        <v>4385</v>
      </c>
      <c r="K924" s="80" t="s">
        <v>4386</v>
      </c>
      <c r="L924" s="84" t="s">
        <v>4387</v>
      </c>
      <c r="M924" s="84" t="s">
        <v>252</v>
      </c>
      <c r="N924" s="84" t="s">
        <v>72</v>
      </c>
      <c r="O924" s="28" t="s">
        <v>4414</v>
      </c>
      <c r="P924" s="245" t="s">
        <v>4415</v>
      </c>
      <c r="Q924" s="49" t="s">
        <v>75</v>
      </c>
      <c r="R924" s="25" t="s">
        <v>91</v>
      </c>
      <c r="S924" s="147">
        <v>18</v>
      </c>
      <c r="T924" s="147">
        <v>58</v>
      </c>
      <c r="U924" s="28" t="s">
        <v>4416</v>
      </c>
      <c r="V924" s="66"/>
      <c r="W924" s="106"/>
      <c r="X924" s="106" t="s">
        <v>516</v>
      </c>
      <c r="Y924" s="26" t="s">
        <v>76</v>
      </c>
      <c r="Z924" s="75" t="s">
        <v>93</v>
      </c>
      <c r="AA924" s="30" t="s">
        <v>76</v>
      </c>
    </row>
    <row r="925" spans="1:27" ht="33">
      <c r="A925" s="88">
        <v>915</v>
      </c>
      <c r="B925" s="79" t="s">
        <v>4417</v>
      </c>
      <c r="C925" s="148" t="s">
        <v>9</v>
      </c>
      <c r="D925" s="80" t="s">
        <v>83</v>
      </c>
      <c r="E925" s="27" t="s">
        <v>4418</v>
      </c>
      <c r="F925" s="80" t="s">
        <v>284</v>
      </c>
      <c r="G925" s="81" t="s">
        <v>4383</v>
      </c>
      <c r="H925" s="80" t="s">
        <v>4419</v>
      </c>
      <c r="I925" s="92">
        <v>45708</v>
      </c>
      <c r="J925" s="80" t="s">
        <v>4385</v>
      </c>
      <c r="K925" s="80" t="s">
        <v>4386</v>
      </c>
      <c r="L925" s="84" t="s">
        <v>4387</v>
      </c>
      <c r="M925" s="84" t="s">
        <v>252</v>
      </c>
      <c r="N925" s="84" t="s">
        <v>72</v>
      </c>
      <c r="O925" s="28" t="s">
        <v>4420</v>
      </c>
      <c r="P925" s="245" t="s">
        <v>4421</v>
      </c>
      <c r="Q925" s="49" t="s">
        <v>75</v>
      </c>
      <c r="R925" s="25" t="s">
        <v>91</v>
      </c>
      <c r="S925" s="147">
        <v>19</v>
      </c>
      <c r="T925" s="147">
        <v>50</v>
      </c>
      <c r="U925" s="28" t="s">
        <v>4422</v>
      </c>
      <c r="V925" s="66"/>
      <c r="W925" s="106"/>
      <c r="X925" s="106" t="s">
        <v>516</v>
      </c>
      <c r="Y925" s="26" t="s">
        <v>76</v>
      </c>
      <c r="Z925" s="75" t="s">
        <v>93</v>
      </c>
      <c r="AA925" s="30" t="s">
        <v>76</v>
      </c>
    </row>
    <row r="926" spans="1:27" ht="33">
      <c r="A926" s="88">
        <v>916</v>
      </c>
      <c r="B926" s="79" t="s">
        <v>4423</v>
      </c>
      <c r="C926" s="148" t="s">
        <v>9</v>
      </c>
      <c r="D926" s="80" t="s">
        <v>83</v>
      </c>
      <c r="E926" s="27" t="s">
        <v>4424</v>
      </c>
      <c r="F926" s="80" t="s">
        <v>109</v>
      </c>
      <c r="G926" s="81" t="s">
        <v>4383</v>
      </c>
      <c r="H926" s="80" t="s">
        <v>4425</v>
      </c>
      <c r="I926" s="92">
        <v>45708</v>
      </c>
      <c r="J926" s="80" t="s">
        <v>4385</v>
      </c>
      <c r="K926" s="80" t="s">
        <v>4386</v>
      </c>
      <c r="L926" s="84" t="s">
        <v>4387</v>
      </c>
      <c r="M926" s="84" t="s">
        <v>252</v>
      </c>
      <c r="N926" s="84" t="s">
        <v>72</v>
      </c>
      <c r="O926" s="28" t="s">
        <v>4426</v>
      </c>
      <c r="P926" s="28" t="s">
        <v>4427</v>
      </c>
      <c r="Q926" s="49" t="s">
        <v>75</v>
      </c>
      <c r="R926" s="25" t="s">
        <v>91</v>
      </c>
      <c r="S926" s="147">
        <v>21</v>
      </c>
      <c r="T926" s="147">
        <v>65</v>
      </c>
      <c r="U926" s="28" t="s">
        <v>4428</v>
      </c>
      <c r="V926" s="66"/>
      <c r="W926" s="106"/>
      <c r="X926" s="106" t="s">
        <v>516</v>
      </c>
      <c r="Y926" s="26" t="s">
        <v>76</v>
      </c>
      <c r="Z926" s="75" t="s">
        <v>93</v>
      </c>
      <c r="AA926" s="30" t="s">
        <v>76</v>
      </c>
    </row>
    <row r="927" spans="1:27" ht="69.75" customHeight="1">
      <c r="A927" s="88">
        <v>917</v>
      </c>
      <c r="B927" s="79" t="s">
        <v>4429</v>
      </c>
      <c r="C927" s="148" t="s">
        <v>9</v>
      </c>
      <c r="D927" s="80" t="s">
        <v>83</v>
      </c>
      <c r="E927" s="27" t="s">
        <v>4430</v>
      </c>
      <c r="F927" s="80" t="s">
        <v>65</v>
      </c>
      <c r="G927" s="81" t="s">
        <v>4383</v>
      </c>
      <c r="H927" s="80" t="s">
        <v>4431</v>
      </c>
      <c r="I927" s="92">
        <v>45708</v>
      </c>
      <c r="J927" s="80" t="s">
        <v>4385</v>
      </c>
      <c r="K927" s="80" t="s">
        <v>4386</v>
      </c>
      <c r="L927" s="84" t="s">
        <v>4387</v>
      </c>
      <c r="M927" s="84" t="s">
        <v>252</v>
      </c>
      <c r="N927" s="84" t="s">
        <v>72</v>
      </c>
      <c r="O927" s="28" t="s">
        <v>4432</v>
      </c>
      <c r="P927" s="237" t="s">
        <v>4433</v>
      </c>
      <c r="Q927" s="49" t="s">
        <v>91</v>
      </c>
      <c r="R927" s="147" t="s">
        <v>76</v>
      </c>
      <c r="S927" s="147">
        <v>16</v>
      </c>
      <c r="T927" s="147" t="s">
        <v>76</v>
      </c>
      <c r="U927" s="28" t="s">
        <v>4434</v>
      </c>
      <c r="V927" s="66"/>
      <c r="W927" s="106"/>
      <c r="X927" s="106" t="s">
        <v>76</v>
      </c>
      <c r="Y927" s="26" t="s">
        <v>76</v>
      </c>
      <c r="Z927" s="75" t="s">
        <v>193</v>
      </c>
      <c r="AA927" s="30" t="s">
        <v>76</v>
      </c>
    </row>
    <row r="928" spans="1:27" ht="69.75" customHeight="1">
      <c r="A928" s="88">
        <v>918</v>
      </c>
      <c r="B928" s="79" t="s">
        <v>4435</v>
      </c>
      <c r="C928" s="148" t="s">
        <v>9</v>
      </c>
      <c r="D928" s="80" t="s">
        <v>83</v>
      </c>
      <c r="E928" s="27" t="s">
        <v>4430</v>
      </c>
      <c r="F928" s="80" t="s">
        <v>65</v>
      </c>
      <c r="G928" s="81" t="s">
        <v>4383</v>
      </c>
      <c r="H928" s="80" t="s">
        <v>4431</v>
      </c>
      <c r="I928" s="92">
        <v>45708</v>
      </c>
      <c r="J928" s="80" t="s">
        <v>4385</v>
      </c>
      <c r="K928" s="80" t="s">
        <v>4386</v>
      </c>
      <c r="L928" s="84" t="s">
        <v>4387</v>
      </c>
      <c r="M928" s="84" t="s">
        <v>252</v>
      </c>
      <c r="N928" s="84" t="s">
        <v>72</v>
      </c>
      <c r="O928" s="28" t="s">
        <v>4436</v>
      </c>
      <c r="P928" s="245" t="s">
        <v>4437</v>
      </c>
      <c r="Q928" s="49" t="s">
        <v>75</v>
      </c>
      <c r="R928" s="25" t="s">
        <v>91</v>
      </c>
      <c r="S928" s="147">
        <v>19</v>
      </c>
      <c r="T928" s="147">
        <v>62</v>
      </c>
      <c r="U928" s="28" t="s">
        <v>4438</v>
      </c>
      <c r="V928" s="66"/>
      <c r="W928" s="106"/>
      <c r="X928" s="106" t="s">
        <v>516</v>
      </c>
      <c r="Y928" s="26" t="s">
        <v>76</v>
      </c>
      <c r="Z928" s="75" t="s">
        <v>93</v>
      </c>
      <c r="AA928" s="30" t="s">
        <v>76</v>
      </c>
    </row>
    <row r="929" spans="1:27" ht="69.75" customHeight="1">
      <c r="A929" s="88">
        <v>919</v>
      </c>
      <c r="B929" s="79" t="s">
        <v>4439</v>
      </c>
      <c r="C929" s="148" t="s">
        <v>9</v>
      </c>
      <c r="D929" s="80" t="s">
        <v>83</v>
      </c>
      <c r="E929" s="27" t="s">
        <v>4440</v>
      </c>
      <c r="F929" s="80" t="s">
        <v>338</v>
      </c>
      <c r="G929" s="81" t="s">
        <v>4383</v>
      </c>
      <c r="H929" s="80" t="s">
        <v>4441</v>
      </c>
      <c r="I929" s="92">
        <v>45708</v>
      </c>
      <c r="J929" s="80" t="s">
        <v>4385</v>
      </c>
      <c r="K929" s="80" t="s">
        <v>4386</v>
      </c>
      <c r="L929" s="84" t="s">
        <v>4387</v>
      </c>
      <c r="M929" s="84" t="s">
        <v>252</v>
      </c>
      <c r="N929" s="84" t="s">
        <v>72</v>
      </c>
      <c r="O929" s="28" t="s">
        <v>4442</v>
      </c>
      <c r="P929" s="28" t="s">
        <v>4443</v>
      </c>
      <c r="Q929" s="49" t="s">
        <v>75</v>
      </c>
      <c r="R929" s="25" t="s">
        <v>91</v>
      </c>
      <c r="S929" s="147">
        <v>21</v>
      </c>
      <c r="T929" s="147">
        <v>68</v>
      </c>
      <c r="U929" s="28" t="s">
        <v>4444</v>
      </c>
      <c r="V929" s="66"/>
      <c r="W929" s="106"/>
      <c r="X929" s="106" t="s">
        <v>516</v>
      </c>
      <c r="Y929" s="26" t="s">
        <v>76</v>
      </c>
      <c r="Z929" s="75" t="s">
        <v>93</v>
      </c>
      <c r="AA929" s="30" t="s">
        <v>76</v>
      </c>
    </row>
    <row r="930" spans="1:27" ht="69.75" customHeight="1">
      <c r="A930" s="88">
        <v>920</v>
      </c>
      <c r="B930" s="79" t="s">
        <v>4445</v>
      </c>
      <c r="C930" s="148" t="s">
        <v>9</v>
      </c>
      <c r="D930" s="80" t="s">
        <v>83</v>
      </c>
      <c r="E930" s="27" t="s">
        <v>4446</v>
      </c>
      <c r="F930" s="80" t="s">
        <v>338</v>
      </c>
      <c r="G930" s="81" t="s">
        <v>4383</v>
      </c>
      <c r="H930" s="80" t="s">
        <v>4447</v>
      </c>
      <c r="I930" s="92">
        <v>45708</v>
      </c>
      <c r="J930" s="80" t="s">
        <v>4385</v>
      </c>
      <c r="K930" s="80" t="s">
        <v>4386</v>
      </c>
      <c r="L930" s="84" t="s">
        <v>4387</v>
      </c>
      <c r="M930" s="84" t="s">
        <v>252</v>
      </c>
      <c r="N930" s="84" t="s">
        <v>72</v>
      </c>
      <c r="O930" s="28" t="s">
        <v>4448</v>
      </c>
      <c r="P930" s="237" t="s">
        <v>4449</v>
      </c>
      <c r="Q930" s="49" t="s">
        <v>75</v>
      </c>
      <c r="R930" s="25" t="s">
        <v>91</v>
      </c>
      <c r="S930" s="147">
        <v>18</v>
      </c>
      <c r="T930" s="147">
        <v>53</v>
      </c>
      <c r="U930" s="28" t="s">
        <v>4450</v>
      </c>
      <c r="V930" s="66"/>
      <c r="W930" s="106"/>
      <c r="X930" s="106" t="s">
        <v>516</v>
      </c>
      <c r="Y930" s="26" t="s">
        <v>76</v>
      </c>
      <c r="Z930" s="75" t="s">
        <v>93</v>
      </c>
      <c r="AA930" s="30" t="s">
        <v>76</v>
      </c>
    </row>
    <row r="931" spans="1:27" ht="69.75" customHeight="1">
      <c r="A931" s="88">
        <v>921</v>
      </c>
      <c r="B931" s="79" t="s">
        <v>4451</v>
      </c>
      <c r="C931" s="148" t="s">
        <v>9</v>
      </c>
      <c r="D931" s="80" t="s">
        <v>83</v>
      </c>
      <c r="E931" s="27" t="s">
        <v>4452</v>
      </c>
      <c r="F931" s="80" t="s">
        <v>120</v>
      </c>
      <c r="G931" s="81" t="s">
        <v>4383</v>
      </c>
      <c r="H931" s="80" t="s">
        <v>4453</v>
      </c>
      <c r="I931" s="92">
        <v>45708</v>
      </c>
      <c r="J931" s="80" t="s">
        <v>4385</v>
      </c>
      <c r="K931" s="80" t="s">
        <v>4386</v>
      </c>
      <c r="L931" s="84" t="s">
        <v>4387</v>
      </c>
      <c r="M931" s="84" t="s">
        <v>252</v>
      </c>
      <c r="N931" s="84" t="s">
        <v>72</v>
      </c>
      <c r="O931" s="28" t="s">
        <v>4454</v>
      </c>
      <c r="P931" s="28" t="s">
        <v>4455</v>
      </c>
      <c r="Q931" s="49" t="s">
        <v>75</v>
      </c>
      <c r="R931" s="25" t="s">
        <v>91</v>
      </c>
      <c r="S931" s="147">
        <v>21</v>
      </c>
      <c r="T931" s="147">
        <v>67</v>
      </c>
      <c r="U931" s="28" t="s">
        <v>4456</v>
      </c>
      <c r="V931" s="66"/>
      <c r="W931" s="106"/>
      <c r="X931" s="106" t="s">
        <v>516</v>
      </c>
      <c r="Y931" s="26" t="s">
        <v>76</v>
      </c>
      <c r="Z931" s="75" t="s">
        <v>93</v>
      </c>
      <c r="AA931" s="30" t="s">
        <v>76</v>
      </c>
    </row>
    <row r="932" spans="1:27" ht="69.75" customHeight="1">
      <c r="A932" s="88">
        <v>922</v>
      </c>
      <c r="B932" s="79" t="s">
        <v>4457</v>
      </c>
      <c r="C932" s="148" t="s">
        <v>9</v>
      </c>
      <c r="D932" s="80" t="s">
        <v>83</v>
      </c>
      <c r="E932" s="27" t="s">
        <v>4458</v>
      </c>
      <c r="F932" s="80" t="s">
        <v>65</v>
      </c>
      <c r="G932" s="81" t="s">
        <v>4459</v>
      </c>
      <c r="H932" s="80" t="s">
        <v>4460</v>
      </c>
      <c r="I932" s="92">
        <v>45708</v>
      </c>
      <c r="J932" s="80" t="s">
        <v>4385</v>
      </c>
      <c r="K932" s="80" t="s">
        <v>4386</v>
      </c>
      <c r="L932" s="84" t="s">
        <v>4387</v>
      </c>
      <c r="M932" s="84" t="s">
        <v>252</v>
      </c>
      <c r="N932" s="84" t="s">
        <v>72</v>
      </c>
      <c r="O932" s="28" t="s">
        <v>4461</v>
      </c>
      <c r="P932" s="237" t="s">
        <v>4462</v>
      </c>
      <c r="Q932" s="49" t="s">
        <v>75</v>
      </c>
      <c r="R932" s="25" t="s">
        <v>91</v>
      </c>
      <c r="S932" s="147">
        <v>21</v>
      </c>
      <c r="T932" s="147">
        <v>70</v>
      </c>
      <c r="U932" s="255" t="s">
        <v>4463</v>
      </c>
      <c r="V932" s="66"/>
      <c r="W932" s="106"/>
      <c r="X932" s="106" t="s">
        <v>516</v>
      </c>
      <c r="Y932" s="26" t="s">
        <v>76</v>
      </c>
      <c r="Z932" s="75" t="s">
        <v>106</v>
      </c>
      <c r="AA932" s="30" t="s">
        <v>76</v>
      </c>
    </row>
    <row r="933" spans="1:27" ht="69.75" customHeight="1">
      <c r="A933" s="88">
        <v>923</v>
      </c>
      <c r="B933" s="79" t="s">
        <v>4464</v>
      </c>
      <c r="C933" s="148" t="s">
        <v>9</v>
      </c>
      <c r="D933" s="80" t="s">
        <v>83</v>
      </c>
      <c r="E933" s="27" t="s">
        <v>4465</v>
      </c>
      <c r="F933" s="80" t="s">
        <v>65</v>
      </c>
      <c r="G933" s="81" t="s">
        <v>4459</v>
      </c>
      <c r="H933" s="80" t="s">
        <v>4466</v>
      </c>
      <c r="I933" s="92">
        <v>45708</v>
      </c>
      <c r="J933" s="80" t="s">
        <v>4385</v>
      </c>
      <c r="K933" s="80" t="s">
        <v>4386</v>
      </c>
      <c r="L933" s="84" t="s">
        <v>4387</v>
      </c>
      <c r="M933" s="84" t="s">
        <v>252</v>
      </c>
      <c r="N933" s="84" t="s">
        <v>72</v>
      </c>
      <c r="O933" s="28" t="s">
        <v>4467</v>
      </c>
      <c r="P933" s="245" t="s">
        <v>4468</v>
      </c>
      <c r="Q933" s="49" t="s">
        <v>75</v>
      </c>
      <c r="R933" s="25" t="s">
        <v>91</v>
      </c>
      <c r="S933" s="147">
        <v>20</v>
      </c>
      <c r="T933" s="147">
        <v>68</v>
      </c>
      <c r="U933" s="28" t="s">
        <v>4469</v>
      </c>
      <c r="V933" s="66"/>
      <c r="W933" s="106"/>
      <c r="X933" s="106" t="s">
        <v>516</v>
      </c>
      <c r="Y933" s="26" t="s">
        <v>76</v>
      </c>
      <c r="Z933" s="75" t="s">
        <v>93</v>
      </c>
      <c r="AA933" s="30" t="s">
        <v>76</v>
      </c>
    </row>
    <row r="934" spans="1:27" ht="49.5">
      <c r="A934" s="88">
        <v>924</v>
      </c>
      <c r="B934" s="79" t="s">
        <v>4470</v>
      </c>
      <c r="C934" s="148" t="s">
        <v>9</v>
      </c>
      <c r="D934" s="80" t="s">
        <v>83</v>
      </c>
      <c r="E934" s="27" t="s">
        <v>4471</v>
      </c>
      <c r="F934" s="80" t="s">
        <v>120</v>
      </c>
      <c r="G934" s="81" t="s">
        <v>4459</v>
      </c>
      <c r="H934" s="80" t="s">
        <v>4472</v>
      </c>
      <c r="I934" s="92">
        <v>45708</v>
      </c>
      <c r="J934" s="80" t="s">
        <v>4385</v>
      </c>
      <c r="K934" s="80" t="s">
        <v>4386</v>
      </c>
      <c r="L934" s="84" t="s">
        <v>4387</v>
      </c>
      <c r="M934" s="84" t="s">
        <v>252</v>
      </c>
      <c r="N934" s="84" t="s">
        <v>72</v>
      </c>
      <c r="O934" s="28" t="s">
        <v>4473</v>
      </c>
      <c r="P934" s="28" t="s">
        <v>4474</v>
      </c>
      <c r="Q934" s="49" t="s">
        <v>75</v>
      </c>
      <c r="R934" s="25" t="s">
        <v>504</v>
      </c>
      <c r="S934" s="147">
        <v>21</v>
      </c>
      <c r="T934" s="147">
        <v>69</v>
      </c>
      <c r="U934" s="28" t="s">
        <v>4475</v>
      </c>
      <c r="V934" s="66"/>
      <c r="W934" s="106"/>
      <c r="X934" s="106" t="s">
        <v>516</v>
      </c>
      <c r="Y934" s="26" t="s">
        <v>76</v>
      </c>
      <c r="Z934" s="75" t="s">
        <v>106</v>
      </c>
      <c r="AA934" s="30" t="s">
        <v>76</v>
      </c>
    </row>
    <row r="935" spans="1:27" ht="49.5">
      <c r="A935" s="88">
        <v>925</v>
      </c>
      <c r="B935" s="79" t="s">
        <v>4476</v>
      </c>
      <c r="C935" s="148" t="s">
        <v>9</v>
      </c>
      <c r="D935" s="80" t="s">
        <v>83</v>
      </c>
      <c r="E935" s="27" t="s">
        <v>4477</v>
      </c>
      <c r="F935" s="80" t="s">
        <v>284</v>
      </c>
      <c r="G935" s="81" t="s">
        <v>4459</v>
      </c>
      <c r="H935" s="80" t="s">
        <v>4478</v>
      </c>
      <c r="I935" s="92">
        <v>45708</v>
      </c>
      <c r="J935" s="80" t="s">
        <v>4385</v>
      </c>
      <c r="K935" s="80" t="s">
        <v>4386</v>
      </c>
      <c r="L935" s="84" t="s">
        <v>4387</v>
      </c>
      <c r="M935" s="84" t="s">
        <v>252</v>
      </c>
      <c r="N935" s="84" t="s">
        <v>72</v>
      </c>
      <c r="O935" s="28" t="s">
        <v>4479</v>
      </c>
      <c r="P935" s="237" t="s">
        <v>4480</v>
      </c>
      <c r="Q935" s="49" t="s">
        <v>75</v>
      </c>
      <c r="R935" s="25" t="s">
        <v>91</v>
      </c>
      <c r="S935" s="147">
        <v>21</v>
      </c>
      <c r="T935" s="147">
        <v>67</v>
      </c>
      <c r="U935" s="28" t="s">
        <v>4481</v>
      </c>
      <c r="V935" s="66"/>
      <c r="W935" s="106"/>
      <c r="X935" s="106" t="s">
        <v>516</v>
      </c>
      <c r="Y935" s="26" t="s">
        <v>76</v>
      </c>
      <c r="Z935" s="75" t="s">
        <v>93</v>
      </c>
      <c r="AA935" s="30" t="s">
        <v>76</v>
      </c>
    </row>
    <row r="936" spans="1:27" ht="33">
      <c r="A936" s="88">
        <v>926</v>
      </c>
      <c r="B936" s="79" t="s">
        <v>4482</v>
      </c>
      <c r="C936" s="148" t="s">
        <v>9</v>
      </c>
      <c r="D936" s="80" t="s">
        <v>83</v>
      </c>
      <c r="E936" s="27" t="s">
        <v>4483</v>
      </c>
      <c r="F936" s="80" t="s">
        <v>284</v>
      </c>
      <c r="G936" s="81" t="s">
        <v>4484</v>
      </c>
      <c r="H936" s="80" t="s">
        <v>4485</v>
      </c>
      <c r="I936" s="92">
        <v>45708</v>
      </c>
      <c r="J936" s="80" t="s">
        <v>4385</v>
      </c>
      <c r="K936" s="80" t="s">
        <v>4386</v>
      </c>
      <c r="L936" s="84" t="s">
        <v>4387</v>
      </c>
      <c r="M936" s="84" t="s">
        <v>252</v>
      </c>
      <c r="N936" s="84" t="s">
        <v>72</v>
      </c>
      <c r="O936" s="28" t="s">
        <v>4486</v>
      </c>
      <c r="P936" s="245" t="s">
        <v>4487</v>
      </c>
      <c r="Q936" s="49" t="s">
        <v>75</v>
      </c>
      <c r="R936" s="25" t="s">
        <v>91</v>
      </c>
      <c r="S936" s="147">
        <v>22</v>
      </c>
      <c r="T936" s="147">
        <v>66</v>
      </c>
      <c r="U936" s="28" t="s">
        <v>4488</v>
      </c>
      <c r="V936" s="66"/>
      <c r="W936" s="106"/>
      <c r="X936" s="106" t="s">
        <v>516</v>
      </c>
      <c r="Y936" s="26" t="s">
        <v>76</v>
      </c>
      <c r="Z936" s="75" t="s">
        <v>93</v>
      </c>
      <c r="AA936" s="30" t="s">
        <v>76</v>
      </c>
    </row>
    <row r="937" spans="1:27" ht="82.5">
      <c r="A937" s="88">
        <v>927</v>
      </c>
      <c r="B937" s="79" t="s">
        <v>4489</v>
      </c>
      <c r="C937" s="148" t="s">
        <v>9</v>
      </c>
      <c r="D937" s="80" t="s">
        <v>83</v>
      </c>
      <c r="E937" s="27" t="s">
        <v>4490</v>
      </c>
      <c r="F937" s="80" t="s">
        <v>65</v>
      </c>
      <c r="G937" s="81" t="s">
        <v>4484</v>
      </c>
      <c r="H937" s="80" t="s">
        <v>4491</v>
      </c>
      <c r="I937" s="92">
        <v>45708</v>
      </c>
      <c r="J937" s="80" t="s">
        <v>4385</v>
      </c>
      <c r="K937" s="80" t="s">
        <v>4386</v>
      </c>
      <c r="L937" s="84" t="s">
        <v>4387</v>
      </c>
      <c r="M937" s="84" t="s">
        <v>252</v>
      </c>
      <c r="N937" s="84" t="s">
        <v>72</v>
      </c>
      <c r="O937" s="28" t="s">
        <v>4492</v>
      </c>
      <c r="P937" s="245" t="s">
        <v>4493</v>
      </c>
      <c r="Q937" s="49" t="s">
        <v>75</v>
      </c>
      <c r="R937" s="25" t="s">
        <v>91</v>
      </c>
      <c r="S937" s="147">
        <v>26</v>
      </c>
      <c r="T937" s="147">
        <v>88</v>
      </c>
      <c r="U937" s="255" t="s">
        <v>4494</v>
      </c>
      <c r="V937" s="66"/>
      <c r="W937" s="106"/>
      <c r="X937" s="106" t="s">
        <v>516</v>
      </c>
      <c r="Y937" s="26" t="s">
        <v>76</v>
      </c>
      <c r="Z937" s="75" t="s">
        <v>106</v>
      </c>
      <c r="AA937" s="30" t="s">
        <v>76</v>
      </c>
    </row>
    <row r="938" spans="1:27" ht="69.75" customHeight="1">
      <c r="A938" s="88">
        <v>928</v>
      </c>
      <c r="B938" s="79" t="s">
        <v>4495</v>
      </c>
      <c r="C938" s="148" t="s">
        <v>9</v>
      </c>
      <c r="D938" s="80" t="s">
        <v>3539</v>
      </c>
      <c r="E938" s="27" t="s">
        <v>4496</v>
      </c>
      <c r="F938" s="80" t="s">
        <v>120</v>
      </c>
      <c r="G938" s="81" t="s">
        <v>4497</v>
      </c>
      <c r="H938" s="80" t="s">
        <v>4498</v>
      </c>
      <c r="I938" s="92">
        <v>45708</v>
      </c>
      <c r="J938" s="80" t="s">
        <v>4385</v>
      </c>
      <c r="K938" s="80" t="s">
        <v>4386</v>
      </c>
      <c r="L938" s="84" t="s">
        <v>4387</v>
      </c>
      <c r="M938" s="84" t="s">
        <v>252</v>
      </c>
      <c r="N938" s="84" t="s">
        <v>72</v>
      </c>
      <c r="O938" s="28" t="s">
        <v>4499</v>
      </c>
      <c r="P938" s="28" t="s">
        <v>4500</v>
      </c>
      <c r="Q938" s="49" t="s">
        <v>75</v>
      </c>
      <c r="R938" s="25" t="s">
        <v>91</v>
      </c>
      <c r="S938" s="147">
        <v>18</v>
      </c>
      <c r="T938" s="147">
        <v>58</v>
      </c>
      <c r="U938" s="28" t="s">
        <v>4501</v>
      </c>
      <c r="V938" s="66"/>
      <c r="W938" s="106"/>
      <c r="X938" s="106" t="s">
        <v>516</v>
      </c>
      <c r="Y938" s="26" t="s">
        <v>76</v>
      </c>
      <c r="Z938" s="75" t="s">
        <v>93</v>
      </c>
      <c r="AA938" s="30" t="s">
        <v>76</v>
      </c>
    </row>
    <row r="939" spans="1:27" ht="49.5">
      <c r="A939" s="88">
        <v>929</v>
      </c>
      <c r="B939" s="79" t="s">
        <v>4502</v>
      </c>
      <c r="C939" s="148" t="s">
        <v>9</v>
      </c>
      <c r="D939" s="80" t="s">
        <v>3539</v>
      </c>
      <c r="E939" s="27" t="s">
        <v>4503</v>
      </c>
      <c r="F939" s="80" t="s">
        <v>109</v>
      </c>
      <c r="G939" s="81" t="s">
        <v>4497</v>
      </c>
      <c r="H939" s="80" t="s">
        <v>4504</v>
      </c>
      <c r="I939" s="92">
        <v>45708</v>
      </c>
      <c r="J939" s="80" t="s">
        <v>4385</v>
      </c>
      <c r="K939" s="80" t="s">
        <v>4386</v>
      </c>
      <c r="L939" s="84" t="s">
        <v>4387</v>
      </c>
      <c r="M939" s="84" t="s">
        <v>252</v>
      </c>
      <c r="N939" s="84" t="s">
        <v>72</v>
      </c>
      <c r="O939" s="28" t="s">
        <v>4505</v>
      </c>
      <c r="P939" s="28" t="s">
        <v>4506</v>
      </c>
      <c r="Q939" s="49" t="s">
        <v>75</v>
      </c>
      <c r="R939" s="25" t="s">
        <v>91</v>
      </c>
      <c r="S939" s="147">
        <v>18</v>
      </c>
      <c r="T939" s="147">
        <v>60</v>
      </c>
      <c r="U939" s="28" t="s">
        <v>4507</v>
      </c>
      <c r="V939" s="66"/>
      <c r="W939" s="106"/>
      <c r="X939" s="106" t="s">
        <v>516</v>
      </c>
      <c r="Y939" s="26" t="s">
        <v>76</v>
      </c>
      <c r="Z939" s="75" t="s">
        <v>93</v>
      </c>
      <c r="AA939" s="30" t="s">
        <v>76</v>
      </c>
    </row>
    <row r="940" spans="1:27" ht="49.5">
      <c r="A940" s="88">
        <v>930</v>
      </c>
      <c r="B940" s="79" t="s">
        <v>4508</v>
      </c>
      <c r="C940" s="148" t="s">
        <v>9</v>
      </c>
      <c r="D940" s="80" t="s">
        <v>3539</v>
      </c>
      <c r="E940" s="27" t="s">
        <v>4509</v>
      </c>
      <c r="F940" s="80" t="s">
        <v>120</v>
      </c>
      <c r="G940" s="81" t="s">
        <v>4497</v>
      </c>
      <c r="H940" s="80" t="s">
        <v>4510</v>
      </c>
      <c r="I940" s="92">
        <v>45708</v>
      </c>
      <c r="J940" s="80" t="s">
        <v>4385</v>
      </c>
      <c r="K940" s="80" t="s">
        <v>4386</v>
      </c>
      <c r="L940" s="84" t="s">
        <v>4387</v>
      </c>
      <c r="M940" s="84" t="s">
        <v>252</v>
      </c>
      <c r="N940" s="84" t="s">
        <v>72</v>
      </c>
      <c r="O940" s="28" t="s">
        <v>4511</v>
      </c>
      <c r="P940" s="28" t="s">
        <v>4512</v>
      </c>
      <c r="Q940" s="49" t="s">
        <v>75</v>
      </c>
      <c r="R940" s="25" t="s">
        <v>91</v>
      </c>
      <c r="S940" s="147">
        <v>18</v>
      </c>
      <c r="T940" s="147">
        <v>60</v>
      </c>
      <c r="U940" s="28" t="s">
        <v>4513</v>
      </c>
      <c r="V940" s="66"/>
      <c r="W940" s="106"/>
      <c r="X940" s="106" t="s">
        <v>516</v>
      </c>
      <c r="Y940" s="26" t="s">
        <v>76</v>
      </c>
      <c r="Z940" s="75" t="s">
        <v>93</v>
      </c>
      <c r="AA940" s="30" t="s">
        <v>76</v>
      </c>
    </row>
    <row r="941" spans="1:27" ht="69.75" customHeight="1">
      <c r="A941" s="88">
        <v>931</v>
      </c>
      <c r="B941" s="79" t="s">
        <v>4514</v>
      </c>
      <c r="C941" s="148" t="s">
        <v>9</v>
      </c>
      <c r="D941" s="80" t="s">
        <v>83</v>
      </c>
      <c r="E941" s="27" t="s">
        <v>4515</v>
      </c>
      <c r="F941" s="80" t="s">
        <v>338</v>
      </c>
      <c r="G941" s="81" t="s">
        <v>4484</v>
      </c>
      <c r="H941" s="80" t="s">
        <v>4516</v>
      </c>
      <c r="I941" s="92">
        <v>45708</v>
      </c>
      <c r="J941" s="80" t="s">
        <v>4385</v>
      </c>
      <c r="K941" s="80" t="s">
        <v>4386</v>
      </c>
      <c r="L941" s="84" t="s">
        <v>4387</v>
      </c>
      <c r="M941" s="84" t="s">
        <v>252</v>
      </c>
      <c r="N941" s="84" t="s">
        <v>72</v>
      </c>
      <c r="O941" s="28" t="s">
        <v>4517</v>
      </c>
      <c r="P941" s="28" t="s">
        <v>4518</v>
      </c>
      <c r="Q941" s="49" t="s">
        <v>75</v>
      </c>
      <c r="R941" s="25" t="s">
        <v>91</v>
      </c>
      <c r="S941" s="130">
        <v>18</v>
      </c>
      <c r="T941" s="130">
        <v>57</v>
      </c>
      <c r="U941" s="28" t="s">
        <v>4519</v>
      </c>
      <c r="V941" s="66"/>
      <c r="W941" s="106"/>
      <c r="X941" s="106" t="s">
        <v>516</v>
      </c>
      <c r="Y941" s="26" t="s">
        <v>76</v>
      </c>
      <c r="Z941" s="75" t="s">
        <v>93</v>
      </c>
      <c r="AA941" s="30" t="s">
        <v>76</v>
      </c>
    </row>
    <row r="942" spans="1:27" ht="49.5">
      <c r="A942" s="88">
        <v>932</v>
      </c>
      <c r="B942" s="79" t="s">
        <v>4520</v>
      </c>
      <c r="C942" s="148" t="s">
        <v>9</v>
      </c>
      <c r="D942" s="80" t="s">
        <v>3539</v>
      </c>
      <c r="E942" s="27" t="s">
        <v>4521</v>
      </c>
      <c r="F942" s="80" t="s">
        <v>109</v>
      </c>
      <c r="G942" s="81" t="s">
        <v>4497</v>
      </c>
      <c r="H942" s="80" t="s">
        <v>1523</v>
      </c>
      <c r="I942" s="92">
        <v>45708</v>
      </c>
      <c r="J942" s="80" t="s">
        <v>4385</v>
      </c>
      <c r="K942" s="80" t="s">
        <v>4386</v>
      </c>
      <c r="L942" s="84" t="s">
        <v>4387</v>
      </c>
      <c r="M942" s="84" t="s">
        <v>252</v>
      </c>
      <c r="N942" s="84" t="s">
        <v>72</v>
      </c>
      <c r="O942" s="28" t="s">
        <v>4522</v>
      </c>
      <c r="P942" s="28" t="s">
        <v>4523</v>
      </c>
      <c r="Q942" s="49" t="s">
        <v>75</v>
      </c>
      <c r="R942" s="25" t="s">
        <v>91</v>
      </c>
      <c r="S942" s="147">
        <v>18</v>
      </c>
      <c r="T942" s="147">
        <v>60</v>
      </c>
      <c r="U942" s="28" t="s">
        <v>4524</v>
      </c>
      <c r="V942" s="66"/>
      <c r="W942" s="106"/>
      <c r="X942" s="106" t="s">
        <v>516</v>
      </c>
      <c r="Y942" s="26" t="s">
        <v>76</v>
      </c>
      <c r="Z942" s="75" t="s">
        <v>93</v>
      </c>
      <c r="AA942" s="30" t="s">
        <v>76</v>
      </c>
    </row>
    <row r="943" spans="1:27" ht="49.5">
      <c r="A943" s="88">
        <v>933</v>
      </c>
      <c r="B943" s="79" t="s">
        <v>4525</v>
      </c>
      <c r="C943" s="148" t="s">
        <v>9</v>
      </c>
      <c r="D943" s="80" t="s">
        <v>63</v>
      </c>
      <c r="E943" s="27" t="s">
        <v>4526</v>
      </c>
      <c r="F943" s="80" t="s">
        <v>284</v>
      </c>
      <c r="G943" s="81" t="s">
        <v>4527</v>
      </c>
      <c r="H943" s="80" t="s">
        <v>4528</v>
      </c>
      <c r="I943" s="92">
        <v>45708</v>
      </c>
      <c r="J943" s="80" t="s">
        <v>4385</v>
      </c>
      <c r="K943" s="80" t="s">
        <v>4386</v>
      </c>
      <c r="L943" s="84" t="s">
        <v>4387</v>
      </c>
      <c r="M943" s="84" t="s">
        <v>252</v>
      </c>
      <c r="N943" s="84" t="s">
        <v>72</v>
      </c>
      <c r="O943" s="28" t="s">
        <v>4529</v>
      </c>
      <c r="P943" s="28" t="s">
        <v>4530</v>
      </c>
      <c r="Q943" s="49" t="s">
        <v>91</v>
      </c>
      <c r="R943" s="25"/>
      <c r="S943" s="147">
        <v>10</v>
      </c>
      <c r="T943" s="271" t="s">
        <v>76</v>
      </c>
      <c r="U943" s="28" t="s">
        <v>4531</v>
      </c>
      <c r="V943" s="66"/>
      <c r="W943" s="106"/>
      <c r="X943" s="106" t="s">
        <v>76</v>
      </c>
      <c r="Y943" s="26" t="s">
        <v>76</v>
      </c>
      <c r="Z943" s="75" t="s">
        <v>193</v>
      </c>
      <c r="AA943" s="30" t="s">
        <v>76</v>
      </c>
    </row>
    <row r="944" spans="1:27" ht="49.5">
      <c r="A944" s="88">
        <v>934</v>
      </c>
      <c r="B944" s="79" t="s">
        <v>4532</v>
      </c>
      <c r="C944" s="148" t="s">
        <v>9</v>
      </c>
      <c r="D944" s="80" t="s">
        <v>3539</v>
      </c>
      <c r="E944" s="27" t="s">
        <v>4533</v>
      </c>
      <c r="F944" s="80" t="s">
        <v>120</v>
      </c>
      <c r="G944" s="81" t="s">
        <v>3541</v>
      </c>
      <c r="H944" s="80" t="s">
        <v>4534</v>
      </c>
      <c r="I944" s="92">
        <v>45708</v>
      </c>
      <c r="J944" s="80" t="s">
        <v>4385</v>
      </c>
      <c r="K944" s="80" t="s">
        <v>4386</v>
      </c>
      <c r="L944" s="84" t="s">
        <v>4387</v>
      </c>
      <c r="M944" s="84" t="s">
        <v>252</v>
      </c>
      <c r="N944" s="84" t="s">
        <v>72</v>
      </c>
      <c r="O944" s="28" t="s">
        <v>4535</v>
      </c>
      <c r="P944" s="28" t="s">
        <v>4536</v>
      </c>
      <c r="Q944" s="49" t="s">
        <v>75</v>
      </c>
      <c r="R944" s="25" t="s">
        <v>91</v>
      </c>
      <c r="S944" s="147">
        <v>21</v>
      </c>
      <c r="T944" s="147">
        <v>69</v>
      </c>
      <c r="U944" s="28" t="s">
        <v>4469</v>
      </c>
      <c r="V944" s="66"/>
      <c r="W944" s="106"/>
      <c r="X944" s="106" t="s">
        <v>516</v>
      </c>
      <c r="Y944" s="26" t="s">
        <v>76</v>
      </c>
      <c r="Z944" s="75" t="s">
        <v>93</v>
      </c>
      <c r="AA944" s="30" t="s">
        <v>76</v>
      </c>
    </row>
    <row r="945" spans="1:28" ht="49.5">
      <c r="A945" s="88">
        <v>935</v>
      </c>
      <c r="B945" s="79" t="s">
        <v>4537</v>
      </c>
      <c r="C945" s="148" t="s">
        <v>9</v>
      </c>
      <c r="D945" s="80" t="s">
        <v>3539</v>
      </c>
      <c r="E945" s="27" t="s">
        <v>4538</v>
      </c>
      <c r="F945" s="80" t="s">
        <v>284</v>
      </c>
      <c r="G945" s="81" t="s">
        <v>3541</v>
      </c>
      <c r="H945" s="80" t="s">
        <v>4539</v>
      </c>
      <c r="I945" s="92">
        <v>45708</v>
      </c>
      <c r="J945" s="80" t="s">
        <v>4385</v>
      </c>
      <c r="K945" s="80" t="s">
        <v>4386</v>
      </c>
      <c r="L945" s="84" t="s">
        <v>4387</v>
      </c>
      <c r="M945" s="84" t="s">
        <v>252</v>
      </c>
      <c r="N945" s="84" t="s">
        <v>72</v>
      </c>
      <c r="O945" s="28" t="s">
        <v>4540</v>
      </c>
      <c r="P945" s="28" t="s">
        <v>4541</v>
      </c>
      <c r="Q945" s="49" t="s">
        <v>75</v>
      </c>
      <c r="R945" s="25" t="s">
        <v>91</v>
      </c>
      <c r="S945" s="147">
        <v>19</v>
      </c>
      <c r="T945" s="147">
        <v>62</v>
      </c>
      <c r="U945" s="28" t="s">
        <v>4542</v>
      </c>
      <c r="V945" s="66"/>
      <c r="W945" s="106"/>
      <c r="X945" s="106" t="s">
        <v>516</v>
      </c>
      <c r="Y945" s="26" t="s">
        <v>76</v>
      </c>
      <c r="Z945" s="75" t="s">
        <v>93</v>
      </c>
      <c r="AA945" s="30" t="s">
        <v>76</v>
      </c>
    </row>
    <row r="946" spans="1:28" ht="49.5">
      <c r="A946" s="88">
        <v>936</v>
      </c>
      <c r="B946" s="79" t="s">
        <v>4543</v>
      </c>
      <c r="C946" s="148" t="s">
        <v>9</v>
      </c>
      <c r="D946" s="80" t="s">
        <v>83</v>
      </c>
      <c r="E946" s="27">
        <v>1701645</v>
      </c>
      <c r="F946" s="80" t="s">
        <v>338</v>
      </c>
      <c r="G946" s="81" t="s">
        <v>3541</v>
      </c>
      <c r="H946" s="80" t="s">
        <v>4544</v>
      </c>
      <c r="I946" s="92">
        <v>45708</v>
      </c>
      <c r="J946" s="80" t="s">
        <v>4385</v>
      </c>
      <c r="K946" s="80" t="s">
        <v>4386</v>
      </c>
      <c r="L946" s="84" t="s">
        <v>4387</v>
      </c>
      <c r="M946" s="84" t="s">
        <v>252</v>
      </c>
      <c r="N946" s="84" t="s">
        <v>72</v>
      </c>
      <c r="O946" s="28" t="s">
        <v>4545</v>
      </c>
      <c r="P946" s="28" t="s">
        <v>4546</v>
      </c>
      <c r="Q946" s="49" t="s">
        <v>75</v>
      </c>
      <c r="R946" s="25" t="s">
        <v>91</v>
      </c>
      <c r="S946" s="147">
        <v>20</v>
      </c>
      <c r="T946" s="147">
        <v>59</v>
      </c>
      <c r="U946" s="28" t="s">
        <v>4547</v>
      </c>
      <c r="V946" s="66"/>
      <c r="W946" s="106"/>
      <c r="X946" s="106" t="s">
        <v>516</v>
      </c>
      <c r="Y946" s="26" t="s">
        <v>76</v>
      </c>
      <c r="Z946" s="75" t="s">
        <v>93</v>
      </c>
      <c r="AA946" s="30" t="s">
        <v>76</v>
      </c>
    </row>
    <row r="947" spans="1:28" ht="49.5">
      <c r="A947" s="88">
        <v>937</v>
      </c>
      <c r="B947" s="79" t="s">
        <v>4548</v>
      </c>
      <c r="C947" s="148" t="s">
        <v>9</v>
      </c>
      <c r="D947" s="80" t="s">
        <v>3539</v>
      </c>
      <c r="E947" s="27" t="s">
        <v>4549</v>
      </c>
      <c r="F947" s="80" t="s">
        <v>65</v>
      </c>
      <c r="G947" s="81" t="s">
        <v>3541</v>
      </c>
      <c r="H947" s="80" t="s">
        <v>4550</v>
      </c>
      <c r="I947" s="92">
        <v>45708</v>
      </c>
      <c r="J947" s="80" t="s">
        <v>4385</v>
      </c>
      <c r="K947" s="80" t="s">
        <v>4386</v>
      </c>
      <c r="L947" s="84" t="s">
        <v>4387</v>
      </c>
      <c r="M947" s="84" t="s">
        <v>252</v>
      </c>
      <c r="N947" s="84" t="s">
        <v>72</v>
      </c>
      <c r="O947" s="28" t="s">
        <v>4551</v>
      </c>
      <c r="P947" s="237" t="s">
        <v>4552</v>
      </c>
      <c r="Q947" s="49" t="s">
        <v>75</v>
      </c>
      <c r="R947" s="25" t="s">
        <v>91</v>
      </c>
      <c r="S947" s="147">
        <v>18</v>
      </c>
      <c r="T947" s="147">
        <v>58</v>
      </c>
      <c r="U947" s="28" t="s">
        <v>4553</v>
      </c>
      <c r="V947" s="66"/>
      <c r="W947" s="106"/>
      <c r="X947" s="106" t="s">
        <v>516</v>
      </c>
      <c r="Y947" s="26" t="s">
        <v>76</v>
      </c>
      <c r="Z947" s="75" t="s">
        <v>93</v>
      </c>
      <c r="AA947" s="30" t="s">
        <v>76</v>
      </c>
    </row>
    <row r="948" spans="1:28" ht="49.5">
      <c r="A948" s="88">
        <v>938</v>
      </c>
      <c r="B948" s="79" t="s">
        <v>4554</v>
      </c>
      <c r="C948" s="148" t="s">
        <v>9</v>
      </c>
      <c r="D948" s="80" t="s">
        <v>3539</v>
      </c>
      <c r="E948" s="27" t="s">
        <v>4555</v>
      </c>
      <c r="F948" s="80" t="s">
        <v>109</v>
      </c>
      <c r="G948" s="81" t="s">
        <v>3541</v>
      </c>
      <c r="H948" s="80" t="s">
        <v>4556</v>
      </c>
      <c r="I948" s="92">
        <v>45708</v>
      </c>
      <c r="J948" s="80" t="s">
        <v>4385</v>
      </c>
      <c r="K948" s="80" t="s">
        <v>4386</v>
      </c>
      <c r="L948" s="84" t="s">
        <v>4387</v>
      </c>
      <c r="M948" s="84" t="s">
        <v>252</v>
      </c>
      <c r="N948" s="84" t="s">
        <v>72</v>
      </c>
      <c r="O948" s="28" t="s">
        <v>4557</v>
      </c>
      <c r="P948" s="245" t="s">
        <v>4558</v>
      </c>
      <c r="Q948" s="49" t="s">
        <v>75</v>
      </c>
      <c r="R948" s="25" t="s">
        <v>91</v>
      </c>
      <c r="S948" s="147">
        <v>18</v>
      </c>
      <c r="T948" s="147">
        <v>61</v>
      </c>
      <c r="U948" s="28" t="s">
        <v>4559</v>
      </c>
      <c r="V948" s="66"/>
      <c r="W948" s="106"/>
      <c r="X948" s="106" t="s">
        <v>516</v>
      </c>
      <c r="Y948" s="26" t="s">
        <v>76</v>
      </c>
      <c r="Z948" s="75" t="s">
        <v>93</v>
      </c>
      <c r="AA948" s="30" t="s">
        <v>76</v>
      </c>
    </row>
    <row r="949" spans="1:28" ht="49.5">
      <c r="A949" s="88">
        <v>939</v>
      </c>
      <c r="B949" s="79" t="s">
        <v>4560</v>
      </c>
      <c r="C949" s="148" t="s">
        <v>9</v>
      </c>
      <c r="D949" s="80" t="s">
        <v>3539</v>
      </c>
      <c r="E949" s="27" t="s">
        <v>4561</v>
      </c>
      <c r="F949" s="80" t="s">
        <v>120</v>
      </c>
      <c r="G949" s="81" t="s">
        <v>3541</v>
      </c>
      <c r="H949" s="80" t="s">
        <v>4562</v>
      </c>
      <c r="I949" s="92">
        <v>45708</v>
      </c>
      <c r="J949" s="80" t="s">
        <v>4385</v>
      </c>
      <c r="K949" s="80" t="s">
        <v>4386</v>
      </c>
      <c r="L949" s="84" t="s">
        <v>4387</v>
      </c>
      <c r="M949" s="84" t="s">
        <v>252</v>
      </c>
      <c r="N949" s="84" t="s">
        <v>72</v>
      </c>
      <c r="O949" s="28" t="s">
        <v>4563</v>
      </c>
      <c r="P949" s="245" t="s">
        <v>4564</v>
      </c>
      <c r="Q949" s="49" t="s">
        <v>75</v>
      </c>
      <c r="R949" s="25" t="s">
        <v>91</v>
      </c>
      <c r="S949" s="147">
        <v>21</v>
      </c>
      <c r="T949" s="147">
        <v>69</v>
      </c>
      <c r="U949" s="28" t="s">
        <v>4565</v>
      </c>
      <c r="V949" s="66"/>
      <c r="W949" s="106"/>
      <c r="X949" s="106" t="s">
        <v>516</v>
      </c>
      <c r="Y949" s="26" t="s">
        <v>76</v>
      </c>
      <c r="Z949" s="75" t="s">
        <v>93</v>
      </c>
      <c r="AA949" s="30" t="s">
        <v>76</v>
      </c>
    </row>
    <row r="950" spans="1:28" ht="49.5">
      <c r="A950" s="88">
        <v>940</v>
      </c>
      <c r="B950" s="79" t="s">
        <v>4566</v>
      </c>
      <c r="C950" s="148" t="s">
        <v>9</v>
      </c>
      <c r="D950" s="80" t="s">
        <v>3539</v>
      </c>
      <c r="E950" s="27" t="s">
        <v>4567</v>
      </c>
      <c r="F950" s="80" t="s">
        <v>109</v>
      </c>
      <c r="G950" s="81" t="s">
        <v>3541</v>
      </c>
      <c r="H950" s="80" t="s">
        <v>4568</v>
      </c>
      <c r="I950" s="92">
        <v>45708</v>
      </c>
      <c r="J950" s="80" t="s">
        <v>4385</v>
      </c>
      <c r="K950" s="80" t="s">
        <v>4386</v>
      </c>
      <c r="L950" s="84" t="s">
        <v>4387</v>
      </c>
      <c r="M950" s="84" t="s">
        <v>252</v>
      </c>
      <c r="N950" s="84" t="s">
        <v>72</v>
      </c>
      <c r="O950" s="28" t="s">
        <v>4569</v>
      </c>
      <c r="P950" s="28" t="s">
        <v>4570</v>
      </c>
      <c r="Q950" s="49" t="s">
        <v>75</v>
      </c>
      <c r="R950" s="25" t="s">
        <v>91</v>
      </c>
      <c r="S950" s="147">
        <v>18</v>
      </c>
      <c r="T950" s="147">
        <v>54</v>
      </c>
      <c r="U950" s="28" t="s">
        <v>4571</v>
      </c>
      <c r="V950" s="66"/>
      <c r="W950" s="106"/>
      <c r="X950" s="106" t="s">
        <v>516</v>
      </c>
      <c r="Y950" s="26" t="s">
        <v>76</v>
      </c>
      <c r="Z950" s="75" t="s">
        <v>93</v>
      </c>
      <c r="AA950" s="30" t="s">
        <v>76</v>
      </c>
    </row>
    <row r="951" spans="1:28" ht="49.5">
      <c r="A951" s="88">
        <v>941</v>
      </c>
      <c r="B951" s="79" t="s">
        <v>4572</v>
      </c>
      <c r="C951" s="148" t="s">
        <v>9</v>
      </c>
      <c r="D951" s="80" t="s">
        <v>3539</v>
      </c>
      <c r="E951" s="27" t="s">
        <v>4567</v>
      </c>
      <c r="F951" s="80" t="s">
        <v>109</v>
      </c>
      <c r="G951" s="81" t="s">
        <v>3541</v>
      </c>
      <c r="H951" s="80" t="s">
        <v>4568</v>
      </c>
      <c r="I951" s="92">
        <v>45708</v>
      </c>
      <c r="J951" s="80" t="s">
        <v>4385</v>
      </c>
      <c r="K951" s="80" t="s">
        <v>4386</v>
      </c>
      <c r="L951" s="84" t="s">
        <v>4387</v>
      </c>
      <c r="M951" s="84" t="s">
        <v>252</v>
      </c>
      <c r="N951" s="84" t="s">
        <v>72</v>
      </c>
      <c r="O951" s="28" t="s">
        <v>4573</v>
      </c>
      <c r="P951" s="28" t="s">
        <v>4574</v>
      </c>
      <c r="Q951" s="49" t="s">
        <v>75</v>
      </c>
      <c r="R951" s="25" t="s">
        <v>91</v>
      </c>
      <c r="S951" s="147">
        <v>19</v>
      </c>
      <c r="T951" s="147">
        <v>58</v>
      </c>
      <c r="U951" s="28" t="s">
        <v>4575</v>
      </c>
      <c r="V951" s="66"/>
      <c r="W951" s="106"/>
      <c r="X951" s="106" t="s">
        <v>516</v>
      </c>
      <c r="Y951" s="26" t="s">
        <v>76</v>
      </c>
      <c r="Z951" s="75" t="s">
        <v>93</v>
      </c>
      <c r="AA951" s="30" t="s">
        <v>76</v>
      </c>
    </row>
    <row r="952" spans="1:28" ht="49.5">
      <c r="A952" s="88">
        <v>942</v>
      </c>
      <c r="B952" s="79" t="s">
        <v>4576</v>
      </c>
      <c r="C952" s="148" t="s">
        <v>9</v>
      </c>
      <c r="D952" s="80" t="s">
        <v>3539</v>
      </c>
      <c r="E952" s="27" t="s">
        <v>4577</v>
      </c>
      <c r="F952" s="80" t="s">
        <v>65</v>
      </c>
      <c r="G952" s="81" t="s">
        <v>3541</v>
      </c>
      <c r="H952" s="80" t="s">
        <v>4578</v>
      </c>
      <c r="I952" s="92">
        <v>45708</v>
      </c>
      <c r="J952" s="80" t="s">
        <v>4385</v>
      </c>
      <c r="K952" s="80" t="s">
        <v>4386</v>
      </c>
      <c r="L952" s="84" t="s">
        <v>4387</v>
      </c>
      <c r="M952" s="84" t="s">
        <v>252</v>
      </c>
      <c r="N952" s="84" t="s">
        <v>72</v>
      </c>
      <c r="O952" s="28" t="s">
        <v>4579</v>
      </c>
      <c r="P952" s="28" t="s">
        <v>4580</v>
      </c>
      <c r="Q952" s="49" t="s">
        <v>75</v>
      </c>
      <c r="R952" s="25" t="s">
        <v>91</v>
      </c>
      <c r="S952" s="147">
        <v>18</v>
      </c>
      <c r="T952" s="147">
        <v>62</v>
      </c>
      <c r="U952" s="28" t="s">
        <v>4581</v>
      </c>
      <c r="V952" s="66"/>
      <c r="W952" s="106"/>
      <c r="X952" s="106" t="s">
        <v>516</v>
      </c>
      <c r="Y952" s="26" t="s">
        <v>76</v>
      </c>
      <c r="Z952" s="75" t="s">
        <v>93</v>
      </c>
      <c r="AA952" s="30" t="s">
        <v>76</v>
      </c>
    </row>
    <row r="953" spans="1:28" ht="33">
      <c r="A953" s="88">
        <v>943</v>
      </c>
      <c r="B953" s="79" t="s">
        <v>4582</v>
      </c>
      <c r="C953" s="148" t="s">
        <v>9</v>
      </c>
      <c r="D953" s="80" t="s">
        <v>83</v>
      </c>
      <c r="E953" s="27" t="s">
        <v>4583</v>
      </c>
      <c r="F953" s="80" t="s">
        <v>120</v>
      </c>
      <c r="G953" s="81" t="s">
        <v>4584</v>
      </c>
      <c r="H953" s="80" t="s">
        <v>4585</v>
      </c>
      <c r="I953" s="92">
        <v>45708</v>
      </c>
      <c r="J953" s="80" t="s">
        <v>4586</v>
      </c>
      <c r="K953" s="80" t="s">
        <v>4386</v>
      </c>
      <c r="L953" s="84" t="s">
        <v>4387</v>
      </c>
      <c r="M953" s="84" t="s">
        <v>114</v>
      </c>
      <c r="N953" s="84" t="s">
        <v>72</v>
      </c>
      <c r="O953" s="28" t="s">
        <v>4587</v>
      </c>
      <c r="P953" s="28" t="s">
        <v>4588</v>
      </c>
      <c r="Q953" s="49" t="s">
        <v>75</v>
      </c>
      <c r="R953" s="25" t="s">
        <v>91</v>
      </c>
      <c r="S953" s="147">
        <v>18</v>
      </c>
      <c r="T953" s="147">
        <v>58</v>
      </c>
      <c r="U953" s="28" t="s">
        <v>4589</v>
      </c>
      <c r="V953" s="66"/>
      <c r="W953" s="106"/>
      <c r="X953" s="106" t="s">
        <v>516</v>
      </c>
      <c r="Y953" s="26" t="s">
        <v>76</v>
      </c>
      <c r="Z953" s="75" t="s">
        <v>93</v>
      </c>
      <c r="AA953" s="30" t="s">
        <v>76</v>
      </c>
    </row>
    <row r="954" spans="1:28" ht="49.5">
      <c r="A954" s="88">
        <v>944</v>
      </c>
      <c r="B954" s="79" t="s">
        <v>4590</v>
      </c>
      <c r="C954" s="148" t="s">
        <v>9</v>
      </c>
      <c r="D954" s="80" t="s">
        <v>3539</v>
      </c>
      <c r="E954" s="27" t="s">
        <v>4591</v>
      </c>
      <c r="F954" s="80" t="s">
        <v>109</v>
      </c>
      <c r="G954" s="81" t="s">
        <v>3541</v>
      </c>
      <c r="H954" s="80" t="s">
        <v>4592</v>
      </c>
      <c r="I954" s="92">
        <v>45708</v>
      </c>
      <c r="J954" s="80" t="s">
        <v>4586</v>
      </c>
      <c r="K954" s="80" t="s">
        <v>4386</v>
      </c>
      <c r="L954" s="84" t="s">
        <v>4387</v>
      </c>
      <c r="M954" s="84" t="s">
        <v>114</v>
      </c>
      <c r="N954" s="84" t="s">
        <v>72</v>
      </c>
      <c r="O954" s="28" t="s">
        <v>4593</v>
      </c>
      <c r="P954" s="28" t="s">
        <v>4594</v>
      </c>
      <c r="Q954" s="49" t="s">
        <v>75</v>
      </c>
      <c r="R954" s="25" t="s">
        <v>91</v>
      </c>
      <c r="S954" s="147">
        <v>19</v>
      </c>
      <c r="T954" s="147">
        <v>62</v>
      </c>
      <c r="U954" s="28" t="s">
        <v>4595</v>
      </c>
      <c r="V954" s="66"/>
      <c r="W954" s="106"/>
      <c r="X954" s="106" t="s">
        <v>516</v>
      </c>
      <c r="Y954" s="26" t="s">
        <v>76</v>
      </c>
      <c r="Z954" s="75" t="s">
        <v>93</v>
      </c>
      <c r="AA954" s="30" t="s">
        <v>76</v>
      </c>
    </row>
    <row r="955" spans="1:28" ht="49.5">
      <c r="A955" s="88">
        <v>945</v>
      </c>
      <c r="B955" s="79" t="s">
        <v>4596</v>
      </c>
      <c r="C955" s="148" t="s">
        <v>9</v>
      </c>
      <c r="D955" s="80" t="s">
        <v>3539</v>
      </c>
      <c r="E955" s="27" t="s">
        <v>4597</v>
      </c>
      <c r="F955" s="80" t="s">
        <v>120</v>
      </c>
      <c r="G955" s="81" t="s">
        <v>3541</v>
      </c>
      <c r="H955" s="80" t="s">
        <v>4598</v>
      </c>
      <c r="I955" s="92">
        <v>45708</v>
      </c>
      <c r="J955" s="80" t="s">
        <v>4586</v>
      </c>
      <c r="K955" s="80" t="s">
        <v>4386</v>
      </c>
      <c r="L955" s="84" t="s">
        <v>4387</v>
      </c>
      <c r="M955" s="84" t="s">
        <v>114</v>
      </c>
      <c r="N955" s="84" t="s">
        <v>72</v>
      </c>
      <c r="O955" s="28" t="s">
        <v>4599</v>
      </c>
      <c r="P955" s="28" t="s">
        <v>4600</v>
      </c>
      <c r="Q955" s="49" t="s">
        <v>75</v>
      </c>
      <c r="R955" s="25" t="s">
        <v>91</v>
      </c>
      <c r="S955" s="147">
        <v>18</v>
      </c>
      <c r="T955" s="147">
        <v>60</v>
      </c>
      <c r="U955" s="28" t="s">
        <v>4601</v>
      </c>
      <c r="V955" s="66"/>
      <c r="W955" s="106"/>
      <c r="X955" s="106" t="s">
        <v>516</v>
      </c>
      <c r="Y955" s="26" t="s">
        <v>76</v>
      </c>
      <c r="Z955" s="75" t="s">
        <v>93</v>
      </c>
      <c r="AA955" s="30" t="s">
        <v>76</v>
      </c>
    </row>
    <row r="956" spans="1:28" ht="49.5">
      <c r="A956" s="88">
        <v>946</v>
      </c>
      <c r="B956" s="79" t="s">
        <v>4602</v>
      </c>
      <c r="C956" s="148" t="s">
        <v>9</v>
      </c>
      <c r="D956" s="80" t="s">
        <v>3539</v>
      </c>
      <c r="E956" s="27" t="s">
        <v>4603</v>
      </c>
      <c r="F956" s="80" t="s">
        <v>109</v>
      </c>
      <c r="G956" s="81" t="s">
        <v>3541</v>
      </c>
      <c r="H956" s="80" t="s">
        <v>4604</v>
      </c>
      <c r="I956" s="92">
        <v>45708</v>
      </c>
      <c r="J956" s="80" t="s">
        <v>4385</v>
      </c>
      <c r="K956" s="80" t="s">
        <v>4386</v>
      </c>
      <c r="L956" s="84" t="s">
        <v>4387</v>
      </c>
      <c r="M956" s="84" t="s">
        <v>252</v>
      </c>
      <c r="N956" s="84" t="s">
        <v>72</v>
      </c>
      <c r="O956" s="28" t="s">
        <v>4605</v>
      </c>
      <c r="P956" s="28" t="s">
        <v>4606</v>
      </c>
      <c r="Q956" s="49" t="s">
        <v>75</v>
      </c>
      <c r="R956" s="25" t="s">
        <v>91</v>
      </c>
      <c r="S956" s="147">
        <v>18</v>
      </c>
      <c r="T956" s="147">
        <v>59</v>
      </c>
      <c r="U956" s="28" t="s">
        <v>4607</v>
      </c>
      <c r="V956" s="66"/>
      <c r="W956" s="106"/>
      <c r="X956" s="106" t="s">
        <v>516</v>
      </c>
      <c r="Y956" s="26" t="s">
        <v>76</v>
      </c>
      <c r="Z956" s="75" t="s">
        <v>93</v>
      </c>
      <c r="AA956" s="30" t="s">
        <v>76</v>
      </c>
    </row>
    <row r="957" spans="1:28" ht="49.5">
      <c r="A957" s="88">
        <v>947</v>
      </c>
      <c r="B957" s="79" t="s">
        <v>4608</v>
      </c>
      <c r="C957" s="148" t="s">
        <v>9</v>
      </c>
      <c r="D957" s="80" t="s">
        <v>3539</v>
      </c>
      <c r="E957" s="27" t="s">
        <v>4609</v>
      </c>
      <c r="F957" s="80" t="s">
        <v>120</v>
      </c>
      <c r="G957" s="81" t="s">
        <v>3541</v>
      </c>
      <c r="H957" s="80" t="s">
        <v>4610</v>
      </c>
      <c r="I957" s="92">
        <v>45708</v>
      </c>
      <c r="J957" s="80" t="s">
        <v>4385</v>
      </c>
      <c r="K957" s="80" t="s">
        <v>4386</v>
      </c>
      <c r="L957" s="84" t="s">
        <v>4387</v>
      </c>
      <c r="M957" s="84" t="s">
        <v>252</v>
      </c>
      <c r="N957" s="84" t="s">
        <v>72</v>
      </c>
      <c r="O957" s="28" t="s">
        <v>4611</v>
      </c>
      <c r="P957" s="28" t="s">
        <v>4612</v>
      </c>
      <c r="Q957" s="49" t="s">
        <v>75</v>
      </c>
      <c r="R957" s="25" t="s">
        <v>91</v>
      </c>
      <c r="S957" s="147">
        <v>20</v>
      </c>
      <c r="T957" s="147">
        <v>68</v>
      </c>
      <c r="U957" s="28" t="s">
        <v>4613</v>
      </c>
      <c r="V957" s="66"/>
      <c r="W957" s="106"/>
      <c r="X957" s="106" t="s">
        <v>516</v>
      </c>
      <c r="Y957" s="26" t="s">
        <v>76</v>
      </c>
      <c r="Z957" s="75" t="s">
        <v>93</v>
      </c>
      <c r="AA957" s="30" t="s">
        <v>76</v>
      </c>
    </row>
    <row r="958" spans="1:28" ht="49.5">
      <c r="A958" s="88">
        <v>948</v>
      </c>
      <c r="B958" s="79" t="s">
        <v>4614</v>
      </c>
      <c r="C958" s="148" t="s">
        <v>9</v>
      </c>
      <c r="D958" s="80" t="s">
        <v>3539</v>
      </c>
      <c r="E958" s="27" t="s">
        <v>4615</v>
      </c>
      <c r="F958" s="80" t="s">
        <v>120</v>
      </c>
      <c r="G958" s="81" t="s">
        <v>3541</v>
      </c>
      <c r="H958" s="80" t="s">
        <v>4616</v>
      </c>
      <c r="I958" s="92">
        <v>45708</v>
      </c>
      <c r="J958" s="80" t="s">
        <v>4385</v>
      </c>
      <c r="K958" s="80" t="s">
        <v>4386</v>
      </c>
      <c r="L958" s="84" t="s">
        <v>4387</v>
      </c>
      <c r="M958" s="84" t="s">
        <v>252</v>
      </c>
      <c r="N958" s="84" t="s">
        <v>72</v>
      </c>
      <c r="O958" s="28" t="s">
        <v>4617</v>
      </c>
      <c r="P958" s="237" t="s">
        <v>4618</v>
      </c>
      <c r="Q958" s="49" t="s">
        <v>75</v>
      </c>
      <c r="R958" s="25" t="s">
        <v>91</v>
      </c>
      <c r="S958" s="147">
        <v>22</v>
      </c>
      <c r="T958" s="147">
        <v>69</v>
      </c>
      <c r="U958" s="28" t="s">
        <v>4619</v>
      </c>
      <c r="V958" s="66"/>
      <c r="W958" s="106"/>
      <c r="X958" s="106" t="s">
        <v>516</v>
      </c>
      <c r="Y958" s="26" t="s">
        <v>76</v>
      </c>
      <c r="Z958" s="75" t="s">
        <v>93</v>
      </c>
      <c r="AA958" s="30" t="s">
        <v>76</v>
      </c>
    </row>
    <row r="959" spans="1:28" ht="99" hidden="1">
      <c r="A959" s="88">
        <v>949</v>
      </c>
      <c r="B959" s="79" t="s">
        <v>4620</v>
      </c>
      <c r="C959" s="148" t="s">
        <v>8</v>
      </c>
      <c r="D959" s="80" t="s">
        <v>63</v>
      </c>
      <c r="E959" s="27" t="s">
        <v>2636</v>
      </c>
      <c r="F959" s="80" t="s">
        <v>120</v>
      </c>
      <c r="G959" s="81" t="s">
        <v>995</v>
      </c>
      <c r="H959" s="80" t="s">
        <v>2637</v>
      </c>
      <c r="I959" s="92">
        <v>45709</v>
      </c>
      <c r="J959" s="80" t="s">
        <v>3565</v>
      </c>
      <c r="K959" s="80" t="s">
        <v>299</v>
      </c>
      <c r="L959" s="84" t="s">
        <v>189</v>
      </c>
      <c r="M959" s="84" t="s">
        <v>252</v>
      </c>
      <c r="N959" s="84" t="s">
        <v>72</v>
      </c>
      <c r="O959" s="129" t="s">
        <v>4621</v>
      </c>
      <c r="P959" s="122" t="s">
        <v>4622</v>
      </c>
      <c r="Q959" s="49" t="s">
        <v>75</v>
      </c>
      <c r="R959" s="25" t="s">
        <v>91</v>
      </c>
      <c r="S959" s="26">
        <v>22</v>
      </c>
      <c r="T959" s="26">
        <v>63</v>
      </c>
      <c r="U959" s="28" t="s">
        <v>4623</v>
      </c>
      <c r="V959" s="66"/>
      <c r="W959" s="106"/>
      <c r="X959" s="106" t="s">
        <v>516</v>
      </c>
      <c r="Y959" s="26" t="s">
        <v>76</v>
      </c>
      <c r="Z959" s="93" t="s">
        <v>93</v>
      </c>
      <c r="AA959" s="30" t="s">
        <v>76</v>
      </c>
    </row>
    <row r="960" spans="1:28" ht="66" hidden="1">
      <c r="A960" s="88">
        <v>950</v>
      </c>
      <c r="B960" s="79" t="s">
        <v>4624</v>
      </c>
      <c r="C960" s="148" t="s">
        <v>8</v>
      </c>
      <c r="D960" s="80" t="s">
        <v>63</v>
      </c>
      <c r="E960" s="27" t="s">
        <v>2613</v>
      </c>
      <c r="F960" s="80" t="s">
        <v>109</v>
      </c>
      <c r="G960" s="81" t="s">
        <v>995</v>
      </c>
      <c r="H960" s="80" t="s">
        <v>2614</v>
      </c>
      <c r="I960" s="92">
        <v>45709</v>
      </c>
      <c r="J960" s="80" t="s">
        <v>3505</v>
      </c>
      <c r="K960" s="80" t="s">
        <v>299</v>
      </c>
      <c r="L960" s="84" t="s">
        <v>100</v>
      </c>
      <c r="M960" s="84" t="s">
        <v>252</v>
      </c>
      <c r="N960" s="84" t="s">
        <v>72</v>
      </c>
      <c r="O960" s="129" t="s">
        <v>4625</v>
      </c>
      <c r="P960" s="122" t="s">
        <v>4626</v>
      </c>
      <c r="Q960" s="49" t="s">
        <v>91</v>
      </c>
      <c r="R960" s="25"/>
      <c r="S960" s="26">
        <v>12</v>
      </c>
      <c r="T960" s="26"/>
      <c r="U960" s="28" t="s">
        <v>4627</v>
      </c>
      <c r="V960" s="66"/>
      <c r="W960" s="106"/>
      <c r="X960" s="106" t="s">
        <v>76</v>
      </c>
      <c r="Y960" s="26" t="s">
        <v>76</v>
      </c>
      <c r="Z960" s="75" t="s">
        <v>193</v>
      </c>
      <c r="AA960" s="30" t="s">
        <v>76</v>
      </c>
      <c r="AB960" s="25" t="s">
        <v>75</v>
      </c>
    </row>
    <row r="961" spans="1:28" ht="33">
      <c r="A961" s="98">
        <v>951</v>
      </c>
      <c r="B961" s="79" t="s">
        <v>4628</v>
      </c>
      <c r="C961" s="148" t="s">
        <v>9</v>
      </c>
      <c r="D961" s="80" t="s">
        <v>83</v>
      </c>
      <c r="E961" s="27" t="s">
        <v>4629</v>
      </c>
      <c r="F961" s="80" t="s">
        <v>65</v>
      </c>
      <c r="G961" s="81" t="s">
        <v>4459</v>
      </c>
      <c r="H961" s="80" t="s">
        <v>4630</v>
      </c>
      <c r="I961" s="92">
        <v>45709</v>
      </c>
      <c r="J961" s="80" t="s">
        <v>4385</v>
      </c>
      <c r="K961" s="80" t="s">
        <v>4386</v>
      </c>
      <c r="L961" s="84" t="s">
        <v>4387</v>
      </c>
      <c r="M961" s="84" t="s">
        <v>252</v>
      </c>
      <c r="N961" s="84" t="s">
        <v>72</v>
      </c>
      <c r="O961" s="129" t="s">
        <v>4631</v>
      </c>
      <c r="P961" s="122" t="s">
        <v>4632</v>
      </c>
      <c r="Q961" s="49" t="s">
        <v>75</v>
      </c>
      <c r="R961" s="25" t="s">
        <v>91</v>
      </c>
      <c r="S961" s="26">
        <v>21</v>
      </c>
      <c r="T961" s="26">
        <v>65</v>
      </c>
      <c r="U961" s="28" t="s">
        <v>4633</v>
      </c>
      <c r="V961" s="66"/>
      <c r="W961" s="106"/>
      <c r="X961" s="106" t="s">
        <v>516</v>
      </c>
      <c r="Y961" s="26" t="s">
        <v>76</v>
      </c>
      <c r="Z961" s="75" t="s">
        <v>93</v>
      </c>
      <c r="AA961" s="30" t="s">
        <v>76</v>
      </c>
    </row>
    <row r="962" spans="1:28" ht="49.5">
      <c r="A962" s="98">
        <v>952</v>
      </c>
      <c r="B962" s="79" t="s">
        <v>4634</v>
      </c>
      <c r="C962" s="148" t="s">
        <v>9</v>
      </c>
      <c r="D962" s="80" t="s">
        <v>83</v>
      </c>
      <c r="E962" s="27" t="s">
        <v>4635</v>
      </c>
      <c r="F962" s="80" t="s">
        <v>284</v>
      </c>
      <c r="G962" s="81" t="s">
        <v>4636</v>
      </c>
      <c r="H962" s="80" t="s">
        <v>4637</v>
      </c>
      <c r="I962" s="92">
        <v>45709</v>
      </c>
      <c r="J962" s="80" t="s">
        <v>4385</v>
      </c>
      <c r="K962" s="80" t="s">
        <v>4386</v>
      </c>
      <c r="L962" s="84" t="s">
        <v>4387</v>
      </c>
      <c r="M962" s="84" t="s">
        <v>252</v>
      </c>
      <c r="N962" s="84" t="s">
        <v>72</v>
      </c>
      <c r="O962" s="129" t="s">
        <v>4638</v>
      </c>
      <c r="P962" s="122" t="s">
        <v>4639</v>
      </c>
      <c r="Q962" s="49" t="s">
        <v>75</v>
      </c>
      <c r="R962" s="25" t="s">
        <v>91</v>
      </c>
      <c r="S962" s="26">
        <v>21</v>
      </c>
      <c r="T962" s="26">
        <v>65</v>
      </c>
      <c r="U962" s="28" t="s">
        <v>4640</v>
      </c>
      <c r="V962" s="66"/>
      <c r="W962" s="106"/>
      <c r="X962" s="106" t="s">
        <v>516</v>
      </c>
      <c r="Y962" s="26" t="s">
        <v>76</v>
      </c>
      <c r="Z962" s="75" t="s">
        <v>93</v>
      </c>
      <c r="AA962" s="30" t="s">
        <v>76</v>
      </c>
    </row>
    <row r="963" spans="1:28" ht="33">
      <c r="A963" s="98">
        <v>953</v>
      </c>
      <c r="B963" s="79" t="s">
        <v>4641</v>
      </c>
      <c r="C963" s="148" t="s">
        <v>9</v>
      </c>
      <c r="D963" s="80" t="s">
        <v>83</v>
      </c>
      <c r="E963" s="27" t="s">
        <v>4642</v>
      </c>
      <c r="F963" s="80" t="s">
        <v>109</v>
      </c>
      <c r="G963" s="81" t="s">
        <v>4636</v>
      </c>
      <c r="H963" s="80" t="s">
        <v>4643</v>
      </c>
      <c r="I963" s="92">
        <v>45709</v>
      </c>
      <c r="J963" s="80" t="s">
        <v>4385</v>
      </c>
      <c r="K963" s="80" t="s">
        <v>4386</v>
      </c>
      <c r="L963" s="84" t="s">
        <v>4387</v>
      </c>
      <c r="M963" s="84" t="s">
        <v>252</v>
      </c>
      <c r="N963" s="84" t="s">
        <v>72</v>
      </c>
      <c r="O963" s="129" t="s">
        <v>4644</v>
      </c>
      <c r="P963" s="122" t="s">
        <v>4645</v>
      </c>
      <c r="Q963" s="49" t="s">
        <v>75</v>
      </c>
      <c r="R963" s="25" t="s">
        <v>91</v>
      </c>
      <c r="S963" s="26">
        <v>20</v>
      </c>
      <c r="T963" s="26">
        <v>64</v>
      </c>
      <c r="U963" s="28" t="s">
        <v>4646</v>
      </c>
      <c r="V963" s="66"/>
      <c r="W963" s="106"/>
      <c r="X963" s="106" t="s">
        <v>516</v>
      </c>
      <c r="Y963" s="26" t="s">
        <v>76</v>
      </c>
      <c r="Z963" s="75" t="s">
        <v>93</v>
      </c>
      <c r="AA963" s="30" t="s">
        <v>76</v>
      </c>
    </row>
    <row r="964" spans="1:28" ht="49.5">
      <c r="A964" s="98">
        <v>954</v>
      </c>
      <c r="B964" s="79" t="s">
        <v>4647</v>
      </c>
      <c r="C964" s="148" t="s">
        <v>9</v>
      </c>
      <c r="D964" s="80" t="s">
        <v>83</v>
      </c>
      <c r="E964" s="27" t="s">
        <v>4648</v>
      </c>
      <c r="F964" s="80" t="s">
        <v>120</v>
      </c>
      <c r="G964" s="81" t="s">
        <v>4636</v>
      </c>
      <c r="H964" s="80" t="s">
        <v>4649</v>
      </c>
      <c r="I964" s="92">
        <v>45709</v>
      </c>
      <c r="J964" s="80" t="s">
        <v>4650</v>
      </c>
      <c r="K964" s="80" t="s">
        <v>4386</v>
      </c>
      <c r="L964" s="84" t="s">
        <v>4387</v>
      </c>
      <c r="M964" s="84" t="s">
        <v>101</v>
      </c>
      <c r="N964" s="84" t="s">
        <v>72</v>
      </c>
      <c r="O964" s="129" t="s">
        <v>4651</v>
      </c>
      <c r="P964" s="122" t="s">
        <v>4652</v>
      </c>
      <c r="Q964" s="49" t="s">
        <v>91</v>
      </c>
      <c r="R964" s="25"/>
      <c r="S964" s="26">
        <v>16</v>
      </c>
      <c r="T964" s="26"/>
      <c r="U964" s="28" t="s">
        <v>4653</v>
      </c>
      <c r="V964" s="66"/>
      <c r="W964" s="106"/>
      <c r="X964" s="106" t="s">
        <v>76</v>
      </c>
      <c r="Y964" s="26" t="s">
        <v>76</v>
      </c>
      <c r="Z964" s="75" t="s">
        <v>193</v>
      </c>
      <c r="AA964" s="30" t="s">
        <v>76</v>
      </c>
      <c r="AB964" s="25" t="s">
        <v>75</v>
      </c>
    </row>
    <row r="965" spans="1:28" ht="49.5">
      <c r="A965" s="98">
        <v>955</v>
      </c>
      <c r="B965" s="79" t="s">
        <v>4654</v>
      </c>
      <c r="C965" s="148" t="s">
        <v>9</v>
      </c>
      <c r="D965" s="80" t="s">
        <v>83</v>
      </c>
      <c r="E965" s="27">
        <v>2002026</v>
      </c>
      <c r="F965" s="80" t="s">
        <v>1344</v>
      </c>
      <c r="G965" s="81" t="s">
        <v>4636</v>
      </c>
      <c r="H965" s="80" t="s">
        <v>4655</v>
      </c>
      <c r="I965" s="92">
        <v>45709</v>
      </c>
      <c r="J965" s="80" t="s">
        <v>4385</v>
      </c>
      <c r="K965" s="80" t="s">
        <v>4386</v>
      </c>
      <c r="L965" s="84" t="s">
        <v>4387</v>
      </c>
      <c r="M965" s="84" t="s">
        <v>904</v>
      </c>
      <c r="N965" s="84" t="s">
        <v>72</v>
      </c>
      <c r="O965" s="129" t="s">
        <v>4656</v>
      </c>
      <c r="P965" s="237" t="s">
        <v>4657</v>
      </c>
      <c r="Q965" s="49" t="s">
        <v>91</v>
      </c>
      <c r="R965" s="25"/>
      <c r="S965" s="130">
        <v>10</v>
      </c>
      <c r="T965" s="272" t="s">
        <v>76</v>
      </c>
      <c r="U965" s="28" t="s">
        <v>4658</v>
      </c>
      <c r="V965" s="66"/>
      <c r="W965" s="106"/>
      <c r="X965" s="106" t="s">
        <v>76</v>
      </c>
      <c r="Y965" s="26" t="s">
        <v>76</v>
      </c>
      <c r="Z965" s="75"/>
      <c r="AA965" s="30" t="s">
        <v>4659</v>
      </c>
    </row>
    <row r="966" spans="1:28" ht="66">
      <c r="A966" s="98">
        <v>956</v>
      </c>
      <c r="B966" s="79" t="s">
        <v>4660</v>
      </c>
      <c r="C966" s="148" t="s">
        <v>9</v>
      </c>
      <c r="D966" s="80" t="s">
        <v>83</v>
      </c>
      <c r="E966" s="27">
        <v>1302541</v>
      </c>
      <c r="F966" s="80" t="s">
        <v>2896</v>
      </c>
      <c r="G966" s="81" t="s">
        <v>4636</v>
      </c>
      <c r="H966" s="80" t="s">
        <v>4661</v>
      </c>
      <c r="I966" s="92">
        <v>45709</v>
      </c>
      <c r="J966" s="80" t="s">
        <v>4662</v>
      </c>
      <c r="K966" s="80" t="s">
        <v>4386</v>
      </c>
      <c r="L966" s="84" t="s">
        <v>4387</v>
      </c>
      <c r="M966" s="84" t="s">
        <v>148</v>
      </c>
      <c r="N966" s="84" t="s">
        <v>72</v>
      </c>
      <c r="O966" s="129" t="s">
        <v>4663</v>
      </c>
      <c r="P966" s="245" t="s">
        <v>4664</v>
      </c>
      <c r="Q966" s="49" t="s">
        <v>91</v>
      </c>
      <c r="R966" s="25"/>
      <c r="S966" s="147">
        <v>14</v>
      </c>
      <c r="T966" s="147"/>
      <c r="U966" s="255" t="s">
        <v>4665</v>
      </c>
      <c r="V966" s="66"/>
      <c r="W966" s="106"/>
      <c r="X966" s="106" t="s">
        <v>76</v>
      </c>
      <c r="Y966" s="26" t="s">
        <v>76</v>
      </c>
      <c r="Z966" s="75"/>
      <c r="AA966" s="30" t="s">
        <v>4659</v>
      </c>
    </row>
    <row r="967" spans="1:28" ht="33">
      <c r="A967" s="98">
        <v>957</v>
      </c>
      <c r="B967" s="79" t="s">
        <v>4666</v>
      </c>
      <c r="C967" s="148" t="s">
        <v>9</v>
      </c>
      <c r="D967" s="80" t="s">
        <v>83</v>
      </c>
      <c r="E967" s="27" t="s">
        <v>4667</v>
      </c>
      <c r="F967" s="80" t="s">
        <v>65</v>
      </c>
      <c r="G967" s="81" t="s">
        <v>4636</v>
      </c>
      <c r="H967" s="80" t="s">
        <v>4668</v>
      </c>
      <c r="I967" s="92">
        <v>45709</v>
      </c>
      <c r="J967" s="80" t="s">
        <v>4385</v>
      </c>
      <c r="K967" s="80" t="s">
        <v>4386</v>
      </c>
      <c r="L967" s="84" t="s">
        <v>4387</v>
      </c>
      <c r="M967" s="84" t="s">
        <v>252</v>
      </c>
      <c r="N967" s="84" t="s">
        <v>72</v>
      </c>
      <c r="O967" s="129" t="s">
        <v>4669</v>
      </c>
      <c r="P967" s="189" t="s">
        <v>4670</v>
      </c>
      <c r="Q967" s="49" t="s">
        <v>91</v>
      </c>
      <c r="R967" s="25"/>
      <c r="S967" s="147">
        <v>11</v>
      </c>
      <c r="T967" s="147" t="s">
        <v>76</v>
      </c>
      <c r="U967" s="28" t="s">
        <v>4671</v>
      </c>
      <c r="V967" s="66"/>
      <c r="W967" s="106"/>
      <c r="X967" s="106" t="s">
        <v>76</v>
      </c>
      <c r="Y967" s="26" t="s">
        <v>76</v>
      </c>
      <c r="Z967" s="75" t="s">
        <v>193</v>
      </c>
      <c r="AA967" s="30" t="s">
        <v>76</v>
      </c>
    </row>
    <row r="968" spans="1:28" ht="33">
      <c r="A968" s="98">
        <v>958</v>
      </c>
      <c r="B968" s="79" t="s">
        <v>4672</v>
      </c>
      <c r="C968" s="148" t="s">
        <v>9</v>
      </c>
      <c r="D968" s="80" t="s">
        <v>83</v>
      </c>
      <c r="E968" s="27" t="s">
        <v>4673</v>
      </c>
      <c r="F968" s="80" t="s">
        <v>109</v>
      </c>
      <c r="G968" s="81" t="s">
        <v>4636</v>
      </c>
      <c r="H968" s="80" t="s">
        <v>4674</v>
      </c>
      <c r="I968" s="92">
        <v>45709</v>
      </c>
      <c r="J968" s="80" t="s">
        <v>4385</v>
      </c>
      <c r="K968" s="80" t="s">
        <v>4386</v>
      </c>
      <c r="L968" s="84" t="s">
        <v>4387</v>
      </c>
      <c r="M968" s="84" t="s">
        <v>252</v>
      </c>
      <c r="N968" s="84" t="s">
        <v>72</v>
      </c>
      <c r="O968" s="129" t="s">
        <v>4675</v>
      </c>
      <c r="P968" s="237" t="s">
        <v>4676</v>
      </c>
      <c r="Q968" s="49" t="s">
        <v>75</v>
      </c>
      <c r="R968" s="25" t="s">
        <v>91</v>
      </c>
      <c r="S968" s="147">
        <v>21</v>
      </c>
      <c r="T968" s="147">
        <v>66</v>
      </c>
      <c r="U968" s="28" t="s">
        <v>4677</v>
      </c>
      <c r="V968" s="66"/>
      <c r="W968" s="106"/>
      <c r="X968" s="106" t="s">
        <v>516</v>
      </c>
      <c r="Y968" s="26" t="s">
        <v>76</v>
      </c>
      <c r="Z968" s="75" t="s">
        <v>93</v>
      </c>
      <c r="AA968" s="30" t="s">
        <v>76</v>
      </c>
    </row>
    <row r="969" spans="1:28" ht="33">
      <c r="A969" s="98">
        <v>959</v>
      </c>
      <c r="B969" s="79" t="s">
        <v>4678</v>
      </c>
      <c r="C969" s="148" t="s">
        <v>9</v>
      </c>
      <c r="D969" s="80" t="s">
        <v>83</v>
      </c>
      <c r="E969" s="27" t="s">
        <v>4673</v>
      </c>
      <c r="F969" s="80" t="s">
        <v>109</v>
      </c>
      <c r="G969" s="81" t="s">
        <v>4636</v>
      </c>
      <c r="H969" s="80" t="s">
        <v>4674</v>
      </c>
      <c r="I969" s="92">
        <v>45709</v>
      </c>
      <c r="J969" s="80" t="s">
        <v>4385</v>
      </c>
      <c r="K969" s="80" t="s">
        <v>4386</v>
      </c>
      <c r="L969" s="84" t="s">
        <v>4387</v>
      </c>
      <c r="M969" s="84" t="s">
        <v>252</v>
      </c>
      <c r="N969" s="84" t="s">
        <v>72</v>
      </c>
      <c r="O969" s="129" t="s">
        <v>4679</v>
      </c>
      <c r="P969" s="189" t="s">
        <v>4680</v>
      </c>
      <c r="Q969" s="49" t="s">
        <v>75</v>
      </c>
      <c r="R969" s="25" t="s">
        <v>91</v>
      </c>
      <c r="S969" s="147">
        <v>20</v>
      </c>
      <c r="T969" s="147">
        <v>62</v>
      </c>
      <c r="U969" s="28" t="s">
        <v>4681</v>
      </c>
      <c r="V969" s="66"/>
      <c r="W969" s="106"/>
      <c r="X969" s="106" t="s">
        <v>516</v>
      </c>
      <c r="Y969" s="26" t="s">
        <v>76</v>
      </c>
      <c r="Z969" s="75" t="s">
        <v>93</v>
      </c>
      <c r="AA969" s="30" t="s">
        <v>76</v>
      </c>
    </row>
    <row r="970" spans="1:28" ht="49.5">
      <c r="A970" s="98">
        <v>960</v>
      </c>
      <c r="B970" s="79" t="s">
        <v>4682</v>
      </c>
      <c r="C970" s="148" t="s">
        <v>9</v>
      </c>
      <c r="D970" s="80" t="s">
        <v>83</v>
      </c>
      <c r="E970" s="27">
        <v>1002923</v>
      </c>
      <c r="F970" s="80" t="s">
        <v>2896</v>
      </c>
      <c r="G970" s="81" t="s">
        <v>4636</v>
      </c>
      <c r="H970" s="80" t="s">
        <v>4683</v>
      </c>
      <c r="I970" s="92">
        <v>45709</v>
      </c>
      <c r="J970" s="80" t="s">
        <v>4385</v>
      </c>
      <c r="K970" s="80" t="s">
        <v>4386</v>
      </c>
      <c r="L970" s="84" t="s">
        <v>4387</v>
      </c>
      <c r="M970" s="84" t="s">
        <v>252</v>
      </c>
      <c r="N970" s="84" t="s">
        <v>72</v>
      </c>
      <c r="O970" s="129" t="s">
        <v>4684</v>
      </c>
      <c r="P970" s="273" t="s">
        <v>4685</v>
      </c>
      <c r="Q970" s="49" t="s">
        <v>91</v>
      </c>
      <c r="R970" s="25"/>
      <c r="S970" s="147">
        <v>17</v>
      </c>
      <c r="T970" s="147" t="s">
        <v>76</v>
      </c>
      <c r="U970" s="33" t="s">
        <v>4686</v>
      </c>
      <c r="V970" s="66"/>
      <c r="W970" s="106"/>
      <c r="X970" s="106" t="s">
        <v>76</v>
      </c>
      <c r="Y970" s="26" t="s">
        <v>76</v>
      </c>
      <c r="Z970" s="75"/>
      <c r="AA970" s="30" t="s">
        <v>4659</v>
      </c>
    </row>
    <row r="971" spans="1:28" ht="33">
      <c r="A971" s="98">
        <v>961</v>
      </c>
      <c r="B971" s="79" t="s">
        <v>4687</v>
      </c>
      <c r="C971" s="148" t="s">
        <v>9</v>
      </c>
      <c r="D971" s="80" t="s">
        <v>83</v>
      </c>
      <c r="E971" s="27" t="s">
        <v>4688</v>
      </c>
      <c r="F971" s="80" t="s">
        <v>284</v>
      </c>
      <c r="G971" s="81" t="s">
        <v>4636</v>
      </c>
      <c r="H971" s="80" t="s">
        <v>4689</v>
      </c>
      <c r="I971" s="92">
        <v>45709</v>
      </c>
      <c r="J971" s="80" t="s">
        <v>4586</v>
      </c>
      <c r="K971" s="80" t="s">
        <v>4386</v>
      </c>
      <c r="L971" s="84" t="s">
        <v>4387</v>
      </c>
      <c r="M971" s="84" t="s">
        <v>114</v>
      </c>
      <c r="N971" s="84" t="s">
        <v>72</v>
      </c>
      <c r="O971" s="129" t="s">
        <v>4690</v>
      </c>
      <c r="P971" s="273" t="s">
        <v>4691</v>
      </c>
      <c r="Q971" s="49" t="s">
        <v>75</v>
      </c>
      <c r="R971" s="25" t="s">
        <v>91</v>
      </c>
      <c r="S971" s="147">
        <v>18</v>
      </c>
      <c r="T971" s="147">
        <v>56</v>
      </c>
      <c r="U971" s="28" t="s">
        <v>4692</v>
      </c>
      <c r="V971" s="66"/>
      <c r="W971" s="106"/>
      <c r="X971" s="106" t="s">
        <v>516</v>
      </c>
      <c r="Y971" s="26" t="s">
        <v>76</v>
      </c>
      <c r="Z971" s="75" t="s">
        <v>93</v>
      </c>
      <c r="AA971" s="30" t="s">
        <v>76</v>
      </c>
    </row>
    <row r="972" spans="1:28" ht="33">
      <c r="A972" s="98">
        <v>962</v>
      </c>
      <c r="B972" s="79" t="s">
        <v>4693</v>
      </c>
      <c r="C972" s="148" t="s">
        <v>9</v>
      </c>
      <c r="D972" s="80" t="s">
        <v>83</v>
      </c>
      <c r="E972" s="27" t="s">
        <v>4694</v>
      </c>
      <c r="F972" s="80" t="s">
        <v>284</v>
      </c>
      <c r="G972" s="81" t="s">
        <v>4695</v>
      </c>
      <c r="H972" s="80" t="s">
        <v>4696</v>
      </c>
      <c r="I972" s="92">
        <v>45710</v>
      </c>
      <c r="J972" s="80" t="s">
        <v>4385</v>
      </c>
      <c r="K972" s="80" t="s">
        <v>4386</v>
      </c>
      <c r="L972" s="84" t="s">
        <v>4387</v>
      </c>
      <c r="M972" s="84" t="s">
        <v>252</v>
      </c>
      <c r="N972" s="84" t="s">
        <v>72</v>
      </c>
      <c r="O972" s="129" t="s">
        <v>4697</v>
      </c>
      <c r="P972" s="273" t="s">
        <v>4698</v>
      </c>
      <c r="Q972" s="49" t="s">
        <v>75</v>
      </c>
      <c r="R972" s="25" t="s">
        <v>91</v>
      </c>
      <c r="S972" s="147">
        <v>18</v>
      </c>
      <c r="T972" s="147">
        <v>55</v>
      </c>
      <c r="U972" s="28" t="s">
        <v>4699</v>
      </c>
      <c r="V972" s="66"/>
      <c r="W972" s="106"/>
      <c r="X972" s="106" t="s">
        <v>516</v>
      </c>
      <c r="Y972" s="26" t="s">
        <v>76</v>
      </c>
      <c r="Z972" s="75" t="s">
        <v>93</v>
      </c>
      <c r="AA972" s="30" t="s">
        <v>76</v>
      </c>
    </row>
    <row r="973" spans="1:28" ht="33">
      <c r="A973" s="98">
        <v>963</v>
      </c>
      <c r="B973" s="79" t="s">
        <v>4700</v>
      </c>
      <c r="C973" s="148" t="s">
        <v>9</v>
      </c>
      <c r="D973" s="80" t="s">
        <v>83</v>
      </c>
      <c r="E973" s="27" t="s">
        <v>4701</v>
      </c>
      <c r="F973" s="80" t="s">
        <v>120</v>
      </c>
      <c r="G973" s="81" t="s">
        <v>4695</v>
      </c>
      <c r="H973" s="80" t="s">
        <v>4702</v>
      </c>
      <c r="I973" s="92">
        <v>45710</v>
      </c>
      <c r="J973" s="80" t="s">
        <v>4385</v>
      </c>
      <c r="K973" s="80" t="s">
        <v>4386</v>
      </c>
      <c r="L973" s="84" t="s">
        <v>4387</v>
      </c>
      <c r="M973" s="84" t="s">
        <v>904</v>
      </c>
      <c r="N973" s="84" t="s">
        <v>72</v>
      </c>
      <c r="O973" s="129" t="s">
        <v>4703</v>
      </c>
      <c r="P973" s="237" t="s">
        <v>4704</v>
      </c>
      <c r="Q973" s="49" t="s">
        <v>75</v>
      </c>
      <c r="R973" s="25" t="s">
        <v>91</v>
      </c>
      <c r="S973" s="147">
        <v>18</v>
      </c>
      <c r="T973" s="147">
        <v>59</v>
      </c>
      <c r="U973" s="28" t="s">
        <v>4705</v>
      </c>
      <c r="V973" s="66"/>
      <c r="W973" s="106"/>
      <c r="X973" s="106" t="s">
        <v>516</v>
      </c>
      <c r="Y973" s="26" t="s">
        <v>76</v>
      </c>
      <c r="Z973" s="75" t="s">
        <v>93</v>
      </c>
      <c r="AA973" s="30" t="s">
        <v>76</v>
      </c>
    </row>
    <row r="974" spans="1:28" ht="33">
      <c r="A974" s="98">
        <v>964</v>
      </c>
      <c r="B974" s="79" t="s">
        <v>4706</v>
      </c>
      <c r="C974" s="148" t="s">
        <v>9</v>
      </c>
      <c r="D974" s="80" t="s">
        <v>83</v>
      </c>
      <c r="E974" s="27" t="s">
        <v>4707</v>
      </c>
      <c r="F974" s="80" t="s">
        <v>109</v>
      </c>
      <c r="G974" s="81" t="s">
        <v>4695</v>
      </c>
      <c r="H974" s="80" t="s">
        <v>4708</v>
      </c>
      <c r="I974" s="92">
        <v>45710</v>
      </c>
      <c r="J974" s="80" t="s">
        <v>4385</v>
      </c>
      <c r="K974" s="80" t="s">
        <v>4386</v>
      </c>
      <c r="L974" s="84" t="s">
        <v>4387</v>
      </c>
      <c r="M974" s="84" t="s">
        <v>252</v>
      </c>
      <c r="N974" s="84" t="s">
        <v>72</v>
      </c>
      <c r="O974" s="129" t="s">
        <v>4709</v>
      </c>
      <c r="P974" s="245" t="s">
        <v>4710</v>
      </c>
      <c r="Q974" s="49" t="s">
        <v>75</v>
      </c>
      <c r="R974" s="25" t="s">
        <v>91</v>
      </c>
      <c r="S974" s="147">
        <v>22</v>
      </c>
      <c r="T974" s="147">
        <v>69</v>
      </c>
      <c r="U974" s="255" t="s">
        <v>4711</v>
      </c>
      <c r="V974" s="66"/>
      <c r="W974" s="106"/>
      <c r="X974" s="106" t="s">
        <v>516</v>
      </c>
      <c r="Y974" s="26" t="s">
        <v>76</v>
      </c>
      <c r="Z974" s="75" t="s">
        <v>106</v>
      </c>
      <c r="AA974" s="30" t="s">
        <v>76</v>
      </c>
    </row>
    <row r="975" spans="1:28" ht="33">
      <c r="A975" s="98">
        <v>965</v>
      </c>
      <c r="B975" s="79" t="s">
        <v>4712</v>
      </c>
      <c r="C975" s="148" t="s">
        <v>9</v>
      </c>
      <c r="D975" s="80" t="s">
        <v>83</v>
      </c>
      <c r="E975" s="27" t="s">
        <v>4713</v>
      </c>
      <c r="F975" s="80" t="s">
        <v>338</v>
      </c>
      <c r="G975" s="81" t="s">
        <v>4695</v>
      </c>
      <c r="H975" s="80" t="s">
        <v>4714</v>
      </c>
      <c r="I975" s="92">
        <v>45710</v>
      </c>
      <c r="J975" s="80" t="s">
        <v>4385</v>
      </c>
      <c r="K975" s="80" t="s">
        <v>4386</v>
      </c>
      <c r="L975" s="84" t="s">
        <v>4387</v>
      </c>
      <c r="M975" s="84" t="s">
        <v>252</v>
      </c>
      <c r="N975" s="84" t="s">
        <v>72</v>
      </c>
      <c r="O975" s="129" t="s">
        <v>4715</v>
      </c>
      <c r="P975" s="189" t="s">
        <v>4716</v>
      </c>
      <c r="Q975" s="49" t="s">
        <v>75</v>
      </c>
      <c r="R975" s="25" t="s">
        <v>91</v>
      </c>
      <c r="S975" s="147">
        <v>20</v>
      </c>
      <c r="T975" s="147">
        <v>65</v>
      </c>
      <c r="U975" s="28" t="s">
        <v>4469</v>
      </c>
      <c r="V975" s="66"/>
      <c r="W975" s="106"/>
      <c r="X975" s="106" t="s">
        <v>516</v>
      </c>
      <c r="Y975" s="26" t="s">
        <v>76</v>
      </c>
      <c r="Z975" s="75" t="s">
        <v>93</v>
      </c>
      <c r="AA975" s="30" t="s">
        <v>76</v>
      </c>
    </row>
    <row r="976" spans="1:28" ht="33">
      <c r="A976" s="98">
        <v>966</v>
      </c>
      <c r="B976" s="79" t="s">
        <v>4717</v>
      </c>
      <c r="C976" s="148" t="s">
        <v>9</v>
      </c>
      <c r="D976" s="80" t="s">
        <v>83</v>
      </c>
      <c r="E976" s="27" t="s">
        <v>4718</v>
      </c>
      <c r="F976" s="80" t="s">
        <v>65</v>
      </c>
      <c r="G976" s="81" t="s">
        <v>4695</v>
      </c>
      <c r="H976" s="80" t="s">
        <v>4719</v>
      </c>
      <c r="I976" s="92">
        <v>45710</v>
      </c>
      <c r="J976" s="80" t="s">
        <v>4385</v>
      </c>
      <c r="K976" s="80" t="s">
        <v>4386</v>
      </c>
      <c r="L976" s="84" t="s">
        <v>4387</v>
      </c>
      <c r="M976" s="84" t="s">
        <v>252</v>
      </c>
      <c r="N976" s="84" t="s">
        <v>72</v>
      </c>
      <c r="O976" s="129" t="s">
        <v>4720</v>
      </c>
      <c r="P976" s="237" t="s">
        <v>4721</v>
      </c>
      <c r="Q976" s="49" t="s">
        <v>75</v>
      </c>
      <c r="R976" s="25" t="s">
        <v>91</v>
      </c>
      <c r="S976" s="147">
        <v>20</v>
      </c>
      <c r="T976" s="147">
        <v>60</v>
      </c>
      <c r="U976" s="28" t="s">
        <v>4722</v>
      </c>
      <c r="V976" s="66"/>
      <c r="W976" s="106"/>
      <c r="X976" s="106" t="s">
        <v>516</v>
      </c>
      <c r="Y976" s="26" t="s">
        <v>76</v>
      </c>
      <c r="Z976" s="75" t="s">
        <v>93</v>
      </c>
      <c r="AA976" s="30" t="s">
        <v>76</v>
      </c>
    </row>
    <row r="977" spans="1:27" ht="33">
      <c r="A977" s="98">
        <v>967</v>
      </c>
      <c r="B977" s="79" t="s">
        <v>4723</v>
      </c>
      <c r="C977" s="148" t="s">
        <v>9</v>
      </c>
      <c r="D977" s="80" t="s">
        <v>83</v>
      </c>
      <c r="E977" s="27" t="s">
        <v>4724</v>
      </c>
      <c r="F977" s="80" t="s">
        <v>109</v>
      </c>
      <c r="G977" s="81" t="s">
        <v>4695</v>
      </c>
      <c r="H977" s="80" t="s">
        <v>4725</v>
      </c>
      <c r="I977" s="92">
        <v>45710</v>
      </c>
      <c r="J977" s="80" t="s">
        <v>4385</v>
      </c>
      <c r="K977" s="80" t="s">
        <v>4386</v>
      </c>
      <c r="L977" s="84" t="s">
        <v>4387</v>
      </c>
      <c r="M977" s="84" t="s">
        <v>252</v>
      </c>
      <c r="N977" s="84" t="s">
        <v>72</v>
      </c>
      <c r="O977" s="129" t="s">
        <v>4726</v>
      </c>
      <c r="P977" s="189" t="s">
        <v>4727</v>
      </c>
      <c r="Q977" s="49" t="s">
        <v>75</v>
      </c>
      <c r="R977" s="25" t="s">
        <v>91</v>
      </c>
      <c r="S977" s="147">
        <v>18</v>
      </c>
      <c r="T977" s="147">
        <v>59</v>
      </c>
      <c r="U977" s="28" t="s">
        <v>4728</v>
      </c>
      <c r="V977" s="66"/>
      <c r="W977" s="106"/>
      <c r="X977" s="106" t="s">
        <v>516</v>
      </c>
      <c r="Y977" s="26" t="s">
        <v>76</v>
      </c>
      <c r="Z977" s="75" t="s">
        <v>93</v>
      </c>
      <c r="AA977" s="30" t="s">
        <v>76</v>
      </c>
    </row>
    <row r="978" spans="1:27" ht="49.5" hidden="1">
      <c r="A978" s="98">
        <v>968</v>
      </c>
      <c r="B978" s="79" t="s">
        <v>4729</v>
      </c>
      <c r="C978" s="148" t="s">
        <v>10</v>
      </c>
      <c r="D978" s="80" t="s">
        <v>83</v>
      </c>
      <c r="E978" s="27" t="s">
        <v>4730</v>
      </c>
      <c r="F978" s="80" t="s">
        <v>284</v>
      </c>
      <c r="G978" s="81" t="s">
        <v>4163</v>
      </c>
      <c r="H978" s="80" t="s">
        <v>4731</v>
      </c>
      <c r="I978" s="92">
        <v>45710</v>
      </c>
      <c r="J978" s="80" t="s">
        <v>4066</v>
      </c>
      <c r="K978" s="80" t="s">
        <v>1654</v>
      </c>
      <c r="L978" s="84" t="s">
        <v>10</v>
      </c>
      <c r="M978" s="84" t="s">
        <v>252</v>
      </c>
      <c r="N978" s="84" t="s">
        <v>72</v>
      </c>
      <c r="O978" s="308" t="s">
        <v>4732</v>
      </c>
      <c r="P978" s="189" t="s">
        <v>4733</v>
      </c>
      <c r="Q978" s="49" t="s">
        <v>75</v>
      </c>
      <c r="R978" s="25" t="s">
        <v>91</v>
      </c>
      <c r="S978" s="26">
        <v>25</v>
      </c>
      <c r="T978" s="26">
        <v>54</v>
      </c>
      <c r="U978" s="152" t="s">
        <v>4734</v>
      </c>
      <c r="V978" s="66"/>
      <c r="W978" s="106"/>
      <c r="X978" s="106" t="s">
        <v>516</v>
      </c>
      <c r="Y978" s="26" t="s">
        <v>76</v>
      </c>
      <c r="Z978" s="75" t="s">
        <v>93</v>
      </c>
      <c r="AA978" s="30" t="s">
        <v>76</v>
      </c>
    </row>
    <row r="979" spans="1:27" ht="33" hidden="1">
      <c r="A979" s="98">
        <v>969</v>
      </c>
      <c r="B979" s="79" t="s">
        <v>4735</v>
      </c>
      <c r="C979" s="148" t="s">
        <v>10</v>
      </c>
      <c r="D979" s="80" t="s">
        <v>83</v>
      </c>
      <c r="E979" s="27" t="s">
        <v>4730</v>
      </c>
      <c r="F979" s="80" t="s">
        <v>284</v>
      </c>
      <c r="G979" s="81" t="s">
        <v>4163</v>
      </c>
      <c r="H979" s="80" t="s">
        <v>4731</v>
      </c>
      <c r="I979" s="92">
        <v>45710</v>
      </c>
      <c r="J979" s="80" t="s">
        <v>4066</v>
      </c>
      <c r="K979" s="80" t="s">
        <v>1654</v>
      </c>
      <c r="L979" s="84" t="s">
        <v>10</v>
      </c>
      <c r="M979" s="84" t="s">
        <v>252</v>
      </c>
      <c r="N979" s="84" t="s">
        <v>72</v>
      </c>
      <c r="O979" s="308" t="s">
        <v>4736</v>
      </c>
      <c r="P979" s="273" t="s">
        <v>4737</v>
      </c>
      <c r="Q979" s="49" t="s">
        <v>91</v>
      </c>
      <c r="R979" s="25"/>
      <c r="S979" s="26">
        <v>11</v>
      </c>
      <c r="T979" s="26"/>
      <c r="U979" s="152" t="s">
        <v>4738</v>
      </c>
      <c r="V979" s="66"/>
      <c r="W979" s="106"/>
      <c r="X979" s="106" t="s">
        <v>76</v>
      </c>
      <c r="Y979" s="26" t="s">
        <v>76</v>
      </c>
      <c r="Z979" s="75" t="s">
        <v>93</v>
      </c>
      <c r="AA979" s="30" t="s">
        <v>76</v>
      </c>
    </row>
    <row r="980" spans="1:27" ht="33" hidden="1">
      <c r="A980" s="98">
        <v>970</v>
      </c>
      <c r="B980" s="79" t="s">
        <v>4739</v>
      </c>
      <c r="C980" s="148" t="s">
        <v>10</v>
      </c>
      <c r="D980" s="80" t="s">
        <v>83</v>
      </c>
      <c r="E980" s="27" t="s">
        <v>4730</v>
      </c>
      <c r="F980" s="80" t="s">
        <v>284</v>
      </c>
      <c r="G980" s="81" t="s">
        <v>4163</v>
      </c>
      <c r="H980" s="80" t="s">
        <v>4731</v>
      </c>
      <c r="I980" s="92">
        <v>45710</v>
      </c>
      <c r="J980" s="80" t="s">
        <v>4066</v>
      </c>
      <c r="K980" s="80" t="s">
        <v>1654</v>
      </c>
      <c r="L980" s="84" t="s">
        <v>10</v>
      </c>
      <c r="M980" s="84" t="s">
        <v>252</v>
      </c>
      <c r="N980" s="84" t="s">
        <v>72</v>
      </c>
      <c r="O980" s="308" t="s">
        <v>4740</v>
      </c>
      <c r="P980" s="273" t="s">
        <v>4741</v>
      </c>
      <c r="Q980" s="49" t="s">
        <v>75</v>
      </c>
      <c r="R980" s="25" t="s">
        <v>91</v>
      </c>
      <c r="S980" s="26">
        <v>25</v>
      </c>
      <c r="T980" s="26">
        <v>52</v>
      </c>
      <c r="U980" s="152" t="s">
        <v>4742</v>
      </c>
      <c r="V980" s="66"/>
      <c r="W980" s="106"/>
      <c r="X980" s="106" t="s">
        <v>516</v>
      </c>
      <c r="Y980" s="26" t="s">
        <v>76</v>
      </c>
      <c r="Z980" s="75" t="s">
        <v>93</v>
      </c>
      <c r="AA980" s="30" t="s">
        <v>76</v>
      </c>
    </row>
    <row r="981" spans="1:27" ht="49.5" hidden="1">
      <c r="A981" s="98">
        <v>971</v>
      </c>
      <c r="B981" s="79" t="s">
        <v>4743</v>
      </c>
      <c r="C981" s="148" t="s">
        <v>8</v>
      </c>
      <c r="D981" s="80" t="s">
        <v>63</v>
      </c>
      <c r="E981" s="27" t="s">
        <v>3589</v>
      </c>
      <c r="F981" s="80" t="s">
        <v>109</v>
      </c>
      <c r="G981" s="81" t="s">
        <v>995</v>
      </c>
      <c r="H981" s="80" t="s">
        <v>3590</v>
      </c>
      <c r="I981" s="92">
        <v>45710</v>
      </c>
      <c r="J981" s="80" t="s">
        <v>3565</v>
      </c>
      <c r="K981" s="80" t="s">
        <v>299</v>
      </c>
      <c r="L981" s="84" t="s">
        <v>189</v>
      </c>
      <c r="M981" s="84" t="s">
        <v>252</v>
      </c>
      <c r="N981" s="84" t="s">
        <v>72</v>
      </c>
      <c r="O981" s="129" t="s">
        <v>4744</v>
      </c>
      <c r="P981" s="273" t="s">
        <v>4745</v>
      </c>
      <c r="Q981" s="49" t="s">
        <v>75</v>
      </c>
      <c r="R981" s="25" t="s">
        <v>91</v>
      </c>
      <c r="S981" s="26">
        <v>20</v>
      </c>
      <c r="T981" s="26">
        <v>61</v>
      </c>
      <c r="U981" s="28" t="s">
        <v>4746</v>
      </c>
      <c r="V981" s="66"/>
      <c r="W981" s="106"/>
      <c r="X981" s="106" t="s">
        <v>516</v>
      </c>
      <c r="Y981" s="26" t="s">
        <v>76</v>
      </c>
      <c r="Z981" s="93" t="s">
        <v>93</v>
      </c>
      <c r="AA981" s="30" t="s">
        <v>76</v>
      </c>
    </row>
    <row r="982" spans="1:27" ht="33" hidden="1">
      <c r="A982" s="98">
        <v>972</v>
      </c>
      <c r="B982" s="79" t="s">
        <v>4747</v>
      </c>
      <c r="C982" s="148" t="s">
        <v>8</v>
      </c>
      <c r="D982" s="80" t="s">
        <v>63</v>
      </c>
      <c r="E982" s="27" t="s">
        <v>4748</v>
      </c>
      <c r="F982" s="80" t="s">
        <v>65</v>
      </c>
      <c r="G982" s="81" t="s">
        <v>277</v>
      </c>
      <c r="H982" s="80" t="s">
        <v>4749</v>
      </c>
      <c r="I982" s="92">
        <v>45710</v>
      </c>
      <c r="J982" s="80" t="s">
        <v>3500</v>
      </c>
      <c r="K982" s="80" t="s">
        <v>198</v>
      </c>
      <c r="L982" s="84" t="s">
        <v>199</v>
      </c>
      <c r="M982" s="84" t="s">
        <v>221</v>
      </c>
      <c r="N982" s="84" t="s">
        <v>72</v>
      </c>
      <c r="O982" s="129" t="s">
        <v>4750</v>
      </c>
      <c r="P982" s="273" t="s">
        <v>4751</v>
      </c>
      <c r="Q982" s="49" t="s">
        <v>75</v>
      </c>
      <c r="R982" s="25" t="s">
        <v>91</v>
      </c>
      <c r="S982" s="26">
        <v>18</v>
      </c>
      <c r="T982" s="26">
        <v>66</v>
      </c>
      <c r="U982" s="28" t="s">
        <v>4752</v>
      </c>
      <c r="V982" s="66"/>
      <c r="W982" s="106"/>
      <c r="X982" s="106" t="s">
        <v>516</v>
      </c>
      <c r="Y982" s="26" t="s">
        <v>76</v>
      </c>
      <c r="Z982" s="75" t="s">
        <v>93</v>
      </c>
      <c r="AA982" s="30" t="s">
        <v>76</v>
      </c>
    </row>
    <row r="983" spans="1:27" ht="49.5" hidden="1">
      <c r="A983" s="98">
        <v>973</v>
      </c>
      <c r="B983" s="79" t="s">
        <v>4753</v>
      </c>
      <c r="C983" s="148" t="s">
        <v>8</v>
      </c>
      <c r="D983" s="80" t="s">
        <v>63</v>
      </c>
      <c r="E983" s="27" t="s">
        <v>4034</v>
      </c>
      <c r="F983" s="80" t="s">
        <v>338</v>
      </c>
      <c r="G983" s="81" t="s">
        <v>1132</v>
      </c>
      <c r="H983" s="80" t="s">
        <v>4035</v>
      </c>
      <c r="I983" s="92">
        <v>45710</v>
      </c>
      <c r="J983" s="80" t="s">
        <v>3565</v>
      </c>
      <c r="K983" s="80" t="s">
        <v>299</v>
      </c>
      <c r="L983" s="84" t="s">
        <v>189</v>
      </c>
      <c r="M983" s="84" t="s">
        <v>601</v>
      </c>
      <c r="N983" s="84" t="s">
        <v>72</v>
      </c>
      <c r="O983" s="129" t="s">
        <v>4754</v>
      </c>
      <c r="P983" s="274" t="s">
        <v>4755</v>
      </c>
      <c r="Q983" s="49" t="s">
        <v>75</v>
      </c>
      <c r="R983" s="25" t="s">
        <v>91</v>
      </c>
      <c r="S983" s="26">
        <v>20</v>
      </c>
      <c r="T983" s="26">
        <v>63</v>
      </c>
      <c r="U983" s="28" t="s">
        <v>4756</v>
      </c>
      <c r="V983" s="66"/>
      <c r="W983" s="106"/>
      <c r="X983" s="106" t="s">
        <v>516</v>
      </c>
      <c r="Y983" s="26" t="s">
        <v>76</v>
      </c>
      <c r="Z983" s="93" t="s">
        <v>93</v>
      </c>
      <c r="AA983" s="30" t="s">
        <v>76</v>
      </c>
    </row>
    <row r="984" spans="1:27" ht="180.75" hidden="1">
      <c r="A984" s="98">
        <v>974</v>
      </c>
      <c r="B984" s="79" t="s">
        <v>4757</v>
      </c>
      <c r="C984" s="148" t="s">
        <v>399</v>
      </c>
      <c r="D984" s="80" t="s">
        <v>83</v>
      </c>
      <c r="E984" s="27" t="s">
        <v>4758</v>
      </c>
      <c r="F984" s="80" t="s">
        <v>109</v>
      </c>
      <c r="G984" s="81" t="s">
        <v>1375</v>
      </c>
      <c r="H984" s="80" t="s">
        <v>4759</v>
      </c>
      <c r="I984" s="92">
        <v>45710</v>
      </c>
      <c r="J984" s="80" t="s">
        <v>3565</v>
      </c>
      <c r="K984" s="80" t="s">
        <v>299</v>
      </c>
      <c r="L984" s="84" t="s">
        <v>189</v>
      </c>
      <c r="M984" s="84" t="s">
        <v>601</v>
      </c>
      <c r="N984" s="84" t="s">
        <v>72</v>
      </c>
      <c r="O984" s="129" t="s">
        <v>4760</v>
      </c>
      <c r="P984" s="122" t="s">
        <v>4761</v>
      </c>
      <c r="Q984" s="49" t="s">
        <v>75</v>
      </c>
      <c r="R984" s="25" t="s">
        <v>91</v>
      </c>
      <c r="S984" s="26">
        <v>22</v>
      </c>
      <c r="T984" s="26">
        <v>66</v>
      </c>
      <c r="U984" s="28" t="s">
        <v>4762</v>
      </c>
      <c r="V984" s="66"/>
      <c r="W984" s="106"/>
      <c r="X984" s="106" t="s">
        <v>516</v>
      </c>
      <c r="Y984" s="26" t="s">
        <v>76</v>
      </c>
      <c r="Z984" s="93" t="s">
        <v>93</v>
      </c>
      <c r="AA984" s="30" t="s">
        <v>76</v>
      </c>
    </row>
    <row r="985" spans="1:27" ht="66" hidden="1">
      <c r="A985" s="98">
        <v>975</v>
      </c>
      <c r="B985" s="79" t="s">
        <v>4763</v>
      </c>
      <c r="C985" s="148" t="s">
        <v>399</v>
      </c>
      <c r="D985" s="80" t="s">
        <v>83</v>
      </c>
      <c r="E985" s="27" t="s">
        <v>4764</v>
      </c>
      <c r="F985" s="80" t="s">
        <v>109</v>
      </c>
      <c r="G985" s="81" t="s">
        <v>1375</v>
      </c>
      <c r="H985" s="80" t="s">
        <v>4765</v>
      </c>
      <c r="I985" s="92">
        <v>45710</v>
      </c>
      <c r="J985" s="80" t="s">
        <v>3821</v>
      </c>
      <c r="K985" s="80" t="s">
        <v>112</v>
      </c>
      <c r="L985" s="84" t="s">
        <v>113</v>
      </c>
      <c r="M985" s="84" t="s">
        <v>252</v>
      </c>
      <c r="N985" s="84" t="s">
        <v>72</v>
      </c>
      <c r="O985" s="129" t="s">
        <v>4766</v>
      </c>
      <c r="P985" s="122" t="s">
        <v>4767</v>
      </c>
      <c r="Q985" s="49" t="s">
        <v>75</v>
      </c>
      <c r="R985" s="25" t="s">
        <v>91</v>
      </c>
      <c r="S985" s="26">
        <v>22</v>
      </c>
      <c r="T985" s="26">
        <v>66</v>
      </c>
      <c r="U985" s="28" t="s">
        <v>4768</v>
      </c>
      <c r="V985" s="66"/>
      <c r="W985" s="106"/>
      <c r="X985" s="106" t="s">
        <v>516</v>
      </c>
      <c r="Y985" s="26" t="s">
        <v>76</v>
      </c>
      <c r="Z985" s="75" t="s">
        <v>93</v>
      </c>
      <c r="AA985" s="30" t="s">
        <v>76</v>
      </c>
    </row>
    <row r="986" spans="1:27" ht="49.5" hidden="1">
      <c r="A986" s="98">
        <v>976</v>
      </c>
      <c r="B986" s="79" t="s">
        <v>4769</v>
      </c>
      <c r="C986" s="148" t="s">
        <v>399</v>
      </c>
      <c r="D986" s="80" t="s">
        <v>83</v>
      </c>
      <c r="E986" s="27" t="s">
        <v>4770</v>
      </c>
      <c r="F986" s="80" t="s">
        <v>120</v>
      </c>
      <c r="G986" s="81" t="s">
        <v>1375</v>
      </c>
      <c r="H986" s="80" t="s">
        <v>4771</v>
      </c>
      <c r="I986" s="92">
        <v>45710</v>
      </c>
      <c r="J986" s="80" t="s">
        <v>170</v>
      </c>
      <c r="K986" s="80" t="s">
        <v>156</v>
      </c>
      <c r="L986" s="84" t="s">
        <v>171</v>
      </c>
      <c r="M986" s="84" t="s">
        <v>71</v>
      </c>
      <c r="N986" s="84" t="s">
        <v>72</v>
      </c>
      <c r="O986" s="129" t="s">
        <v>4772</v>
      </c>
      <c r="P986" s="122" t="s">
        <v>4773</v>
      </c>
      <c r="Q986" s="49" t="s">
        <v>75</v>
      </c>
      <c r="R986" s="25" t="s">
        <v>91</v>
      </c>
      <c r="S986" s="26">
        <v>18</v>
      </c>
      <c r="T986" s="26">
        <v>66</v>
      </c>
      <c r="U986" s="28" t="s">
        <v>4774</v>
      </c>
      <c r="V986" s="66"/>
      <c r="W986" s="106"/>
      <c r="X986" s="106" t="s">
        <v>516</v>
      </c>
      <c r="Y986" s="26" t="s">
        <v>76</v>
      </c>
      <c r="Z986" s="75" t="s">
        <v>93</v>
      </c>
      <c r="AA986" s="30" t="s">
        <v>76</v>
      </c>
    </row>
    <row r="987" spans="1:27" ht="279.75" hidden="1">
      <c r="A987" s="98">
        <v>977</v>
      </c>
      <c r="B987" s="79" t="s">
        <v>4775</v>
      </c>
      <c r="C987" s="148" t="s">
        <v>399</v>
      </c>
      <c r="D987" s="80" t="s">
        <v>83</v>
      </c>
      <c r="E987" s="27" t="s">
        <v>4776</v>
      </c>
      <c r="F987" s="80" t="s">
        <v>120</v>
      </c>
      <c r="G987" s="81" t="s">
        <v>1375</v>
      </c>
      <c r="H987" s="80" t="s">
        <v>4777</v>
      </c>
      <c r="I987" s="92">
        <v>45710</v>
      </c>
      <c r="J987" s="80" t="s">
        <v>3505</v>
      </c>
      <c r="K987" s="80" t="s">
        <v>69</v>
      </c>
      <c r="L987" s="84" t="s">
        <v>251</v>
      </c>
      <c r="M987" s="84" t="s">
        <v>252</v>
      </c>
      <c r="N987" s="84" t="s">
        <v>72</v>
      </c>
      <c r="O987" s="129" t="s">
        <v>4778</v>
      </c>
      <c r="P987" s="122" t="s">
        <v>4779</v>
      </c>
      <c r="Q987" s="49" t="s">
        <v>75</v>
      </c>
      <c r="R987" s="25" t="s">
        <v>91</v>
      </c>
      <c r="S987" s="26">
        <v>20</v>
      </c>
      <c r="T987" s="26">
        <v>52</v>
      </c>
      <c r="U987" s="28" t="s">
        <v>4780</v>
      </c>
      <c r="V987" s="66"/>
      <c r="W987" s="106"/>
      <c r="X987" s="106" t="s">
        <v>516</v>
      </c>
      <c r="Y987" s="26" t="s">
        <v>76</v>
      </c>
      <c r="Z987" s="75" t="s">
        <v>93</v>
      </c>
      <c r="AA987" s="30" t="s">
        <v>76</v>
      </c>
    </row>
    <row r="988" spans="1:27" ht="115.5" hidden="1">
      <c r="A988" s="98">
        <v>978</v>
      </c>
      <c r="B988" s="79" t="s">
        <v>4781</v>
      </c>
      <c r="C988" s="148" t="s">
        <v>399</v>
      </c>
      <c r="D988" s="80" t="s">
        <v>83</v>
      </c>
      <c r="E988" s="27" t="s">
        <v>4782</v>
      </c>
      <c r="F988" s="80" t="s">
        <v>65</v>
      </c>
      <c r="G988" s="81" t="s">
        <v>1375</v>
      </c>
      <c r="H988" s="80" t="s">
        <v>4783</v>
      </c>
      <c r="I988" s="92">
        <v>45710</v>
      </c>
      <c r="J988" s="80" t="s">
        <v>3565</v>
      </c>
      <c r="K988" s="80" t="s">
        <v>198</v>
      </c>
      <c r="L988" s="84" t="s">
        <v>189</v>
      </c>
      <c r="M988" s="84" t="s">
        <v>252</v>
      </c>
      <c r="N988" s="84" t="s">
        <v>72</v>
      </c>
      <c r="O988" s="129" t="s">
        <v>4784</v>
      </c>
      <c r="P988" s="122" t="s">
        <v>4785</v>
      </c>
      <c r="Q988" s="49" t="s">
        <v>75</v>
      </c>
      <c r="R988" s="25" t="s">
        <v>91</v>
      </c>
      <c r="S988" s="26">
        <v>18</v>
      </c>
      <c r="T988" s="26">
        <v>68</v>
      </c>
      <c r="U988" s="28" t="s">
        <v>4786</v>
      </c>
      <c r="V988" s="66"/>
      <c r="W988" s="106"/>
      <c r="X988" s="106" t="s">
        <v>516</v>
      </c>
      <c r="Y988" s="106" t="s">
        <v>76</v>
      </c>
      <c r="Z988" s="75" t="s">
        <v>93</v>
      </c>
      <c r="AA988" s="30" t="s">
        <v>1536</v>
      </c>
    </row>
    <row r="989" spans="1:27" ht="33">
      <c r="A989" s="98">
        <v>979</v>
      </c>
      <c r="B989" s="79" t="s">
        <v>4787</v>
      </c>
      <c r="C989" s="148" t="s">
        <v>9</v>
      </c>
      <c r="D989" s="80" t="s">
        <v>83</v>
      </c>
      <c r="E989" s="27" t="s">
        <v>4788</v>
      </c>
      <c r="F989" s="80" t="s">
        <v>65</v>
      </c>
      <c r="G989" s="81" t="s">
        <v>4789</v>
      </c>
      <c r="H989" s="80" t="s">
        <v>4790</v>
      </c>
      <c r="I989" s="92">
        <v>45711</v>
      </c>
      <c r="J989" s="80" t="s">
        <v>4385</v>
      </c>
      <c r="K989" s="80" t="s">
        <v>4386</v>
      </c>
      <c r="L989" s="84" t="s">
        <v>4387</v>
      </c>
      <c r="M989" s="84" t="s">
        <v>252</v>
      </c>
      <c r="N989" s="84" t="s">
        <v>72</v>
      </c>
      <c r="O989" s="129" t="s">
        <v>4791</v>
      </c>
      <c r="P989" s="189" t="s">
        <v>4792</v>
      </c>
      <c r="Q989" s="49" t="s">
        <v>75</v>
      </c>
      <c r="R989" s="25" t="s">
        <v>91</v>
      </c>
      <c r="S989" s="130">
        <v>19</v>
      </c>
      <c r="T989" s="130">
        <v>59</v>
      </c>
      <c r="U989" s="28" t="s">
        <v>4793</v>
      </c>
      <c r="V989" s="66"/>
      <c r="W989" s="106"/>
      <c r="X989" s="106" t="s">
        <v>516</v>
      </c>
      <c r="Y989" s="26" t="s">
        <v>76</v>
      </c>
      <c r="Z989" s="75" t="s">
        <v>93</v>
      </c>
      <c r="AA989" s="30" t="s">
        <v>76</v>
      </c>
    </row>
    <row r="990" spans="1:27" ht="33">
      <c r="A990" s="98">
        <v>980</v>
      </c>
      <c r="B990" s="79" t="s">
        <v>4794</v>
      </c>
      <c r="C990" s="148" t="s">
        <v>9</v>
      </c>
      <c r="D990" s="80" t="s">
        <v>83</v>
      </c>
      <c r="E990" s="27" t="s">
        <v>4795</v>
      </c>
      <c r="F990" s="80" t="s">
        <v>109</v>
      </c>
      <c r="G990" s="81" t="s">
        <v>4789</v>
      </c>
      <c r="H990" s="80" t="s">
        <v>4796</v>
      </c>
      <c r="I990" s="92">
        <v>45711</v>
      </c>
      <c r="J990" s="80" t="s">
        <v>4385</v>
      </c>
      <c r="K990" s="80" t="s">
        <v>4386</v>
      </c>
      <c r="L990" s="84" t="s">
        <v>4387</v>
      </c>
      <c r="M990" s="84" t="s">
        <v>904</v>
      </c>
      <c r="N990" s="84" t="s">
        <v>72</v>
      </c>
      <c r="O990" s="129" t="s">
        <v>4797</v>
      </c>
      <c r="P990" s="273" t="s">
        <v>4798</v>
      </c>
      <c r="Q990" s="275" t="s">
        <v>91</v>
      </c>
      <c r="R990" s="25"/>
      <c r="S990" s="147">
        <v>11</v>
      </c>
      <c r="T990" s="147" t="s">
        <v>76</v>
      </c>
      <c r="U990" s="28" t="s">
        <v>4799</v>
      </c>
      <c r="V990" s="66"/>
      <c r="W990" s="106"/>
      <c r="X990" s="106" t="s">
        <v>76</v>
      </c>
      <c r="Y990" s="26" t="s">
        <v>76</v>
      </c>
      <c r="Z990" s="75" t="s">
        <v>193</v>
      </c>
      <c r="AA990" s="30" t="s">
        <v>76</v>
      </c>
    </row>
    <row r="991" spans="1:27" ht="33">
      <c r="A991" s="98">
        <v>981</v>
      </c>
      <c r="B991" s="79" t="s">
        <v>4800</v>
      </c>
      <c r="C991" s="148" t="s">
        <v>9</v>
      </c>
      <c r="D991" s="80" t="s">
        <v>83</v>
      </c>
      <c r="E991" s="27" t="s">
        <v>4801</v>
      </c>
      <c r="F991" s="80" t="s">
        <v>109</v>
      </c>
      <c r="G991" s="81" t="s">
        <v>4789</v>
      </c>
      <c r="H991" s="80" t="s">
        <v>4802</v>
      </c>
      <c r="I991" s="92">
        <v>45711</v>
      </c>
      <c r="J991" s="80" t="s">
        <v>4662</v>
      </c>
      <c r="K991" s="80" t="s">
        <v>4386</v>
      </c>
      <c r="L991" s="84" t="s">
        <v>4387</v>
      </c>
      <c r="M991" s="84" t="s">
        <v>148</v>
      </c>
      <c r="N991" s="84" t="s">
        <v>72</v>
      </c>
      <c r="O991" s="129" t="s">
        <v>4803</v>
      </c>
      <c r="P991" s="273" t="s">
        <v>4804</v>
      </c>
      <c r="Q991" s="49" t="s">
        <v>75</v>
      </c>
      <c r="R991" s="25" t="s">
        <v>91</v>
      </c>
      <c r="S991" s="147">
        <v>20</v>
      </c>
      <c r="T991" s="147">
        <v>60</v>
      </c>
      <c r="U991" s="28" t="s">
        <v>4805</v>
      </c>
      <c r="V991" s="66"/>
      <c r="W991" s="106"/>
      <c r="X991" s="106" t="s">
        <v>516</v>
      </c>
      <c r="Y991" s="26" t="s">
        <v>76</v>
      </c>
      <c r="Z991" s="75" t="s">
        <v>93</v>
      </c>
      <c r="AA991" s="30" t="s">
        <v>76</v>
      </c>
    </row>
    <row r="992" spans="1:27" ht="33">
      <c r="A992" s="98">
        <v>982</v>
      </c>
      <c r="B992" s="79" t="s">
        <v>4806</v>
      </c>
      <c r="C992" s="148" t="s">
        <v>9</v>
      </c>
      <c r="D992" s="80" t="s">
        <v>83</v>
      </c>
      <c r="E992" s="27">
        <v>1000241</v>
      </c>
      <c r="F992" s="80" t="s">
        <v>109</v>
      </c>
      <c r="G992" s="81" t="s">
        <v>4789</v>
      </c>
      <c r="H992" s="80" t="s">
        <v>4807</v>
      </c>
      <c r="I992" s="92">
        <v>45711</v>
      </c>
      <c r="J992" s="80" t="s">
        <v>4586</v>
      </c>
      <c r="K992" s="80" t="s">
        <v>4386</v>
      </c>
      <c r="L992" s="84" t="s">
        <v>4387</v>
      </c>
      <c r="M992" s="84" t="s">
        <v>114</v>
      </c>
      <c r="N992" s="84" t="s">
        <v>72</v>
      </c>
      <c r="O992" s="129" t="s">
        <v>4808</v>
      </c>
      <c r="P992" s="273" t="s">
        <v>4809</v>
      </c>
      <c r="Q992" s="49" t="s">
        <v>75</v>
      </c>
      <c r="R992" s="25" t="s">
        <v>91</v>
      </c>
      <c r="S992" s="147">
        <v>21</v>
      </c>
      <c r="T992" s="147">
        <v>62</v>
      </c>
      <c r="U992" s="28" t="s">
        <v>4810</v>
      </c>
      <c r="V992" s="66"/>
      <c r="W992" s="106"/>
      <c r="X992" s="106" t="s">
        <v>516</v>
      </c>
      <c r="Y992" s="26" t="s">
        <v>76</v>
      </c>
      <c r="Z992" s="75" t="s">
        <v>93</v>
      </c>
      <c r="AA992" s="30" t="s">
        <v>76</v>
      </c>
    </row>
    <row r="993" spans="1:27" ht="33">
      <c r="A993" s="98">
        <v>983</v>
      </c>
      <c r="B993" s="79" t="s">
        <v>4811</v>
      </c>
      <c r="C993" s="148" t="s">
        <v>9</v>
      </c>
      <c r="D993" s="80" t="s">
        <v>83</v>
      </c>
      <c r="E993" s="27" t="s">
        <v>4812</v>
      </c>
      <c r="F993" s="80" t="s">
        <v>284</v>
      </c>
      <c r="G993" s="81" t="s">
        <v>4789</v>
      </c>
      <c r="H993" s="80" t="s">
        <v>4813</v>
      </c>
      <c r="I993" s="92">
        <v>45711</v>
      </c>
      <c r="J993" s="80" t="s">
        <v>4385</v>
      </c>
      <c r="K993" s="80" t="s">
        <v>4386</v>
      </c>
      <c r="L993" s="84" t="s">
        <v>4387</v>
      </c>
      <c r="M993" s="84" t="s">
        <v>252</v>
      </c>
      <c r="N993" s="84" t="s">
        <v>72</v>
      </c>
      <c r="O993" s="129" t="s">
        <v>4814</v>
      </c>
      <c r="P993" s="273" t="s">
        <v>4815</v>
      </c>
      <c r="Q993" s="49" t="s">
        <v>75</v>
      </c>
      <c r="R993" s="25" t="s">
        <v>91</v>
      </c>
      <c r="S993" s="147">
        <v>21</v>
      </c>
      <c r="T993" s="147">
        <v>62</v>
      </c>
      <c r="U993" s="28" t="s">
        <v>4816</v>
      </c>
      <c r="V993" s="66"/>
      <c r="W993" s="106"/>
      <c r="X993" s="106" t="s">
        <v>516</v>
      </c>
      <c r="Y993" s="26" t="s">
        <v>76</v>
      </c>
      <c r="Z993" s="75" t="s">
        <v>93</v>
      </c>
      <c r="AA993" s="30" t="s">
        <v>76</v>
      </c>
    </row>
    <row r="994" spans="1:27" ht="33">
      <c r="A994" s="98">
        <v>984</v>
      </c>
      <c r="B994" s="79" t="s">
        <v>4817</v>
      </c>
      <c r="C994" s="148" t="s">
        <v>9</v>
      </c>
      <c r="D994" s="80" t="s">
        <v>83</v>
      </c>
      <c r="E994" s="27" t="s">
        <v>4818</v>
      </c>
      <c r="F994" s="80" t="s">
        <v>284</v>
      </c>
      <c r="G994" s="81" t="s">
        <v>4819</v>
      </c>
      <c r="H994" s="80" t="s">
        <v>4820</v>
      </c>
      <c r="I994" s="92">
        <v>45711</v>
      </c>
      <c r="J994" s="80" t="s">
        <v>4385</v>
      </c>
      <c r="K994" s="80" t="s">
        <v>4386</v>
      </c>
      <c r="L994" s="84" t="s">
        <v>4387</v>
      </c>
      <c r="M994" s="84" t="s">
        <v>252</v>
      </c>
      <c r="N994" s="84" t="s">
        <v>72</v>
      </c>
      <c r="O994" s="129" t="s">
        <v>4821</v>
      </c>
      <c r="P994" s="273" t="s">
        <v>4822</v>
      </c>
      <c r="Q994" s="49" t="s">
        <v>75</v>
      </c>
      <c r="R994" s="25" t="s">
        <v>91</v>
      </c>
      <c r="S994" s="147">
        <v>19</v>
      </c>
      <c r="T994" s="147">
        <v>59</v>
      </c>
      <c r="U994" s="28" t="s">
        <v>4823</v>
      </c>
      <c r="V994" s="66"/>
      <c r="W994" s="106"/>
      <c r="X994" s="106" t="s">
        <v>516</v>
      </c>
      <c r="Y994" s="26" t="s">
        <v>76</v>
      </c>
      <c r="Z994" s="75" t="s">
        <v>93</v>
      </c>
      <c r="AA994" s="30" t="s">
        <v>76</v>
      </c>
    </row>
    <row r="995" spans="1:27" ht="49.5">
      <c r="A995" s="98">
        <v>985</v>
      </c>
      <c r="B995" s="79" t="s">
        <v>4824</v>
      </c>
      <c r="C995" s="148" t="s">
        <v>9</v>
      </c>
      <c r="D995" s="80" t="s">
        <v>83</v>
      </c>
      <c r="E995" s="27" t="s">
        <v>4825</v>
      </c>
      <c r="F995" s="80" t="s">
        <v>284</v>
      </c>
      <c r="G995" s="81" t="s">
        <v>4819</v>
      </c>
      <c r="H995" s="80" t="s">
        <v>4826</v>
      </c>
      <c r="I995" s="92">
        <v>45711</v>
      </c>
      <c r="J995" s="80" t="s">
        <v>4586</v>
      </c>
      <c r="K995" s="80" t="s">
        <v>4386</v>
      </c>
      <c r="L995" s="84" t="s">
        <v>4387</v>
      </c>
      <c r="M995" s="84" t="s">
        <v>114</v>
      </c>
      <c r="N995" s="84" t="s">
        <v>72</v>
      </c>
      <c r="O995" s="129" t="s">
        <v>4827</v>
      </c>
      <c r="P995" s="122" t="s">
        <v>4828</v>
      </c>
      <c r="Q995" s="49" t="s">
        <v>75</v>
      </c>
      <c r="R995" s="25" t="s">
        <v>91</v>
      </c>
      <c r="S995" s="26">
        <v>18</v>
      </c>
      <c r="T995" s="26">
        <v>60</v>
      </c>
      <c r="U995" s="28" t="s">
        <v>4829</v>
      </c>
      <c r="V995" s="66"/>
      <c r="W995" s="106"/>
      <c r="X995" s="106" t="s">
        <v>516</v>
      </c>
      <c r="Y995" s="26" t="s">
        <v>76</v>
      </c>
      <c r="Z995" s="75" t="s">
        <v>93</v>
      </c>
      <c r="AA995" s="30" t="s">
        <v>76</v>
      </c>
    </row>
    <row r="996" spans="1:27" ht="33">
      <c r="A996" s="98">
        <v>986</v>
      </c>
      <c r="B996" s="79" t="s">
        <v>4830</v>
      </c>
      <c r="C996" s="148" t="s">
        <v>9</v>
      </c>
      <c r="D996" s="80" t="s">
        <v>83</v>
      </c>
      <c r="E996" s="27" t="s">
        <v>4831</v>
      </c>
      <c r="F996" s="80" t="s">
        <v>120</v>
      </c>
      <c r="G996" s="81" t="s">
        <v>4819</v>
      </c>
      <c r="H996" s="80" t="s">
        <v>4832</v>
      </c>
      <c r="I996" s="92">
        <v>45711</v>
      </c>
      <c r="J996" s="80" t="s">
        <v>4385</v>
      </c>
      <c r="K996" s="80" t="s">
        <v>4386</v>
      </c>
      <c r="L996" s="84" t="s">
        <v>4387</v>
      </c>
      <c r="M996" s="84" t="s">
        <v>252</v>
      </c>
      <c r="N996" s="84" t="s">
        <v>72</v>
      </c>
      <c r="O996" s="129" t="s">
        <v>4833</v>
      </c>
      <c r="P996" s="122" t="s">
        <v>4834</v>
      </c>
      <c r="Q996" s="49" t="s">
        <v>75</v>
      </c>
      <c r="R996" s="25" t="s">
        <v>91</v>
      </c>
      <c r="S996" s="26">
        <v>20</v>
      </c>
      <c r="T996" s="26">
        <v>62</v>
      </c>
      <c r="U996" s="28" t="s">
        <v>4835</v>
      </c>
      <c r="V996" s="66"/>
      <c r="W996" s="106"/>
      <c r="X996" s="106" t="s">
        <v>516</v>
      </c>
      <c r="Y996" s="26" t="s">
        <v>76</v>
      </c>
      <c r="Z996" s="75" t="s">
        <v>93</v>
      </c>
      <c r="AA996" s="30" t="s">
        <v>76</v>
      </c>
    </row>
    <row r="997" spans="1:27" ht="49.5">
      <c r="A997" s="98">
        <v>987</v>
      </c>
      <c r="B997" s="79" t="s">
        <v>4836</v>
      </c>
      <c r="C997" s="148" t="s">
        <v>9</v>
      </c>
      <c r="D997" s="80" t="s">
        <v>83</v>
      </c>
      <c r="E997" s="27" t="s">
        <v>4837</v>
      </c>
      <c r="F997" s="80" t="s">
        <v>120</v>
      </c>
      <c r="G997" s="81" t="s">
        <v>4819</v>
      </c>
      <c r="H997" s="80" t="s">
        <v>4838</v>
      </c>
      <c r="I997" s="92">
        <v>45711</v>
      </c>
      <c r="J997" s="80" t="s">
        <v>4586</v>
      </c>
      <c r="K997" s="80" t="s">
        <v>4386</v>
      </c>
      <c r="L997" s="84" t="s">
        <v>4387</v>
      </c>
      <c r="M997" s="84" t="s">
        <v>114</v>
      </c>
      <c r="N997" s="84" t="s">
        <v>72</v>
      </c>
      <c r="O997" s="129" t="s">
        <v>4839</v>
      </c>
      <c r="P997" s="122" t="s">
        <v>4840</v>
      </c>
      <c r="Q997" s="49" t="s">
        <v>75</v>
      </c>
      <c r="R997" s="25" t="s">
        <v>91</v>
      </c>
      <c r="S997" s="26">
        <v>20</v>
      </c>
      <c r="T997" s="26">
        <v>62</v>
      </c>
      <c r="U997" s="28" t="s">
        <v>4841</v>
      </c>
      <c r="V997" s="66"/>
      <c r="W997" s="106"/>
      <c r="X997" s="106" t="s">
        <v>516</v>
      </c>
      <c r="Y997" s="26" t="s">
        <v>76</v>
      </c>
      <c r="Z997" s="75" t="s">
        <v>93</v>
      </c>
      <c r="AA997" s="30" t="s">
        <v>76</v>
      </c>
    </row>
    <row r="998" spans="1:27" ht="49.5">
      <c r="A998" s="98">
        <v>988</v>
      </c>
      <c r="B998" s="79" t="s">
        <v>4842</v>
      </c>
      <c r="C998" s="148" t="s">
        <v>9</v>
      </c>
      <c r="D998" s="80" t="s">
        <v>83</v>
      </c>
      <c r="E998" s="27" t="s">
        <v>4843</v>
      </c>
      <c r="F998" s="80" t="s">
        <v>120</v>
      </c>
      <c r="G998" s="81" t="s">
        <v>4819</v>
      </c>
      <c r="H998" s="80" t="s">
        <v>4844</v>
      </c>
      <c r="I998" s="92">
        <v>45711</v>
      </c>
      <c r="J998" s="80" t="s">
        <v>4586</v>
      </c>
      <c r="K998" s="80" t="s">
        <v>4386</v>
      </c>
      <c r="L998" s="84" t="s">
        <v>4387</v>
      </c>
      <c r="M998" s="84" t="s">
        <v>114</v>
      </c>
      <c r="N998" s="84" t="s">
        <v>72</v>
      </c>
      <c r="O998" s="129" t="s">
        <v>4845</v>
      </c>
      <c r="P998" s="122" t="s">
        <v>4846</v>
      </c>
      <c r="Q998" s="49" t="s">
        <v>75</v>
      </c>
      <c r="R998" s="25" t="s">
        <v>91</v>
      </c>
      <c r="S998" s="26">
        <v>18</v>
      </c>
      <c r="T998" s="26">
        <v>60</v>
      </c>
      <c r="U998" s="28" t="s">
        <v>4847</v>
      </c>
      <c r="V998" s="66"/>
      <c r="W998" s="106"/>
      <c r="X998" s="106" t="s">
        <v>516</v>
      </c>
      <c r="Y998" s="26" t="s">
        <v>76</v>
      </c>
      <c r="Z998" s="75" t="s">
        <v>93</v>
      </c>
      <c r="AA998" s="30" t="s">
        <v>76</v>
      </c>
    </row>
    <row r="999" spans="1:27" ht="49.5">
      <c r="A999" s="98">
        <v>989</v>
      </c>
      <c r="B999" s="79" t="s">
        <v>4848</v>
      </c>
      <c r="C999" s="148" t="s">
        <v>9</v>
      </c>
      <c r="D999" s="80" t="s">
        <v>83</v>
      </c>
      <c r="E999" s="27" t="s">
        <v>4849</v>
      </c>
      <c r="F999" s="80" t="s">
        <v>65</v>
      </c>
      <c r="G999" s="81" t="s">
        <v>4819</v>
      </c>
      <c r="H999" s="80" t="s">
        <v>4850</v>
      </c>
      <c r="I999" s="92">
        <v>45711</v>
      </c>
      <c r="J999" s="80" t="s">
        <v>4385</v>
      </c>
      <c r="K999" s="80" t="s">
        <v>4386</v>
      </c>
      <c r="L999" s="84" t="s">
        <v>4387</v>
      </c>
      <c r="M999" s="84" t="s">
        <v>252</v>
      </c>
      <c r="N999" s="84" t="s">
        <v>72</v>
      </c>
      <c r="O999" s="129" t="s">
        <v>4851</v>
      </c>
      <c r="P999" s="122" t="s">
        <v>4852</v>
      </c>
      <c r="Q999" s="49" t="s">
        <v>75</v>
      </c>
      <c r="R999" s="25" t="s">
        <v>91</v>
      </c>
      <c r="S999" s="26">
        <v>20</v>
      </c>
      <c r="T999" s="26">
        <v>62</v>
      </c>
      <c r="U999" s="28" t="s">
        <v>4853</v>
      </c>
      <c r="V999" s="66"/>
      <c r="W999" s="106"/>
      <c r="X999" s="106" t="s">
        <v>516</v>
      </c>
      <c r="Y999" s="26" t="s">
        <v>76</v>
      </c>
      <c r="Z999" s="75" t="s">
        <v>93</v>
      </c>
      <c r="AA999" s="30" t="s">
        <v>76</v>
      </c>
    </row>
    <row r="1000" spans="1:27" ht="33">
      <c r="A1000" s="98">
        <v>990</v>
      </c>
      <c r="B1000" s="79" t="s">
        <v>4854</v>
      </c>
      <c r="C1000" s="148" t="s">
        <v>9</v>
      </c>
      <c r="D1000" s="80" t="s">
        <v>83</v>
      </c>
      <c r="E1000" s="27" t="s">
        <v>4855</v>
      </c>
      <c r="F1000" s="80" t="s">
        <v>338</v>
      </c>
      <c r="G1000" s="81" t="s">
        <v>4819</v>
      </c>
      <c r="H1000" s="80" t="s">
        <v>4856</v>
      </c>
      <c r="I1000" s="92">
        <v>45711</v>
      </c>
      <c r="J1000" s="80" t="s">
        <v>4586</v>
      </c>
      <c r="K1000" s="80" t="s">
        <v>4386</v>
      </c>
      <c r="L1000" s="84" t="s">
        <v>4387</v>
      </c>
      <c r="M1000" s="84" t="s">
        <v>114</v>
      </c>
      <c r="N1000" s="84" t="s">
        <v>72</v>
      </c>
      <c r="O1000" s="129" t="s">
        <v>4857</v>
      </c>
      <c r="P1000" s="122" t="s">
        <v>4858</v>
      </c>
      <c r="Q1000" s="49" t="s">
        <v>75</v>
      </c>
      <c r="R1000" s="25" t="s">
        <v>91</v>
      </c>
      <c r="S1000" s="26">
        <v>20</v>
      </c>
      <c r="T1000" s="26">
        <v>63</v>
      </c>
      <c r="U1000" s="28" t="s">
        <v>4859</v>
      </c>
      <c r="V1000" s="66"/>
      <c r="W1000" s="106"/>
      <c r="X1000" s="106" t="s">
        <v>516</v>
      </c>
      <c r="Y1000" s="26" t="s">
        <v>76</v>
      </c>
      <c r="Z1000" s="75" t="s">
        <v>93</v>
      </c>
      <c r="AA1000" s="30" t="s">
        <v>76</v>
      </c>
    </row>
    <row r="1001" spans="1:27" ht="49.5">
      <c r="A1001" s="98">
        <v>991</v>
      </c>
      <c r="B1001" s="79" t="s">
        <v>4860</v>
      </c>
      <c r="C1001" s="148" t="s">
        <v>9</v>
      </c>
      <c r="D1001" s="80" t="s">
        <v>83</v>
      </c>
      <c r="E1001" s="27" t="s">
        <v>4861</v>
      </c>
      <c r="F1001" s="80" t="s">
        <v>120</v>
      </c>
      <c r="G1001" s="81" t="s">
        <v>4819</v>
      </c>
      <c r="H1001" s="80" t="s">
        <v>4862</v>
      </c>
      <c r="I1001" s="92">
        <v>45711</v>
      </c>
      <c r="J1001" s="80" t="s">
        <v>4385</v>
      </c>
      <c r="K1001" s="80" t="s">
        <v>4386</v>
      </c>
      <c r="L1001" s="84" t="s">
        <v>4387</v>
      </c>
      <c r="M1001" s="84" t="s">
        <v>252</v>
      </c>
      <c r="N1001" s="84" t="s">
        <v>72</v>
      </c>
      <c r="O1001" s="129" t="s">
        <v>4863</v>
      </c>
      <c r="P1001" s="122" t="s">
        <v>4864</v>
      </c>
      <c r="Q1001" s="49" t="s">
        <v>75</v>
      </c>
      <c r="R1001" s="25" t="s">
        <v>91</v>
      </c>
      <c r="S1001" s="26">
        <v>21</v>
      </c>
      <c r="T1001" s="26">
        <v>67</v>
      </c>
      <c r="U1001" s="28" t="s">
        <v>4865</v>
      </c>
      <c r="V1001" s="66"/>
      <c r="W1001" s="106"/>
      <c r="X1001" s="106" t="s">
        <v>516</v>
      </c>
      <c r="Y1001" s="26" t="s">
        <v>76</v>
      </c>
      <c r="Z1001" s="75" t="s">
        <v>93</v>
      </c>
      <c r="AA1001" s="30" t="s">
        <v>76</v>
      </c>
    </row>
    <row r="1002" spans="1:27" ht="33">
      <c r="A1002" s="98">
        <v>992</v>
      </c>
      <c r="B1002" s="79" t="s">
        <v>4866</v>
      </c>
      <c r="C1002" s="148" t="s">
        <v>9</v>
      </c>
      <c r="D1002" s="80" t="s">
        <v>83</v>
      </c>
      <c r="E1002" s="27" t="s">
        <v>4867</v>
      </c>
      <c r="F1002" s="80" t="s">
        <v>120</v>
      </c>
      <c r="G1002" s="81" t="s">
        <v>4819</v>
      </c>
      <c r="H1002" s="80" t="s">
        <v>4868</v>
      </c>
      <c r="I1002" s="92">
        <v>45711</v>
      </c>
      <c r="J1002" s="80" t="s">
        <v>4586</v>
      </c>
      <c r="K1002" s="80" t="s">
        <v>4386</v>
      </c>
      <c r="L1002" s="84" t="s">
        <v>4387</v>
      </c>
      <c r="M1002" s="84" t="s">
        <v>114</v>
      </c>
      <c r="N1002" s="84" t="s">
        <v>72</v>
      </c>
      <c r="O1002" s="129" t="s">
        <v>4869</v>
      </c>
      <c r="P1002" s="122" t="s">
        <v>4870</v>
      </c>
      <c r="Q1002" s="49" t="s">
        <v>75</v>
      </c>
      <c r="R1002" s="25" t="s">
        <v>91</v>
      </c>
      <c r="S1002" s="26">
        <v>18</v>
      </c>
      <c r="T1002" s="26">
        <v>58</v>
      </c>
      <c r="U1002" s="28" t="s">
        <v>4871</v>
      </c>
      <c r="V1002" s="66"/>
      <c r="W1002" s="106"/>
      <c r="X1002" s="106" t="s">
        <v>516</v>
      </c>
      <c r="Y1002" s="26" t="s">
        <v>76</v>
      </c>
      <c r="Z1002" s="75" t="s">
        <v>93</v>
      </c>
      <c r="AA1002" s="30" t="s">
        <v>76</v>
      </c>
    </row>
    <row r="1003" spans="1:27" ht="33">
      <c r="A1003" s="98">
        <v>993</v>
      </c>
      <c r="B1003" s="79" t="s">
        <v>4872</v>
      </c>
      <c r="C1003" s="148" t="s">
        <v>9</v>
      </c>
      <c r="D1003" s="80" t="s">
        <v>83</v>
      </c>
      <c r="E1003" s="27" t="s">
        <v>4873</v>
      </c>
      <c r="F1003" s="80" t="s">
        <v>109</v>
      </c>
      <c r="G1003" s="81" t="s">
        <v>4819</v>
      </c>
      <c r="H1003" s="80" t="s">
        <v>4874</v>
      </c>
      <c r="I1003" s="92">
        <v>45711</v>
      </c>
      <c r="J1003" s="80" t="s">
        <v>4586</v>
      </c>
      <c r="K1003" s="80" t="s">
        <v>4386</v>
      </c>
      <c r="L1003" s="84" t="s">
        <v>4387</v>
      </c>
      <c r="M1003" s="84" t="s">
        <v>114</v>
      </c>
      <c r="N1003" s="84" t="s">
        <v>72</v>
      </c>
      <c r="O1003" s="129" t="s">
        <v>4875</v>
      </c>
      <c r="P1003" s="122" t="s">
        <v>4876</v>
      </c>
      <c r="Q1003" s="49" t="s">
        <v>75</v>
      </c>
      <c r="R1003" s="25" t="s">
        <v>91</v>
      </c>
      <c r="S1003" s="26">
        <v>18</v>
      </c>
      <c r="T1003" s="26">
        <v>55</v>
      </c>
      <c r="U1003" s="28" t="s">
        <v>4877</v>
      </c>
      <c r="V1003" s="66"/>
      <c r="W1003" s="106"/>
      <c r="X1003" s="106" t="s">
        <v>516</v>
      </c>
      <c r="Y1003" s="26" t="s">
        <v>76</v>
      </c>
      <c r="Z1003" s="75" t="s">
        <v>93</v>
      </c>
      <c r="AA1003" s="30" t="s">
        <v>76</v>
      </c>
    </row>
    <row r="1004" spans="1:27" ht="33">
      <c r="A1004" s="98">
        <v>994</v>
      </c>
      <c r="B1004" s="79" t="s">
        <v>4878</v>
      </c>
      <c r="C1004" s="148" t="s">
        <v>9</v>
      </c>
      <c r="D1004" s="80" t="s">
        <v>83</v>
      </c>
      <c r="E1004" s="27" t="s">
        <v>4879</v>
      </c>
      <c r="F1004" s="80" t="s">
        <v>65</v>
      </c>
      <c r="G1004" s="81" t="s">
        <v>4819</v>
      </c>
      <c r="H1004" s="80" t="s">
        <v>4880</v>
      </c>
      <c r="I1004" s="92">
        <v>45711</v>
      </c>
      <c r="J1004" s="80" t="s">
        <v>4385</v>
      </c>
      <c r="K1004" s="80" t="s">
        <v>4386</v>
      </c>
      <c r="L1004" s="84" t="s">
        <v>4387</v>
      </c>
      <c r="M1004" s="84" t="s">
        <v>252</v>
      </c>
      <c r="N1004" s="84" t="s">
        <v>72</v>
      </c>
      <c r="O1004" s="129" t="s">
        <v>4881</v>
      </c>
      <c r="P1004" s="122" t="s">
        <v>4882</v>
      </c>
      <c r="Q1004" s="49" t="s">
        <v>75</v>
      </c>
      <c r="R1004" s="25" t="s">
        <v>91</v>
      </c>
      <c r="S1004" s="26">
        <v>18</v>
      </c>
      <c r="T1004" s="26">
        <v>54</v>
      </c>
      <c r="U1004" s="28" t="s">
        <v>4883</v>
      </c>
      <c r="V1004" s="66"/>
      <c r="W1004" s="106"/>
      <c r="X1004" s="106" t="s">
        <v>516</v>
      </c>
      <c r="Y1004" s="26" t="s">
        <v>76</v>
      </c>
      <c r="Z1004" s="75" t="s">
        <v>93</v>
      </c>
      <c r="AA1004" s="30" t="s">
        <v>76</v>
      </c>
    </row>
    <row r="1005" spans="1:27" ht="33">
      <c r="A1005" s="98">
        <v>995</v>
      </c>
      <c r="B1005" s="79" t="s">
        <v>4884</v>
      </c>
      <c r="C1005" s="148" t="s">
        <v>9</v>
      </c>
      <c r="D1005" s="80" t="s">
        <v>83</v>
      </c>
      <c r="E1005" s="27" t="s">
        <v>4885</v>
      </c>
      <c r="F1005" s="80" t="s">
        <v>109</v>
      </c>
      <c r="G1005" s="81" t="s">
        <v>4819</v>
      </c>
      <c r="H1005" s="80" t="s">
        <v>4886</v>
      </c>
      <c r="I1005" s="92">
        <v>45711</v>
      </c>
      <c r="J1005" s="80" t="s">
        <v>4586</v>
      </c>
      <c r="K1005" s="80" t="s">
        <v>4386</v>
      </c>
      <c r="L1005" s="84" t="s">
        <v>4387</v>
      </c>
      <c r="M1005" s="84" t="s">
        <v>114</v>
      </c>
      <c r="N1005" s="84" t="s">
        <v>72</v>
      </c>
      <c r="O1005" s="129" t="s">
        <v>4887</v>
      </c>
      <c r="P1005" s="122" t="s">
        <v>4888</v>
      </c>
      <c r="Q1005" s="49" t="s">
        <v>75</v>
      </c>
      <c r="R1005" s="25" t="s">
        <v>91</v>
      </c>
      <c r="S1005" s="26">
        <v>20</v>
      </c>
      <c r="T1005" s="26">
        <v>58</v>
      </c>
      <c r="U1005" s="28" t="s">
        <v>4889</v>
      </c>
      <c r="V1005" s="66"/>
      <c r="W1005" s="106"/>
      <c r="X1005" s="106" t="s">
        <v>516</v>
      </c>
      <c r="Y1005" s="26" t="s">
        <v>76</v>
      </c>
      <c r="Z1005" s="75" t="s">
        <v>93</v>
      </c>
      <c r="AA1005" s="30" t="s">
        <v>76</v>
      </c>
    </row>
    <row r="1006" spans="1:27" ht="85.5" customHeight="1">
      <c r="A1006" s="98">
        <v>996</v>
      </c>
      <c r="B1006" s="79" t="s">
        <v>4890</v>
      </c>
      <c r="C1006" s="148" t="s">
        <v>9</v>
      </c>
      <c r="D1006" s="80" t="s">
        <v>83</v>
      </c>
      <c r="E1006" s="27" t="s">
        <v>4891</v>
      </c>
      <c r="F1006" s="80" t="s">
        <v>120</v>
      </c>
      <c r="G1006" s="81" t="s">
        <v>4789</v>
      </c>
      <c r="H1006" s="80" t="s">
        <v>4892</v>
      </c>
      <c r="I1006" s="92">
        <v>45711</v>
      </c>
      <c r="J1006" s="80" t="s">
        <v>4385</v>
      </c>
      <c r="K1006" s="80" t="s">
        <v>4386</v>
      </c>
      <c r="L1006" s="84" t="s">
        <v>4387</v>
      </c>
      <c r="M1006" s="84" t="s">
        <v>252</v>
      </c>
      <c r="N1006" s="84" t="s">
        <v>72</v>
      </c>
      <c r="O1006" s="129" t="s">
        <v>4893</v>
      </c>
      <c r="P1006" s="122" t="s">
        <v>4894</v>
      </c>
      <c r="Q1006" s="49" t="s">
        <v>75</v>
      </c>
      <c r="R1006" s="25" t="s">
        <v>91</v>
      </c>
      <c r="S1006" s="26">
        <v>19</v>
      </c>
      <c r="T1006" s="26">
        <v>64</v>
      </c>
      <c r="U1006" s="28" t="s">
        <v>4895</v>
      </c>
      <c r="V1006" s="66"/>
      <c r="W1006" s="106"/>
      <c r="X1006" s="106" t="s">
        <v>516</v>
      </c>
      <c r="Y1006" s="26" t="s">
        <v>76</v>
      </c>
      <c r="Z1006" s="75" t="s">
        <v>93</v>
      </c>
      <c r="AA1006" s="30" t="s">
        <v>76</v>
      </c>
    </row>
    <row r="1007" spans="1:27" ht="33">
      <c r="A1007" s="98">
        <v>997</v>
      </c>
      <c r="B1007" s="79" t="s">
        <v>4896</v>
      </c>
      <c r="C1007" s="148" t="s">
        <v>9</v>
      </c>
      <c r="D1007" s="80" t="s">
        <v>83</v>
      </c>
      <c r="E1007" s="27" t="s">
        <v>4897</v>
      </c>
      <c r="F1007" s="80" t="s">
        <v>338</v>
      </c>
      <c r="G1007" s="81" t="s">
        <v>4459</v>
      </c>
      <c r="H1007" s="80" t="s">
        <v>4898</v>
      </c>
      <c r="I1007" s="92">
        <v>45711</v>
      </c>
      <c r="J1007" s="80" t="s">
        <v>4385</v>
      </c>
      <c r="K1007" s="80" t="s">
        <v>4386</v>
      </c>
      <c r="L1007" s="84" t="s">
        <v>4387</v>
      </c>
      <c r="M1007" s="84" t="s">
        <v>252</v>
      </c>
      <c r="N1007" s="84" t="s">
        <v>72</v>
      </c>
      <c r="O1007" s="129" t="s">
        <v>4899</v>
      </c>
      <c r="P1007" s="122" t="s">
        <v>4900</v>
      </c>
      <c r="Q1007" s="49" t="s">
        <v>75</v>
      </c>
      <c r="R1007" s="25" t="s">
        <v>91</v>
      </c>
      <c r="S1007" s="26">
        <v>20</v>
      </c>
      <c r="T1007" s="26">
        <v>65</v>
      </c>
      <c r="U1007" s="28" t="s">
        <v>4901</v>
      </c>
      <c r="V1007" s="66"/>
      <c r="W1007" s="106"/>
      <c r="X1007" s="106" t="s">
        <v>516</v>
      </c>
      <c r="Y1007" s="26" t="s">
        <v>76</v>
      </c>
      <c r="Z1007" s="75" t="s">
        <v>93</v>
      </c>
      <c r="AA1007" s="30" t="s">
        <v>76</v>
      </c>
    </row>
    <row r="1008" spans="1:27" ht="33" hidden="1">
      <c r="A1008" s="98">
        <v>998</v>
      </c>
      <c r="B1008" s="79" t="s">
        <v>4902</v>
      </c>
      <c r="C1008" s="148" t="s">
        <v>9</v>
      </c>
      <c r="D1008" s="80" t="s">
        <v>83</v>
      </c>
      <c r="E1008" s="27" t="s">
        <v>4897</v>
      </c>
      <c r="F1008" s="80" t="s">
        <v>338</v>
      </c>
      <c r="G1008" s="81" t="s">
        <v>4459</v>
      </c>
      <c r="H1008" s="80" t="s">
        <v>4898</v>
      </c>
      <c r="I1008" s="92">
        <v>45711</v>
      </c>
      <c r="J1008" s="80" t="s">
        <v>4385</v>
      </c>
      <c r="K1008" s="80" t="s">
        <v>69</v>
      </c>
      <c r="L1008" s="84" t="s">
        <v>4387</v>
      </c>
      <c r="M1008" s="84" t="s">
        <v>252</v>
      </c>
      <c r="N1008" s="84" t="s">
        <v>72</v>
      </c>
      <c r="O1008" s="129" t="s">
        <v>4903</v>
      </c>
      <c r="P1008" s="122" t="s">
        <v>4904</v>
      </c>
      <c r="Q1008" s="49" t="s">
        <v>75</v>
      </c>
      <c r="R1008" s="25" t="s">
        <v>504</v>
      </c>
      <c r="S1008" s="26">
        <v>20</v>
      </c>
      <c r="T1008" s="26"/>
      <c r="U1008" s="28" t="s">
        <v>4905</v>
      </c>
      <c r="V1008" s="66"/>
      <c r="W1008" s="106"/>
      <c r="X1008" s="106" t="s">
        <v>516</v>
      </c>
      <c r="Y1008" s="26" t="s">
        <v>76</v>
      </c>
      <c r="Z1008" s="75" t="s">
        <v>106</v>
      </c>
      <c r="AA1008" s="30" t="s">
        <v>76</v>
      </c>
    </row>
    <row r="1009" spans="1:27" ht="49.5" hidden="1">
      <c r="A1009" s="98">
        <v>999</v>
      </c>
      <c r="B1009" s="79" t="s">
        <v>4906</v>
      </c>
      <c r="C1009" s="148" t="s">
        <v>10</v>
      </c>
      <c r="D1009" s="80" t="s">
        <v>83</v>
      </c>
      <c r="E1009" s="27" t="s">
        <v>4907</v>
      </c>
      <c r="F1009" s="80" t="s">
        <v>338</v>
      </c>
      <c r="G1009" s="81" t="s">
        <v>4216</v>
      </c>
      <c r="H1009" s="80" t="s">
        <v>4908</v>
      </c>
      <c r="I1009" s="92">
        <v>45711</v>
      </c>
      <c r="J1009" s="80" t="s">
        <v>4066</v>
      </c>
      <c r="K1009" s="80" t="s">
        <v>1654</v>
      </c>
      <c r="L1009" s="84" t="s">
        <v>10</v>
      </c>
      <c r="M1009" s="84" t="s">
        <v>252</v>
      </c>
      <c r="N1009" s="84" t="s">
        <v>72</v>
      </c>
      <c r="O1009" s="308" t="s">
        <v>4909</v>
      </c>
      <c r="P1009" s="122" t="s">
        <v>4910</v>
      </c>
      <c r="Q1009" s="49" t="s">
        <v>91</v>
      </c>
      <c r="R1009" s="25"/>
      <c r="S1009" s="26">
        <v>12</v>
      </c>
      <c r="T1009" s="26"/>
      <c r="U1009" s="152" t="s">
        <v>4911</v>
      </c>
      <c r="V1009" s="66"/>
      <c r="W1009" s="106"/>
      <c r="X1009" s="106" t="s">
        <v>76</v>
      </c>
      <c r="Y1009" s="26" t="s">
        <v>76</v>
      </c>
      <c r="Z1009" s="75" t="s">
        <v>193</v>
      </c>
      <c r="AA1009" s="30" t="s">
        <v>76</v>
      </c>
    </row>
    <row r="1010" spans="1:27" ht="82.5" hidden="1">
      <c r="A1010" s="98">
        <v>1000</v>
      </c>
      <c r="B1010" s="79" t="s">
        <v>4912</v>
      </c>
      <c r="C1010" s="148" t="s">
        <v>10</v>
      </c>
      <c r="D1010" s="80" t="s">
        <v>63</v>
      </c>
      <c r="E1010" s="27" t="s">
        <v>4913</v>
      </c>
      <c r="F1010" s="80" t="s">
        <v>120</v>
      </c>
      <c r="G1010" s="81" t="s">
        <v>4914</v>
      </c>
      <c r="H1010" s="80" t="s">
        <v>4534</v>
      </c>
      <c r="I1010" s="92">
        <v>45711</v>
      </c>
      <c r="J1010" s="80" t="s">
        <v>4066</v>
      </c>
      <c r="K1010" s="80" t="s">
        <v>1654</v>
      </c>
      <c r="L1010" s="84" t="s">
        <v>10</v>
      </c>
      <c r="M1010" s="84" t="s">
        <v>252</v>
      </c>
      <c r="N1010" s="84" t="s">
        <v>72</v>
      </c>
      <c r="O1010" s="308" t="s">
        <v>4915</v>
      </c>
      <c r="P1010" s="122" t="s">
        <v>4916</v>
      </c>
      <c r="Q1010" s="49" t="s">
        <v>75</v>
      </c>
      <c r="R1010" s="25" t="s">
        <v>91</v>
      </c>
      <c r="S1010" s="26">
        <v>26</v>
      </c>
      <c r="T1010" s="26">
        <v>44</v>
      </c>
      <c r="U1010" s="152" t="s">
        <v>4917</v>
      </c>
      <c r="V1010" s="66"/>
      <c r="W1010" s="106"/>
      <c r="X1010" s="106" t="s">
        <v>516</v>
      </c>
      <c r="Y1010" s="26" t="s">
        <v>76</v>
      </c>
      <c r="Z1010" s="75" t="s">
        <v>93</v>
      </c>
      <c r="AA1010" s="30" t="s">
        <v>76</v>
      </c>
    </row>
    <row r="1011" spans="1:27" ht="115.5" hidden="1">
      <c r="A1011" s="98">
        <v>1001</v>
      </c>
      <c r="B1011" s="79" t="s">
        <v>4918</v>
      </c>
      <c r="C1011" s="148" t="s">
        <v>10</v>
      </c>
      <c r="D1011" s="80" t="s">
        <v>83</v>
      </c>
      <c r="E1011" s="27" t="s">
        <v>4919</v>
      </c>
      <c r="F1011" s="80" t="s">
        <v>284</v>
      </c>
      <c r="G1011" s="81" t="s">
        <v>4920</v>
      </c>
      <c r="H1011" s="80" t="s">
        <v>4921</v>
      </c>
      <c r="I1011" s="92">
        <v>45711</v>
      </c>
      <c r="J1011" s="80" t="s">
        <v>4066</v>
      </c>
      <c r="K1011" s="80" t="s">
        <v>1654</v>
      </c>
      <c r="L1011" s="84" t="s">
        <v>10</v>
      </c>
      <c r="M1011" s="84" t="s">
        <v>252</v>
      </c>
      <c r="N1011" s="84" t="s">
        <v>72</v>
      </c>
      <c r="O1011" s="308" t="s">
        <v>4922</v>
      </c>
      <c r="P1011" s="122" t="s">
        <v>4923</v>
      </c>
      <c r="Q1011" s="49" t="s">
        <v>75</v>
      </c>
      <c r="R1011" s="25" t="s">
        <v>91</v>
      </c>
      <c r="S1011" s="26">
        <v>25</v>
      </c>
      <c r="T1011" s="26">
        <v>45</v>
      </c>
      <c r="U1011" s="152" t="s">
        <v>4924</v>
      </c>
      <c r="V1011" s="66"/>
      <c r="W1011" s="106"/>
      <c r="X1011" s="106" t="s">
        <v>516</v>
      </c>
      <c r="Y1011" s="26" t="s">
        <v>76</v>
      </c>
      <c r="Z1011" s="75" t="s">
        <v>93</v>
      </c>
      <c r="AA1011" s="30" t="s">
        <v>76</v>
      </c>
    </row>
    <row r="1012" spans="1:27" ht="82.5" hidden="1">
      <c r="A1012" s="98">
        <v>1002</v>
      </c>
      <c r="B1012" s="79" t="s">
        <v>4925</v>
      </c>
      <c r="C1012" s="148" t="s">
        <v>10</v>
      </c>
      <c r="D1012" s="80" t="s">
        <v>83</v>
      </c>
      <c r="E1012" s="27" t="s">
        <v>4926</v>
      </c>
      <c r="F1012" s="80" t="s">
        <v>120</v>
      </c>
      <c r="G1012" s="81" t="s">
        <v>4301</v>
      </c>
      <c r="H1012" s="80" t="s">
        <v>4927</v>
      </c>
      <c r="I1012" s="92">
        <v>45711</v>
      </c>
      <c r="J1012" s="80" t="s">
        <v>4066</v>
      </c>
      <c r="K1012" s="80" t="s">
        <v>1654</v>
      </c>
      <c r="L1012" s="84" t="s">
        <v>10</v>
      </c>
      <c r="M1012" s="84" t="s">
        <v>252</v>
      </c>
      <c r="N1012" s="84" t="s">
        <v>72</v>
      </c>
      <c r="O1012" s="308" t="s">
        <v>4928</v>
      </c>
      <c r="P1012" s="122" t="s">
        <v>4929</v>
      </c>
      <c r="Q1012" s="49" t="s">
        <v>75</v>
      </c>
      <c r="R1012" s="25" t="s">
        <v>91</v>
      </c>
      <c r="S1012" s="26">
        <v>27</v>
      </c>
      <c r="T1012" s="26"/>
      <c r="U1012" s="152" t="s">
        <v>4930</v>
      </c>
      <c r="V1012" s="66"/>
      <c r="W1012" s="106"/>
      <c r="X1012" s="106" t="s">
        <v>516</v>
      </c>
      <c r="Y1012" s="26" t="s">
        <v>76</v>
      </c>
      <c r="Z1012" s="75" t="s">
        <v>106</v>
      </c>
      <c r="AA1012" s="30" t="s">
        <v>76</v>
      </c>
    </row>
    <row r="1013" spans="1:27" ht="82.5" hidden="1">
      <c r="A1013" s="98">
        <v>1003</v>
      </c>
      <c r="B1013" s="79" t="s">
        <v>4931</v>
      </c>
      <c r="C1013" s="148" t="s">
        <v>10</v>
      </c>
      <c r="D1013" s="80" t="s">
        <v>83</v>
      </c>
      <c r="E1013" s="27" t="s">
        <v>4932</v>
      </c>
      <c r="F1013" s="80" t="s">
        <v>120</v>
      </c>
      <c r="G1013" s="81" t="s">
        <v>4920</v>
      </c>
      <c r="H1013" s="80" t="s">
        <v>4933</v>
      </c>
      <c r="I1013" s="92">
        <v>45711</v>
      </c>
      <c r="J1013" s="80" t="s">
        <v>4066</v>
      </c>
      <c r="K1013" s="80" t="s">
        <v>1654</v>
      </c>
      <c r="L1013" s="84" t="s">
        <v>10</v>
      </c>
      <c r="M1013" s="84" t="s">
        <v>252</v>
      </c>
      <c r="N1013" s="84" t="s">
        <v>72</v>
      </c>
      <c r="O1013" s="308" t="s">
        <v>4934</v>
      </c>
      <c r="P1013" s="122" t="s">
        <v>4935</v>
      </c>
      <c r="Q1013" s="49" t="s">
        <v>75</v>
      </c>
      <c r="R1013" s="25" t="s">
        <v>91</v>
      </c>
      <c r="S1013" s="26">
        <v>18</v>
      </c>
      <c r="T1013" s="26">
        <v>39</v>
      </c>
      <c r="U1013" s="152" t="s">
        <v>4936</v>
      </c>
      <c r="V1013" s="66"/>
      <c r="W1013" s="106"/>
      <c r="X1013" s="106" t="s">
        <v>516</v>
      </c>
      <c r="Y1013" s="26" t="s">
        <v>76</v>
      </c>
      <c r="Z1013" s="75" t="s">
        <v>93</v>
      </c>
      <c r="AA1013" s="30" t="s">
        <v>76</v>
      </c>
    </row>
    <row r="1014" spans="1:27" ht="132" hidden="1">
      <c r="A1014" s="98">
        <v>1004</v>
      </c>
      <c r="B1014" s="79" t="s">
        <v>4937</v>
      </c>
      <c r="C1014" s="148" t="s">
        <v>10</v>
      </c>
      <c r="D1014" s="80" t="s">
        <v>83</v>
      </c>
      <c r="E1014" s="27" t="s">
        <v>4938</v>
      </c>
      <c r="F1014" s="80" t="s">
        <v>109</v>
      </c>
      <c r="G1014" s="81" t="s">
        <v>4920</v>
      </c>
      <c r="H1014" s="80" t="s">
        <v>4939</v>
      </c>
      <c r="I1014" s="92">
        <v>45711</v>
      </c>
      <c r="J1014" s="80" t="s">
        <v>4066</v>
      </c>
      <c r="K1014" s="80" t="s">
        <v>1654</v>
      </c>
      <c r="L1014" s="84" t="s">
        <v>10</v>
      </c>
      <c r="M1014" s="84" t="s">
        <v>252</v>
      </c>
      <c r="N1014" s="84" t="s">
        <v>72</v>
      </c>
      <c r="O1014" s="308" t="s">
        <v>4940</v>
      </c>
      <c r="P1014" s="132" t="s">
        <v>4941</v>
      </c>
      <c r="Q1014" s="49" t="s">
        <v>75</v>
      </c>
      <c r="R1014" s="25" t="s">
        <v>91</v>
      </c>
      <c r="S1014" s="26">
        <v>25</v>
      </c>
      <c r="T1014" s="26">
        <v>47</v>
      </c>
      <c r="U1014" s="152" t="s">
        <v>4942</v>
      </c>
      <c r="V1014" s="66"/>
      <c r="W1014" s="106"/>
      <c r="X1014" s="106" t="s">
        <v>516</v>
      </c>
      <c r="Y1014" s="26" t="s">
        <v>76</v>
      </c>
      <c r="Z1014" s="75" t="s">
        <v>93</v>
      </c>
      <c r="AA1014" s="30" t="s">
        <v>76</v>
      </c>
    </row>
    <row r="1015" spans="1:27" ht="49.5" hidden="1">
      <c r="A1015" s="98">
        <v>1005</v>
      </c>
      <c r="B1015" s="79" t="s">
        <v>4943</v>
      </c>
      <c r="C1015" s="148" t="s">
        <v>10</v>
      </c>
      <c r="D1015" s="80" t="s">
        <v>83</v>
      </c>
      <c r="E1015" s="27" t="s">
        <v>4944</v>
      </c>
      <c r="F1015" s="80" t="s">
        <v>120</v>
      </c>
      <c r="G1015" s="81" t="s">
        <v>4163</v>
      </c>
      <c r="H1015" s="80" t="s">
        <v>4945</v>
      </c>
      <c r="I1015" s="92">
        <v>45711</v>
      </c>
      <c r="J1015" s="80" t="s">
        <v>4066</v>
      </c>
      <c r="K1015" s="80" t="s">
        <v>1654</v>
      </c>
      <c r="L1015" s="84" t="s">
        <v>10</v>
      </c>
      <c r="M1015" s="84" t="s">
        <v>252</v>
      </c>
      <c r="N1015" s="84" t="s">
        <v>72</v>
      </c>
      <c r="O1015" s="308" t="s">
        <v>4946</v>
      </c>
      <c r="P1015" s="122" t="s">
        <v>4947</v>
      </c>
      <c r="Q1015" s="49" t="s">
        <v>75</v>
      </c>
      <c r="R1015" s="25" t="s">
        <v>91</v>
      </c>
      <c r="S1015" s="26">
        <v>22</v>
      </c>
      <c r="T1015" s="183">
        <v>51</v>
      </c>
      <c r="U1015" s="152" t="s">
        <v>4948</v>
      </c>
      <c r="V1015" s="66"/>
      <c r="W1015" s="106"/>
      <c r="X1015" s="106" t="s">
        <v>516</v>
      </c>
      <c r="Y1015" s="26" t="s">
        <v>76</v>
      </c>
      <c r="Z1015" s="75" t="s">
        <v>106</v>
      </c>
      <c r="AA1015" s="30" t="s">
        <v>76</v>
      </c>
    </row>
    <row r="1016" spans="1:27" ht="99" hidden="1">
      <c r="A1016" s="98">
        <v>1006</v>
      </c>
      <c r="B1016" s="79" t="s">
        <v>4949</v>
      </c>
      <c r="C1016" s="148" t="s">
        <v>10</v>
      </c>
      <c r="D1016" s="80" t="s">
        <v>83</v>
      </c>
      <c r="E1016" s="27" t="s">
        <v>4944</v>
      </c>
      <c r="F1016" s="80" t="s">
        <v>120</v>
      </c>
      <c r="G1016" s="81" t="s">
        <v>4163</v>
      </c>
      <c r="H1016" s="80" t="s">
        <v>4945</v>
      </c>
      <c r="I1016" s="92">
        <v>45711</v>
      </c>
      <c r="J1016" s="80" t="s">
        <v>4066</v>
      </c>
      <c r="K1016" s="80" t="s">
        <v>1654</v>
      </c>
      <c r="L1016" s="84" t="s">
        <v>10</v>
      </c>
      <c r="M1016" s="84" t="s">
        <v>252</v>
      </c>
      <c r="N1016" s="84" t="s">
        <v>72</v>
      </c>
      <c r="O1016" s="308" t="s">
        <v>4950</v>
      </c>
      <c r="P1016" s="122" t="s">
        <v>4951</v>
      </c>
      <c r="Q1016" s="49" t="s">
        <v>75</v>
      </c>
      <c r="R1016" s="25" t="s">
        <v>91</v>
      </c>
      <c r="S1016" s="26">
        <v>27</v>
      </c>
      <c r="T1016" s="183">
        <v>63</v>
      </c>
      <c r="U1016" s="152" t="s">
        <v>4952</v>
      </c>
      <c r="V1016" s="66"/>
      <c r="W1016" s="106"/>
      <c r="X1016" s="106" t="s">
        <v>516</v>
      </c>
      <c r="Y1016" s="26" t="s">
        <v>76</v>
      </c>
      <c r="Z1016" s="75" t="s">
        <v>106</v>
      </c>
      <c r="AA1016" s="30" t="s">
        <v>76</v>
      </c>
    </row>
    <row r="1017" spans="1:27" ht="99" hidden="1">
      <c r="A1017" s="98">
        <v>1007</v>
      </c>
      <c r="B1017" s="79" t="s">
        <v>4953</v>
      </c>
      <c r="C1017" s="148" t="s">
        <v>10</v>
      </c>
      <c r="D1017" s="80" t="s">
        <v>83</v>
      </c>
      <c r="E1017" s="27" t="s">
        <v>4954</v>
      </c>
      <c r="F1017" s="80" t="s">
        <v>338</v>
      </c>
      <c r="G1017" s="81" t="s">
        <v>4163</v>
      </c>
      <c r="H1017" s="80" t="s">
        <v>4955</v>
      </c>
      <c r="I1017" s="92">
        <v>45711</v>
      </c>
      <c r="J1017" s="80" t="s">
        <v>4066</v>
      </c>
      <c r="K1017" s="80" t="s">
        <v>1654</v>
      </c>
      <c r="L1017" s="84" t="s">
        <v>10</v>
      </c>
      <c r="M1017" s="84" t="s">
        <v>252</v>
      </c>
      <c r="N1017" s="84" t="s">
        <v>72</v>
      </c>
      <c r="O1017" s="308" t="s">
        <v>4956</v>
      </c>
      <c r="P1017" s="122" t="s">
        <v>4957</v>
      </c>
      <c r="Q1017" s="49" t="s">
        <v>75</v>
      </c>
      <c r="R1017" s="25" t="s">
        <v>91</v>
      </c>
      <c r="S1017" s="26">
        <v>24</v>
      </c>
      <c r="T1017" s="26">
        <v>41</v>
      </c>
      <c r="U1017" s="152" t="s">
        <v>4958</v>
      </c>
      <c r="V1017" s="66"/>
      <c r="W1017" s="106"/>
      <c r="X1017" s="106" t="s">
        <v>516</v>
      </c>
      <c r="Y1017" s="26" t="s">
        <v>76</v>
      </c>
      <c r="Z1017" s="75" t="s">
        <v>93</v>
      </c>
      <c r="AA1017" s="30" t="s">
        <v>76</v>
      </c>
    </row>
    <row r="1018" spans="1:27" ht="115.5" hidden="1">
      <c r="A1018" s="98">
        <v>1008</v>
      </c>
      <c r="B1018" s="79" t="s">
        <v>4959</v>
      </c>
      <c r="C1018" s="148" t="s">
        <v>10</v>
      </c>
      <c r="D1018" s="80" t="s">
        <v>83</v>
      </c>
      <c r="E1018" s="27" t="s">
        <v>4960</v>
      </c>
      <c r="F1018" s="80" t="s">
        <v>109</v>
      </c>
      <c r="G1018" s="81" t="s">
        <v>4163</v>
      </c>
      <c r="H1018" s="80" t="s">
        <v>4961</v>
      </c>
      <c r="I1018" s="92">
        <v>45711</v>
      </c>
      <c r="J1018" s="80" t="s">
        <v>4066</v>
      </c>
      <c r="K1018" s="80" t="s">
        <v>1654</v>
      </c>
      <c r="L1018" s="84" t="s">
        <v>10</v>
      </c>
      <c r="M1018" s="84" t="s">
        <v>252</v>
      </c>
      <c r="N1018" s="84" t="s">
        <v>72</v>
      </c>
      <c r="O1018" s="308" t="s">
        <v>4962</v>
      </c>
      <c r="P1018" s="122" t="s">
        <v>4963</v>
      </c>
      <c r="Q1018" s="49" t="s">
        <v>75</v>
      </c>
      <c r="R1018" s="25" t="s">
        <v>91</v>
      </c>
      <c r="S1018" s="26">
        <v>23</v>
      </c>
      <c r="T1018" s="26">
        <v>38</v>
      </c>
      <c r="U1018" s="152" t="s">
        <v>4964</v>
      </c>
      <c r="V1018" s="66"/>
      <c r="W1018" s="106"/>
      <c r="X1018" s="106" t="s">
        <v>516</v>
      </c>
      <c r="Y1018" s="26" t="s">
        <v>76</v>
      </c>
      <c r="Z1018" s="75" t="s">
        <v>93</v>
      </c>
      <c r="AA1018" s="30" t="s">
        <v>76</v>
      </c>
    </row>
    <row r="1019" spans="1:27" ht="49.5" hidden="1">
      <c r="A1019" s="98">
        <v>1009</v>
      </c>
      <c r="B1019" s="79" t="s">
        <v>4965</v>
      </c>
      <c r="C1019" s="148" t="s">
        <v>10</v>
      </c>
      <c r="D1019" s="80" t="s">
        <v>83</v>
      </c>
      <c r="E1019" s="27" t="s">
        <v>4966</v>
      </c>
      <c r="F1019" s="80" t="s">
        <v>284</v>
      </c>
      <c r="G1019" s="81" t="s">
        <v>4163</v>
      </c>
      <c r="H1019" s="80" t="s">
        <v>4967</v>
      </c>
      <c r="I1019" s="92">
        <v>45711</v>
      </c>
      <c r="J1019" s="80" t="s">
        <v>4066</v>
      </c>
      <c r="K1019" s="80" t="s">
        <v>1654</v>
      </c>
      <c r="L1019" s="84" t="s">
        <v>10</v>
      </c>
      <c r="M1019" s="84" t="s">
        <v>252</v>
      </c>
      <c r="N1019" s="84" t="s">
        <v>72</v>
      </c>
      <c r="O1019" s="308" t="s">
        <v>4968</v>
      </c>
      <c r="P1019" s="122" t="s">
        <v>4969</v>
      </c>
      <c r="Q1019" s="49" t="s">
        <v>75</v>
      </c>
      <c r="R1019" s="25" t="s">
        <v>91</v>
      </c>
      <c r="S1019" s="26">
        <v>21</v>
      </c>
      <c r="T1019" s="26">
        <v>55</v>
      </c>
      <c r="U1019" s="152" t="s">
        <v>4970</v>
      </c>
      <c r="V1019" s="66"/>
      <c r="W1019" s="106"/>
      <c r="X1019" s="106" t="s">
        <v>516</v>
      </c>
      <c r="Y1019" s="26" t="s">
        <v>76</v>
      </c>
      <c r="Z1019" s="75" t="s">
        <v>106</v>
      </c>
      <c r="AA1019" s="30" t="s">
        <v>76</v>
      </c>
    </row>
    <row r="1020" spans="1:27" ht="69.75" hidden="1" customHeight="1">
      <c r="A1020" s="98">
        <v>1010</v>
      </c>
      <c r="B1020" s="79" t="s">
        <v>4971</v>
      </c>
      <c r="C1020" s="148" t="s">
        <v>10</v>
      </c>
      <c r="D1020" s="80" t="s">
        <v>83</v>
      </c>
      <c r="E1020" s="27" t="s">
        <v>4966</v>
      </c>
      <c r="F1020" s="80" t="s">
        <v>284</v>
      </c>
      <c r="G1020" s="81" t="s">
        <v>4163</v>
      </c>
      <c r="H1020" s="80" t="s">
        <v>4967</v>
      </c>
      <c r="I1020" s="92">
        <v>45711</v>
      </c>
      <c r="J1020" s="80" t="s">
        <v>4066</v>
      </c>
      <c r="K1020" s="80" t="s">
        <v>1654</v>
      </c>
      <c r="L1020" s="84" t="s">
        <v>10</v>
      </c>
      <c r="M1020" s="84" t="s">
        <v>252</v>
      </c>
      <c r="N1020" s="84" t="s">
        <v>72</v>
      </c>
      <c r="O1020" s="308" t="s">
        <v>4972</v>
      </c>
      <c r="P1020" s="132" t="s">
        <v>4973</v>
      </c>
      <c r="Q1020" s="49" t="s">
        <v>75</v>
      </c>
      <c r="R1020" s="25" t="s">
        <v>504</v>
      </c>
      <c r="S1020" s="26">
        <v>20</v>
      </c>
      <c r="T1020" s="26"/>
      <c r="U1020" s="152" t="s">
        <v>4974</v>
      </c>
      <c r="V1020" s="66"/>
      <c r="W1020" s="106"/>
      <c r="X1020" s="106" t="s">
        <v>516</v>
      </c>
      <c r="Y1020" s="26" t="s">
        <v>76</v>
      </c>
      <c r="Z1020" s="75" t="s">
        <v>106</v>
      </c>
      <c r="AA1020" s="30" t="s">
        <v>76</v>
      </c>
    </row>
    <row r="1021" spans="1:27" ht="33">
      <c r="A1021" s="98">
        <v>1011</v>
      </c>
      <c r="B1021" s="79" t="s">
        <v>4975</v>
      </c>
      <c r="C1021" s="148" t="s">
        <v>9</v>
      </c>
      <c r="D1021" s="80" t="s">
        <v>63</v>
      </c>
      <c r="E1021" s="27" t="s">
        <v>4976</v>
      </c>
      <c r="F1021" s="80" t="s">
        <v>65</v>
      </c>
      <c r="G1021" s="81" t="s">
        <v>4977</v>
      </c>
      <c r="H1021" s="80" t="s">
        <v>4978</v>
      </c>
      <c r="I1021" s="92">
        <v>45712</v>
      </c>
      <c r="J1021" s="80" t="s">
        <v>4385</v>
      </c>
      <c r="K1021" s="80" t="s">
        <v>4386</v>
      </c>
      <c r="L1021" s="84" t="s">
        <v>4387</v>
      </c>
      <c r="M1021" s="84" t="s">
        <v>252</v>
      </c>
      <c r="N1021" s="84" t="s">
        <v>72</v>
      </c>
      <c r="O1021" s="129" t="s">
        <v>4979</v>
      </c>
      <c r="P1021" s="189" t="s">
        <v>4980</v>
      </c>
      <c r="Q1021" s="49" t="s">
        <v>75</v>
      </c>
      <c r="R1021" s="25" t="s">
        <v>91</v>
      </c>
      <c r="S1021" s="130">
        <v>18</v>
      </c>
      <c r="T1021" s="130">
        <v>60</v>
      </c>
      <c r="U1021" s="28" t="s">
        <v>4981</v>
      </c>
      <c r="V1021" s="66"/>
      <c r="W1021" s="106"/>
      <c r="X1021" s="106" t="s">
        <v>516</v>
      </c>
      <c r="Y1021" s="26" t="s">
        <v>76</v>
      </c>
      <c r="Z1021" s="75" t="s">
        <v>93</v>
      </c>
      <c r="AA1021" s="30" t="s">
        <v>76</v>
      </c>
    </row>
    <row r="1022" spans="1:27" ht="33">
      <c r="A1022" s="98">
        <v>1012</v>
      </c>
      <c r="B1022" s="79" t="s">
        <v>4982</v>
      </c>
      <c r="C1022" s="148" t="s">
        <v>9</v>
      </c>
      <c r="D1022" s="80" t="s">
        <v>63</v>
      </c>
      <c r="E1022" s="27" t="s">
        <v>4983</v>
      </c>
      <c r="F1022" s="80" t="s">
        <v>4984</v>
      </c>
      <c r="G1022" s="81" t="s">
        <v>4977</v>
      </c>
      <c r="H1022" s="80" t="s">
        <v>4985</v>
      </c>
      <c r="I1022" s="92">
        <v>45712</v>
      </c>
      <c r="J1022" s="80" t="s">
        <v>4385</v>
      </c>
      <c r="K1022" s="80" t="s">
        <v>4386</v>
      </c>
      <c r="L1022" s="84" t="s">
        <v>4387</v>
      </c>
      <c r="M1022" s="84" t="s">
        <v>252</v>
      </c>
      <c r="N1022" s="84" t="s">
        <v>72</v>
      </c>
      <c r="O1022" s="129" t="s">
        <v>4986</v>
      </c>
      <c r="P1022" s="122" t="s">
        <v>4987</v>
      </c>
      <c r="Q1022" s="49" t="s">
        <v>75</v>
      </c>
      <c r="R1022" s="25" t="s">
        <v>91</v>
      </c>
      <c r="S1022" s="26">
        <v>18</v>
      </c>
      <c r="T1022" s="26">
        <v>59</v>
      </c>
      <c r="U1022" s="28" t="s">
        <v>4988</v>
      </c>
      <c r="V1022" s="66"/>
      <c r="W1022" s="106"/>
      <c r="X1022" s="106" t="s">
        <v>516</v>
      </c>
      <c r="Y1022" s="26" t="s">
        <v>76</v>
      </c>
      <c r="Z1022" s="75" t="s">
        <v>93</v>
      </c>
      <c r="AA1022" s="30" t="s">
        <v>76</v>
      </c>
    </row>
    <row r="1023" spans="1:27" ht="33">
      <c r="A1023" s="98">
        <v>1013</v>
      </c>
      <c r="B1023" s="79" t="s">
        <v>4989</v>
      </c>
      <c r="C1023" s="148" t="s">
        <v>9</v>
      </c>
      <c r="D1023" s="80" t="s">
        <v>63</v>
      </c>
      <c r="E1023" s="27" t="s">
        <v>4990</v>
      </c>
      <c r="F1023" s="80" t="s">
        <v>65</v>
      </c>
      <c r="G1023" s="81" t="s">
        <v>4977</v>
      </c>
      <c r="H1023" s="80" t="s">
        <v>4991</v>
      </c>
      <c r="I1023" s="92">
        <v>45712</v>
      </c>
      <c r="J1023" s="80" t="s">
        <v>4385</v>
      </c>
      <c r="K1023" s="80" t="s">
        <v>4386</v>
      </c>
      <c r="L1023" s="84" t="s">
        <v>4387</v>
      </c>
      <c r="M1023" s="84" t="s">
        <v>252</v>
      </c>
      <c r="N1023" s="84" t="s">
        <v>72</v>
      </c>
      <c r="O1023" s="129" t="s">
        <v>4992</v>
      </c>
      <c r="P1023" s="122" t="s">
        <v>4993</v>
      </c>
      <c r="Q1023" s="49" t="s">
        <v>91</v>
      </c>
      <c r="R1023" s="25"/>
      <c r="S1023" s="26">
        <v>10</v>
      </c>
      <c r="T1023" s="26"/>
      <c r="U1023" s="28" t="s">
        <v>4994</v>
      </c>
      <c r="V1023" s="66"/>
      <c r="W1023" s="106"/>
      <c r="X1023" s="106" t="s">
        <v>76</v>
      </c>
      <c r="Y1023" s="26" t="s">
        <v>76</v>
      </c>
      <c r="Z1023" s="75" t="s">
        <v>193</v>
      </c>
      <c r="AA1023" s="30" t="s">
        <v>76</v>
      </c>
    </row>
    <row r="1024" spans="1:27" ht="33">
      <c r="A1024" s="98">
        <v>1014</v>
      </c>
      <c r="B1024" s="79" t="s">
        <v>4995</v>
      </c>
      <c r="C1024" s="148" t="s">
        <v>9</v>
      </c>
      <c r="D1024" s="80" t="s">
        <v>63</v>
      </c>
      <c r="E1024" s="27" t="s">
        <v>4990</v>
      </c>
      <c r="F1024" s="80" t="s">
        <v>65</v>
      </c>
      <c r="G1024" s="81" t="s">
        <v>4977</v>
      </c>
      <c r="H1024" s="80" t="s">
        <v>4991</v>
      </c>
      <c r="I1024" s="92">
        <v>45712</v>
      </c>
      <c r="J1024" s="80" t="s">
        <v>4385</v>
      </c>
      <c r="K1024" s="80" t="s">
        <v>4386</v>
      </c>
      <c r="L1024" s="84" t="s">
        <v>4387</v>
      </c>
      <c r="M1024" s="84" t="s">
        <v>252</v>
      </c>
      <c r="N1024" s="84" t="s">
        <v>72</v>
      </c>
      <c r="O1024" s="129" t="s">
        <v>4996</v>
      </c>
      <c r="P1024" s="122" t="s">
        <v>4997</v>
      </c>
      <c r="Q1024" s="49" t="s">
        <v>91</v>
      </c>
      <c r="R1024" s="25"/>
      <c r="S1024" s="26">
        <v>10</v>
      </c>
      <c r="T1024" s="26"/>
      <c r="U1024" s="28" t="s">
        <v>4998</v>
      </c>
      <c r="V1024" s="66"/>
      <c r="W1024" s="106"/>
      <c r="X1024" s="106" t="s">
        <v>76</v>
      </c>
      <c r="Y1024" s="26" t="s">
        <v>76</v>
      </c>
      <c r="Z1024" s="75" t="s">
        <v>193</v>
      </c>
      <c r="AA1024" s="30" t="s">
        <v>76</v>
      </c>
    </row>
    <row r="1025" spans="1:28" ht="33">
      <c r="A1025" s="98">
        <v>1015</v>
      </c>
      <c r="B1025" s="79" t="s">
        <v>4999</v>
      </c>
      <c r="C1025" s="148" t="s">
        <v>9</v>
      </c>
      <c r="D1025" s="80" t="s">
        <v>63</v>
      </c>
      <c r="E1025" s="27" t="s">
        <v>5000</v>
      </c>
      <c r="F1025" s="80" t="s">
        <v>65</v>
      </c>
      <c r="G1025" s="81" t="s">
        <v>4977</v>
      </c>
      <c r="H1025" s="80" t="s">
        <v>5001</v>
      </c>
      <c r="I1025" s="92">
        <v>45712</v>
      </c>
      <c r="J1025" s="80" t="s">
        <v>4385</v>
      </c>
      <c r="K1025" s="80" t="s">
        <v>4386</v>
      </c>
      <c r="L1025" s="84" t="s">
        <v>4387</v>
      </c>
      <c r="M1025" s="84" t="s">
        <v>252</v>
      </c>
      <c r="N1025" s="84" t="s">
        <v>72</v>
      </c>
      <c r="O1025" s="129" t="s">
        <v>5002</v>
      </c>
      <c r="P1025" s="122" t="s">
        <v>5003</v>
      </c>
      <c r="Q1025" s="49" t="s">
        <v>75</v>
      </c>
      <c r="R1025" s="25" t="s">
        <v>91</v>
      </c>
      <c r="S1025" s="26">
        <v>18</v>
      </c>
      <c r="T1025" s="26">
        <v>54</v>
      </c>
      <c r="U1025" s="28" t="s">
        <v>5004</v>
      </c>
      <c r="V1025" s="66"/>
      <c r="W1025" s="106"/>
      <c r="X1025" s="106" t="s">
        <v>516</v>
      </c>
      <c r="Y1025" s="26" t="s">
        <v>76</v>
      </c>
      <c r="Z1025" s="75" t="s">
        <v>93</v>
      </c>
      <c r="AA1025" s="30" t="s">
        <v>76</v>
      </c>
    </row>
    <row r="1026" spans="1:28" ht="33">
      <c r="A1026" s="98">
        <v>1016</v>
      </c>
      <c r="B1026" s="79" t="s">
        <v>5005</v>
      </c>
      <c r="C1026" s="148" t="s">
        <v>9</v>
      </c>
      <c r="D1026" s="80" t="s">
        <v>63</v>
      </c>
      <c r="E1026" s="27" t="s">
        <v>5006</v>
      </c>
      <c r="F1026" s="80" t="s">
        <v>120</v>
      </c>
      <c r="G1026" s="81" t="s">
        <v>4977</v>
      </c>
      <c r="H1026" s="80" t="s">
        <v>5007</v>
      </c>
      <c r="I1026" s="92">
        <v>45712</v>
      </c>
      <c r="J1026" s="80" t="s">
        <v>4385</v>
      </c>
      <c r="K1026" s="80" t="s">
        <v>4386</v>
      </c>
      <c r="L1026" s="84" t="s">
        <v>4387</v>
      </c>
      <c r="M1026" s="84" t="s">
        <v>252</v>
      </c>
      <c r="N1026" s="84" t="s">
        <v>72</v>
      </c>
      <c r="O1026" s="129" t="s">
        <v>5008</v>
      </c>
      <c r="P1026" s="122" t="s">
        <v>5009</v>
      </c>
      <c r="Q1026" s="49" t="s">
        <v>91</v>
      </c>
      <c r="R1026" s="25"/>
      <c r="S1026" s="26">
        <v>11</v>
      </c>
      <c r="T1026" s="26"/>
      <c r="U1026" s="28" t="s">
        <v>5010</v>
      </c>
      <c r="V1026" s="66"/>
      <c r="W1026" s="106"/>
      <c r="X1026" s="106" t="s">
        <v>76</v>
      </c>
      <c r="Y1026" s="26" t="s">
        <v>76</v>
      </c>
      <c r="Z1026" s="75" t="s">
        <v>193</v>
      </c>
      <c r="AA1026" s="30" t="s">
        <v>76</v>
      </c>
    </row>
    <row r="1027" spans="1:28" ht="33">
      <c r="A1027" s="98">
        <v>1017</v>
      </c>
      <c r="B1027" s="79" t="s">
        <v>5011</v>
      </c>
      <c r="C1027" s="148" t="s">
        <v>9</v>
      </c>
      <c r="D1027" s="80" t="s">
        <v>63</v>
      </c>
      <c r="E1027" s="27" t="s">
        <v>5012</v>
      </c>
      <c r="F1027" s="80" t="s">
        <v>109</v>
      </c>
      <c r="G1027" s="81" t="s">
        <v>4977</v>
      </c>
      <c r="H1027" s="80" t="s">
        <v>5013</v>
      </c>
      <c r="I1027" s="92">
        <v>45712</v>
      </c>
      <c r="J1027" s="80" t="s">
        <v>4385</v>
      </c>
      <c r="K1027" s="80" t="s">
        <v>4386</v>
      </c>
      <c r="L1027" s="84" t="s">
        <v>4387</v>
      </c>
      <c r="M1027" s="84" t="s">
        <v>252</v>
      </c>
      <c r="N1027" s="84" t="s">
        <v>72</v>
      </c>
      <c r="O1027" s="129" t="s">
        <v>5014</v>
      </c>
      <c r="P1027" s="122" t="s">
        <v>5015</v>
      </c>
      <c r="Q1027" s="49" t="s">
        <v>75</v>
      </c>
      <c r="R1027" s="25" t="s">
        <v>91</v>
      </c>
      <c r="S1027" s="26">
        <v>18</v>
      </c>
      <c r="T1027" s="26">
        <v>60</v>
      </c>
      <c r="U1027" s="28" t="s">
        <v>5016</v>
      </c>
      <c r="V1027" s="66"/>
      <c r="W1027" s="106"/>
      <c r="X1027" s="106" t="s">
        <v>516</v>
      </c>
      <c r="Y1027" s="26" t="s">
        <v>76</v>
      </c>
      <c r="Z1027" s="75" t="s">
        <v>93</v>
      </c>
      <c r="AA1027" s="30" t="s">
        <v>76</v>
      </c>
    </row>
    <row r="1028" spans="1:28" ht="33">
      <c r="A1028" s="98">
        <v>1018</v>
      </c>
      <c r="B1028" s="79" t="s">
        <v>5017</v>
      </c>
      <c r="C1028" s="148" t="s">
        <v>9</v>
      </c>
      <c r="D1028" s="80" t="s">
        <v>63</v>
      </c>
      <c r="E1028" s="27" t="s">
        <v>5018</v>
      </c>
      <c r="F1028" s="80" t="s">
        <v>120</v>
      </c>
      <c r="G1028" s="81" t="s">
        <v>4977</v>
      </c>
      <c r="H1028" s="80" t="s">
        <v>5019</v>
      </c>
      <c r="I1028" s="92">
        <v>45712</v>
      </c>
      <c r="J1028" s="80" t="s">
        <v>4385</v>
      </c>
      <c r="K1028" s="80" t="s">
        <v>4386</v>
      </c>
      <c r="L1028" s="84" t="s">
        <v>4387</v>
      </c>
      <c r="M1028" s="84" t="s">
        <v>252</v>
      </c>
      <c r="N1028" s="84" t="s">
        <v>72</v>
      </c>
      <c r="O1028" s="129" t="s">
        <v>5020</v>
      </c>
      <c r="P1028" s="122" t="s">
        <v>5021</v>
      </c>
      <c r="Q1028" s="49" t="s">
        <v>91</v>
      </c>
      <c r="R1028" s="25"/>
      <c r="S1028" s="26">
        <v>10</v>
      </c>
      <c r="T1028" s="26"/>
      <c r="U1028" s="28" t="s">
        <v>5022</v>
      </c>
      <c r="V1028" s="66"/>
      <c r="W1028" s="106"/>
      <c r="X1028" s="106" t="s">
        <v>76</v>
      </c>
      <c r="Y1028" s="26" t="s">
        <v>76</v>
      </c>
      <c r="Z1028" s="75" t="s">
        <v>193</v>
      </c>
      <c r="AA1028" s="30" t="s">
        <v>76</v>
      </c>
      <c r="AB1028" s="25" t="s">
        <v>75</v>
      </c>
    </row>
    <row r="1029" spans="1:28" ht="33">
      <c r="A1029" s="98">
        <v>1019</v>
      </c>
      <c r="B1029" s="79" t="s">
        <v>5023</v>
      </c>
      <c r="C1029" s="148" t="s">
        <v>9</v>
      </c>
      <c r="D1029" s="80" t="s">
        <v>63</v>
      </c>
      <c r="E1029" s="27" t="s">
        <v>5024</v>
      </c>
      <c r="F1029" s="80" t="s">
        <v>120</v>
      </c>
      <c r="G1029" s="81" t="s">
        <v>4977</v>
      </c>
      <c r="H1029" s="80" t="s">
        <v>5025</v>
      </c>
      <c r="I1029" s="92">
        <v>45712</v>
      </c>
      <c r="J1029" s="80" t="s">
        <v>4385</v>
      </c>
      <c r="K1029" s="80" t="s">
        <v>4386</v>
      </c>
      <c r="L1029" s="84" t="s">
        <v>4387</v>
      </c>
      <c r="M1029" s="84" t="s">
        <v>252</v>
      </c>
      <c r="N1029" s="84" t="s">
        <v>72</v>
      </c>
      <c r="O1029" s="129" t="s">
        <v>5026</v>
      </c>
      <c r="P1029" s="122" t="s">
        <v>5027</v>
      </c>
      <c r="Q1029" s="49" t="s">
        <v>91</v>
      </c>
      <c r="R1029" s="25"/>
      <c r="S1029" s="26">
        <v>11</v>
      </c>
      <c r="T1029" s="26"/>
      <c r="U1029" s="28" t="s">
        <v>5028</v>
      </c>
      <c r="V1029" s="66"/>
      <c r="W1029" s="106"/>
      <c r="X1029" s="106" t="s">
        <v>76</v>
      </c>
      <c r="Y1029" s="26" t="s">
        <v>76</v>
      </c>
      <c r="Z1029" s="75" t="s">
        <v>193</v>
      </c>
      <c r="AA1029" s="30" t="s">
        <v>76</v>
      </c>
    </row>
    <row r="1030" spans="1:28" ht="33">
      <c r="A1030" s="98">
        <v>1020</v>
      </c>
      <c r="B1030" s="79" t="s">
        <v>5029</v>
      </c>
      <c r="C1030" s="148" t="s">
        <v>9</v>
      </c>
      <c r="D1030" s="80" t="s">
        <v>63</v>
      </c>
      <c r="E1030" s="27" t="s">
        <v>5024</v>
      </c>
      <c r="F1030" s="80" t="s">
        <v>120</v>
      </c>
      <c r="G1030" s="81" t="s">
        <v>4977</v>
      </c>
      <c r="H1030" s="80" t="s">
        <v>5025</v>
      </c>
      <c r="I1030" s="92">
        <v>45712</v>
      </c>
      <c r="J1030" s="80" t="s">
        <v>4385</v>
      </c>
      <c r="K1030" s="80" t="s">
        <v>4386</v>
      </c>
      <c r="L1030" s="84" t="s">
        <v>4387</v>
      </c>
      <c r="M1030" s="84" t="s">
        <v>252</v>
      </c>
      <c r="N1030" s="84" t="s">
        <v>72</v>
      </c>
      <c r="O1030" s="129" t="s">
        <v>5030</v>
      </c>
      <c r="P1030" s="122" t="s">
        <v>5031</v>
      </c>
      <c r="Q1030" s="49" t="s">
        <v>91</v>
      </c>
      <c r="R1030" s="25"/>
      <c r="S1030" s="26">
        <v>10</v>
      </c>
      <c r="T1030" s="26"/>
      <c r="U1030" s="28" t="s">
        <v>5032</v>
      </c>
      <c r="V1030" s="66"/>
      <c r="W1030" s="106"/>
      <c r="X1030" s="106" t="s">
        <v>76</v>
      </c>
      <c r="Y1030" s="26" t="s">
        <v>76</v>
      </c>
      <c r="Z1030" s="75" t="s">
        <v>193</v>
      </c>
      <c r="AA1030" s="30" t="s">
        <v>76</v>
      </c>
    </row>
    <row r="1031" spans="1:28" ht="69.75" customHeight="1">
      <c r="A1031" s="98">
        <v>1021</v>
      </c>
      <c r="B1031" s="79" t="s">
        <v>5033</v>
      </c>
      <c r="C1031" s="148" t="s">
        <v>9</v>
      </c>
      <c r="D1031" s="80" t="s">
        <v>63</v>
      </c>
      <c r="E1031" s="27" t="s">
        <v>5034</v>
      </c>
      <c r="F1031" s="80" t="s">
        <v>120</v>
      </c>
      <c r="G1031" s="81" t="s">
        <v>4977</v>
      </c>
      <c r="H1031" s="80" t="s">
        <v>5035</v>
      </c>
      <c r="I1031" s="92">
        <v>45712</v>
      </c>
      <c r="J1031" s="80" t="s">
        <v>4586</v>
      </c>
      <c r="K1031" s="80" t="s">
        <v>4386</v>
      </c>
      <c r="L1031" s="84" t="s">
        <v>4387</v>
      </c>
      <c r="M1031" s="84" t="s">
        <v>114</v>
      </c>
      <c r="N1031" s="84" t="s">
        <v>72</v>
      </c>
      <c r="O1031" s="129" t="s">
        <v>5036</v>
      </c>
      <c r="P1031" s="122" t="s">
        <v>5037</v>
      </c>
      <c r="Q1031" s="49" t="s">
        <v>75</v>
      </c>
      <c r="R1031" s="25" t="s">
        <v>91</v>
      </c>
      <c r="S1031" s="26">
        <v>19</v>
      </c>
      <c r="T1031" s="26">
        <v>57</v>
      </c>
      <c r="U1031" s="28" t="s">
        <v>5038</v>
      </c>
      <c r="V1031" s="66"/>
      <c r="W1031" s="106"/>
      <c r="X1031" s="106" t="s">
        <v>516</v>
      </c>
      <c r="Y1031" s="26" t="s">
        <v>76</v>
      </c>
      <c r="Z1031" s="75" t="s">
        <v>93</v>
      </c>
      <c r="AA1031" s="30" t="s">
        <v>76</v>
      </c>
    </row>
    <row r="1032" spans="1:28" ht="33">
      <c r="A1032" s="98">
        <v>1022</v>
      </c>
      <c r="B1032" s="79" t="s">
        <v>5039</v>
      </c>
      <c r="C1032" s="148" t="s">
        <v>9</v>
      </c>
      <c r="D1032" s="80" t="s">
        <v>63</v>
      </c>
      <c r="E1032" s="27" t="s">
        <v>5040</v>
      </c>
      <c r="F1032" s="80" t="s">
        <v>109</v>
      </c>
      <c r="G1032" s="81" t="s">
        <v>4977</v>
      </c>
      <c r="H1032" s="80" t="s">
        <v>5041</v>
      </c>
      <c r="I1032" s="92">
        <v>45712</v>
      </c>
      <c r="J1032" s="80" t="s">
        <v>4385</v>
      </c>
      <c r="K1032" s="80" t="s">
        <v>4386</v>
      </c>
      <c r="L1032" s="84" t="s">
        <v>4387</v>
      </c>
      <c r="M1032" s="84" t="s">
        <v>252</v>
      </c>
      <c r="N1032" s="84" t="s">
        <v>72</v>
      </c>
      <c r="O1032" s="129" t="s">
        <v>5042</v>
      </c>
      <c r="P1032" s="122" t="s">
        <v>5043</v>
      </c>
      <c r="Q1032" s="49" t="s">
        <v>91</v>
      </c>
      <c r="R1032" s="25"/>
      <c r="S1032" s="26">
        <v>11</v>
      </c>
      <c r="T1032" s="26"/>
      <c r="U1032" s="28" t="s">
        <v>5044</v>
      </c>
      <c r="V1032" s="66"/>
      <c r="W1032" s="106"/>
      <c r="X1032" s="106" t="s">
        <v>76</v>
      </c>
      <c r="Y1032" s="26" t="s">
        <v>76</v>
      </c>
      <c r="Z1032" s="75" t="s">
        <v>193</v>
      </c>
      <c r="AA1032" s="30" t="s">
        <v>76</v>
      </c>
    </row>
    <row r="1033" spans="1:28" ht="33">
      <c r="A1033" s="98">
        <v>1023</v>
      </c>
      <c r="B1033" s="79" t="s">
        <v>5045</v>
      </c>
      <c r="C1033" s="148" t="s">
        <v>9</v>
      </c>
      <c r="D1033" s="80" t="s">
        <v>63</v>
      </c>
      <c r="E1033" s="27" t="s">
        <v>5046</v>
      </c>
      <c r="F1033" s="80" t="s">
        <v>120</v>
      </c>
      <c r="G1033" s="81" t="s">
        <v>4977</v>
      </c>
      <c r="H1033" s="80" t="s">
        <v>5047</v>
      </c>
      <c r="I1033" s="92">
        <v>45712</v>
      </c>
      <c r="J1033" s="80" t="s">
        <v>4385</v>
      </c>
      <c r="K1033" s="80" t="s">
        <v>4386</v>
      </c>
      <c r="L1033" s="84" t="s">
        <v>4387</v>
      </c>
      <c r="M1033" s="84" t="s">
        <v>904</v>
      </c>
      <c r="N1033" s="84" t="s">
        <v>72</v>
      </c>
      <c r="O1033" s="129" t="s">
        <v>5048</v>
      </c>
      <c r="P1033" s="122" t="s">
        <v>5049</v>
      </c>
      <c r="Q1033" s="276" t="s">
        <v>75</v>
      </c>
      <c r="R1033" s="130" t="s">
        <v>91</v>
      </c>
      <c r="S1033" s="26">
        <v>21</v>
      </c>
      <c r="T1033" s="26">
        <v>63</v>
      </c>
      <c r="U1033" s="28" t="s">
        <v>5050</v>
      </c>
      <c r="V1033" s="66"/>
      <c r="W1033" s="106"/>
      <c r="X1033" s="106" t="s">
        <v>516</v>
      </c>
      <c r="Y1033" s="26" t="s">
        <v>76</v>
      </c>
      <c r="Z1033" s="75" t="s">
        <v>93</v>
      </c>
      <c r="AA1033" s="30" t="s">
        <v>76</v>
      </c>
    </row>
    <row r="1034" spans="1:28" ht="33">
      <c r="A1034" s="98">
        <v>1024</v>
      </c>
      <c r="B1034" s="79" t="s">
        <v>5051</v>
      </c>
      <c r="C1034" s="148" t="s">
        <v>9</v>
      </c>
      <c r="D1034" s="80" t="s">
        <v>63</v>
      </c>
      <c r="E1034" s="27" t="s">
        <v>5046</v>
      </c>
      <c r="F1034" s="80" t="s">
        <v>120</v>
      </c>
      <c r="G1034" s="81" t="s">
        <v>4977</v>
      </c>
      <c r="H1034" s="80" t="s">
        <v>5047</v>
      </c>
      <c r="I1034" s="92">
        <v>45712</v>
      </c>
      <c r="J1034" s="80" t="s">
        <v>4385</v>
      </c>
      <c r="K1034" s="80" t="s">
        <v>4386</v>
      </c>
      <c r="L1034" s="84" t="s">
        <v>4387</v>
      </c>
      <c r="M1034" s="84" t="s">
        <v>252</v>
      </c>
      <c r="N1034" s="84" t="s">
        <v>72</v>
      </c>
      <c r="O1034" s="129" t="s">
        <v>5052</v>
      </c>
      <c r="P1034" s="122" t="s">
        <v>5053</v>
      </c>
      <c r="Q1034" s="276" t="s">
        <v>75</v>
      </c>
      <c r="R1034" s="130" t="s">
        <v>91</v>
      </c>
      <c r="S1034" s="26">
        <v>21</v>
      </c>
      <c r="T1034" s="26">
        <v>58</v>
      </c>
      <c r="U1034" s="28" t="s">
        <v>5054</v>
      </c>
      <c r="V1034" s="66"/>
      <c r="W1034" s="106"/>
      <c r="X1034" s="106" t="s">
        <v>516</v>
      </c>
      <c r="Y1034" s="26" t="s">
        <v>76</v>
      </c>
      <c r="Z1034" s="75" t="s">
        <v>93</v>
      </c>
      <c r="AA1034" s="30" t="s">
        <v>76</v>
      </c>
    </row>
    <row r="1035" spans="1:28" ht="99">
      <c r="A1035" s="98">
        <v>1025</v>
      </c>
      <c r="B1035" s="79" t="s">
        <v>5055</v>
      </c>
      <c r="C1035" s="148" t="s">
        <v>9</v>
      </c>
      <c r="D1035" s="80" t="s">
        <v>63</v>
      </c>
      <c r="E1035" s="27" t="s">
        <v>5056</v>
      </c>
      <c r="F1035" s="80" t="s">
        <v>65</v>
      </c>
      <c r="G1035" s="81" t="s">
        <v>4977</v>
      </c>
      <c r="H1035" s="80" t="s">
        <v>5057</v>
      </c>
      <c r="I1035" s="92">
        <v>45712</v>
      </c>
      <c r="J1035" s="80" t="s">
        <v>4385</v>
      </c>
      <c r="K1035" s="80" t="s">
        <v>4386</v>
      </c>
      <c r="L1035" s="84" t="s">
        <v>4387</v>
      </c>
      <c r="M1035" s="84" t="s">
        <v>252</v>
      </c>
      <c r="N1035" s="84" t="s">
        <v>72</v>
      </c>
      <c r="O1035" s="129" t="s">
        <v>5058</v>
      </c>
      <c r="P1035" s="122" t="s">
        <v>5059</v>
      </c>
      <c r="Q1035" s="276" t="s">
        <v>75</v>
      </c>
      <c r="R1035" s="130" t="s">
        <v>91</v>
      </c>
      <c r="S1035" s="26">
        <v>18</v>
      </c>
      <c r="T1035" s="26">
        <v>55</v>
      </c>
      <c r="U1035" s="28" t="s">
        <v>5060</v>
      </c>
      <c r="V1035" s="66"/>
      <c r="W1035" s="106"/>
      <c r="X1035" s="106" t="s">
        <v>516</v>
      </c>
      <c r="Y1035" s="26" t="s">
        <v>76</v>
      </c>
      <c r="Z1035" s="75"/>
      <c r="AA1035" s="30" t="s">
        <v>5061</v>
      </c>
    </row>
    <row r="1036" spans="1:28" ht="66">
      <c r="A1036" s="98">
        <v>1026</v>
      </c>
      <c r="B1036" s="79" t="s">
        <v>5062</v>
      </c>
      <c r="C1036" s="148" t="s">
        <v>9</v>
      </c>
      <c r="D1036" s="80" t="s">
        <v>63</v>
      </c>
      <c r="E1036" s="27" t="s">
        <v>5063</v>
      </c>
      <c r="F1036" s="80" t="s">
        <v>338</v>
      </c>
      <c r="G1036" s="81" t="s">
        <v>5064</v>
      </c>
      <c r="H1036" s="80" t="s">
        <v>5065</v>
      </c>
      <c r="I1036" s="92">
        <v>45712</v>
      </c>
      <c r="J1036" s="80" t="s">
        <v>4385</v>
      </c>
      <c r="K1036" s="80" t="s">
        <v>4386</v>
      </c>
      <c r="L1036" s="84" t="s">
        <v>4387</v>
      </c>
      <c r="M1036" s="84" t="s">
        <v>252</v>
      </c>
      <c r="N1036" s="84" t="s">
        <v>72</v>
      </c>
      <c r="O1036" s="129" t="s">
        <v>5066</v>
      </c>
      <c r="P1036" s="122" t="s">
        <v>5067</v>
      </c>
      <c r="Q1036" s="276" t="s">
        <v>75</v>
      </c>
      <c r="R1036" s="25" t="s">
        <v>91</v>
      </c>
      <c r="S1036" s="26">
        <v>22</v>
      </c>
      <c r="T1036" s="26">
        <v>69</v>
      </c>
      <c r="U1036" s="255" t="s">
        <v>5068</v>
      </c>
      <c r="V1036" s="66"/>
      <c r="W1036" s="106"/>
      <c r="X1036" s="106" t="s">
        <v>516</v>
      </c>
      <c r="Y1036" s="26" t="s">
        <v>76</v>
      </c>
      <c r="Z1036" s="75" t="s">
        <v>93</v>
      </c>
      <c r="AA1036" s="30" t="s">
        <v>76</v>
      </c>
    </row>
    <row r="1037" spans="1:28" ht="115.5" hidden="1">
      <c r="A1037" s="98">
        <v>1027</v>
      </c>
      <c r="B1037" s="79" t="s">
        <v>5069</v>
      </c>
      <c r="C1037" s="148" t="s">
        <v>10</v>
      </c>
      <c r="D1037" s="80" t="s">
        <v>63</v>
      </c>
      <c r="E1037" s="27" t="s">
        <v>5070</v>
      </c>
      <c r="F1037" s="80" t="s">
        <v>109</v>
      </c>
      <c r="G1037" s="81" t="s">
        <v>1826</v>
      </c>
      <c r="H1037" s="80" t="s">
        <v>1827</v>
      </c>
      <c r="I1037" s="92">
        <v>45713</v>
      </c>
      <c r="J1037" s="80" t="s">
        <v>4066</v>
      </c>
      <c r="K1037" s="80" t="s">
        <v>1654</v>
      </c>
      <c r="L1037" s="84" t="s">
        <v>10</v>
      </c>
      <c r="M1037" s="84" t="s">
        <v>252</v>
      </c>
      <c r="N1037" s="84" t="s">
        <v>72</v>
      </c>
      <c r="O1037" s="308" t="s">
        <v>5071</v>
      </c>
      <c r="P1037" s="122" t="s">
        <v>5072</v>
      </c>
      <c r="Q1037" s="49" t="s">
        <v>75</v>
      </c>
      <c r="R1037" s="25" t="s">
        <v>91</v>
      </c>
      <c r="S1037" s="26">
        <v>24</v>
      </c>
      <c r="T1037" s="26">
        <v>51</v>
      </c>
      <c r="U1037" s="152" t="s">
        <v>5073</v>
      </c>
      <c r="V1037" s="66"/>
      <c r="W1037" s="106"/>
      <c r="X1037" s="106" t="s">
        <v>516</v>
      </c>
      <c r="Y1037" s="26" t="s">
        <v>76</v>
      </c>
      <c r="Z1037" s="75" t="s">
        <v>106</v>
      </c>
      <c r="AA1037" s="30" t="s">
        <v>76</v>
      </c>
    </row>
    <row r="1038" spans="1:28" ht="66" hidden="1">
      <c r="A1038" s="98">
        <v>1028</v>
      </c>
      <c r="B1038" s="79" t="s">
        <v>5074</v>
      </c>
      <c r="C1038" s="148" t="s">
        <v>8</v>
      </c>
      <c r="D1038" s="80" t="s">
        <v>63</v>
      </c>
      <c r="E1038" s="27" t="s">
        <v>2404</v>
      </c>
      <c r="F1038" s="80" t="s">
        <v>65</v>
      </c>
      <c r="G1038" s="81" t="s">
        <v>1132</v>
      </c>
      <c r="H1038" s="80" t="s">
        <v>2405</v>
      </c>
      <c r="I1038" s="92">
        <v>45713</v>
      </c>
      <c r="J1038" s="80" t="s">
        <v>145</v>
      </c>
      <c r="K1038" s="80" t="s">
        <v>146</v>
      </c>
      <c r="L1038" s="84" t="s">
        <v>147</v>
      </c>
      <c r="M1038" s="84" t="s">
        <v>148</v>
      </c>
      <c r="N1038" s="84" t="s">
        <v>72</v>
      </c>
      <c r="O1038" s="129" t="s">
        <v>5075</v>
      </c>
      <c r="P1038" s="122" t="s">
        <v>5076</v>
      </c>
      <c r="Q1038" s="49" t="s">
        <v>75</v>
      </c>
      <c r="R1038" s="25" t="s">
        <v>91</v>
      </c>
      <c r="S1038" s="26">
        <v>18</v>
      </c>
      <c r="T1038" s="26">
        <v>60</v>
      </c>
      <c r="U1038" s="28" t="s">
        <v>5077</v>
      </c>
      <c r="V1038" s="66"/>
      <c r="W1038" s="106"/>
      <c r="X1038" s="106" t="s">
        <v>516</v>
      </c>
      <c r="Y1038" s="26" t="s">
        <v>76</v>
      </c>
      <c r="Z1038" s="75" t="s">
        <v>93</v>
      </c>
      <c r="AA1038" s="30" t="s">
        <v>76</v>
      </c>
    </row>
    <row r="1039" spans="1:28" ht="99" hidden="1">
      <c r="A1039" s="98">
        <v>1029</v>
      </c>
      <c r="B1039" s="79" t="s">
        <v>5078</v>
      </c>
      <c r="C1039" s="148" t="s">
        <v>8</v>
      </c>
      <c r="D1039" s="80" t="s">
        <v>63</v>
      </c>
      <c r="E1039" s="27" t="s">
        <v>2404</v>
      </c>
      <c r="F1039" s="80" t="s">
        <v>65</v>
      </c>
      <c r="G1039" s="81" t="s">
        <v>1132</v>
      </c>
      <c r="H1039" s="80" t="s">
        <v>2405</v>
      </c>
      <c r="I1039" s="92">
        <v>45713</v>
      </c>
      <c r="J1039" s="80" t="s">
        <v>145</v>
      </c>
      <c r="K1039" s="80" t="s">
        <v>146</v>
      </c>
      <c r="L1039" s="84" t="s">
        <v>147</v>
      </c>
      <c r="M1039" s="84" t="s">
        <v>148</v>
      </c>
      <c r="N1039" s="84" t="s">
        <v>72</v>
      </c>
      <c r="O1039" s="129" t="s">
        <v>5079</v>
      </c>
      <c r="P1039" s="122" t="s">
        <v>5080</v>
      </c>
      <c r="Q1039" s="49" t="s">
        <v>91</v>
      </c>
      <c r="R1039" s="25"/>
      <c r="S1039" s="26">
        <v>17</v>
      </c>
      <c r="T1039" s="26"/>
      <c r="U1039" s="28" t="s">
        <v>5081</v>
      </c>
      <c r="V1039" s="66"/>
      <c r="W1039" s="106"/>
      <c r="X1039" s="106" t="s">
        <v>76</v>
      </c>
      <c r="Y1039" s="26" t="s">
        <v>76</v>
      </c>
      <c r="Z1039" s="75" t="s">
        <v>193</v>
      </c>
      <c r="AA1039" s="30" t="s">
        <v>76</v>
      </c>
      <c r="AB1039" s="25" t="s">
        <v>75</v>
      </c>
    </row>
    <row r="1040" spans="1:28" ht="82.5" hidden="1">
      <c r="A1040" s="98">
        <v>1030</v>
      </c>
      <c r="B1040" s="79" t="s">
        <v>5082</v>
      </c>
      <c r="C1040" s="148" t="s">
        <v>8</v>
      </c>
      <c r="D1040" s="80" t="s">
        <v>63</v>
      </c>
      <c r="E1040" s="27" t="s">
        <v>2404</v>
      </c>
      <c r="F1040" s="80" t="s">
        <v>65</v>
      </c>
      <c r="G1040" s="81" t="s">
        <v>1132</v>
      </c>
      <c r="H1040" s="80" t="s">
        <v>2405</v>
      </c>
      <c r="I1040" s="92">
        <v>45713</v>
      </c>
      <c r="J1040" s="80" t="s">
        <v>3517</v>
      </c>
      <c r="K1040" s="80" t="s">
        <v>299</v>
      </c>
      <c r="L1040" s="84" t="s">
        <v>189</v>
      </c>
      <c r="M1040" s="84" t="s">
        <v>101</v>
      </c>
      <c r="N1040" s="84" t="s">
        <v>72</v>
      </c>
      <c r="O1040" s="129" t="s">
        <v>5083</v>
      </c>
      <c r="P1040" s="122" t="s">
        <v>5084</v>
      </c>
      <c r="Q1040" s="49" t="s">
        <v>75</v>
      </c>
      <c r="R1040" s="25" t="s">
        <v>91</v>
      </c>
      <c r="S1040" s="26">
        <v>20</v>
      </c>
      <c r="T1040" s="26">
        <v>59</v>
      </c>
      <c r="U1040" s="28" t="s">
        <v>5085</v>
      </c>
      <c r="V1040" s="66"/>
      <c r="W1040" s="106"/>
      <c r="X1040" s="106" t="s">
        <v>516</v>
      </c>
      <c r="Y1040" s="26" t="s">
        <v>76</v>
      </c>
      <c r="Z1040" s="93" t="s">
        <v>93</v>
      </c>
      <c r="AA1040" s="30" t="s">
        <v>76</v>
      </c>
    </row>
    <row r="1041" spans="1:27" ht="49.5" hidden="1">
      <c r="A1041" s="98">
        <v>1031</v>
      </c>
      <c r="B1041" s="79" t="s">
        <v>5086</v>
      </c>
      <c r="C1041" s="148" t="s">
        <v>8</v>
      </c>
      <c r="D1041" s="80" t="s">
        <v>63</v>
      </c>
      <c r="E1041" s="27" t="s">
        <v>2085</v>
      </c>
      <c r="F1041" s="80" t="s">
        <v>109</v>
      </c>
      <c r="G1041" s="81" t="s">
        <v>2076</v>
      </c>
      <c r="H1041" s="80" t="s">
        <v>2086</v>
      </c>
      <c r="I1041" s="92">
        <v>45713</v>
      </c>
      <c r="J1041" s="80" t="s">
        <v>3517</v>
      </c>
      <c r="K1041" s="80" t="s">
        <v>299</v>
      </c>
      <c r="L1041" s="84" t="s">
        <v>189</v>
      </c>
      <c r="M1041" s="84" t="s">
        <v>101</v>
      </c>
      <c r="N1041" s="84" t="s">
        <v>72</v>
      </c>
      <c r="O1041" s="129" t="s">
        <v>5087</v>
      </c>
      <c r="P1041" s="122" t="s">
        <v>5088</v>
      </c>
      <c r="Q1041" s="49" t="s">
        <v>75</v>
      </c>
      <c r="R1041" s="25" t="s">
        <v>91</v>
      </c>
      <c r="S1041" s="26">
        <v>21</v>
      </c>
      <c r="T1041" s="26">
        <v>75</v>
      </c>
      <c r="U1041" s="28" t="s">
        <v>5089</v>
      </c>
      <c r="V1041" s="66"/>
      <c r="W1041" s="106"/>
      <c r="X1041" s="106" t="s">
        <v>516</v>
      </c>
      <c r="Y1041" s="26" t="s">
        <v>76</v>
      </c>
      <c r="Z1041" s="93" t="s">
        <v>106</v>
      </c>
      <c r="AA1041" s="30" t="s">
        <v>76</v>
      </c>
    </row>
    <row r="1042" spans="1:27" ht="66" hidden="1">
      <c r="A1042" s="98">
        <v>1032</v>
      </c>
      <c r="B1042" s="79" t="s">
        <v>5090</v>
      </c>
      <c r="C1042" s="148" t="s">
        <v>399</v>
      </c>
      <c r="D1042" s="80" t="s">
        <v>83</v>
      </c>
      <c r="E1042" s="27" t="s">
        <v>5091</v>
      </c>
      <c r="F1042" s="80" t="s">
        <v>65</v>
      </c>
      <c r="G1042" s="81" t="s">
        <v>2208</v>
      </c>
      <c r="H1042" s="80" t="s">
        <v>5092</v>
      </c>
      <c r="I1042" s="92">
        <v>45714</v>
      </c>
      <c r="J1042" s="80" t="s">
        <v>3505</v>
      </c>
      <c r="K1042" s="80" t="s">
        <v>69</v>
      </c>
      <c r="L1042" s="84" t="s">
        <v>251</v>
      </c>
      <c r="M1042" s="84" t="s">
        <v>252</v>
      </c>
      <c r="N1042" s="84" t="s">
        <v>72</v>
      </c>
      <c r="O1042" s="129" t="s">
        <v>5093</v>
      </c>
      <c r="P1042" s="122" t="s">
        <v>5094</v>
      </c>
      <c r="Q1042" s="49" t="s">
        <v>75</v>
      </c>
      <c r="R1042" s="25" t="s">
        <v>91</v>
      </c>
      <c r="S1042" s="26">
        <v>18</v>
      </c>
      <c r="T1042" s="26">
        <v>50</v>
      </c>
      <c r="U1042" s="28" t="s">
        <v>5095</v>
      </c>
      <c r="V1042" s="66"/>
      <c r="W1042" s="106"/>
      <c r="X1042" s="106" t="s">
        <v>516</v>
      </c>
      <c r="Y1042" s="26" t="s">
        <v>76</v>
      </c>
      <c r="Z1042" s="75" t="s">
        <v>93</v>
      </c>
      <c r="AA1042" s="30" t="s">
        <v>76</v>
      </c>
    </row>
    <row r="1043" spans="1:27" ht="246.75" hidden="1">
      <c r="A1043" s="98">
        <v>1033</v>
      </c>
      <c r="B1043" s="79" t="s">
        <v>5096</v>
      </c>
      <c r="C1043" s="148" t="s">
        <v>399</v>
      </c>
      <c r="D1043" s="80" t="s">
        <v>83</v>
      </c>
      <c r="E1043" s="27" t="s">
        <v>5097</v>
      </c>
      <c r="F1043" s="80" t="s">
        <v>65</v>
      </c>
      <c r="G1043" s="81" t="s">
        <v>2208</v>
      </c>
      <c r="H1043" s="80" t="s">
        <v>5098</v>
      </c>
      <c r="I1043" s="92">
        <v>45714</v>
      </c>
      <c r="J1043" s="80" t="s">
        <v>3505</v>
      </c>
      <c r="K1043" s="80" t="s">
        <v>69</v>
      </c>
      <c r="L1043" s="84" t="s">
        <v>251</v>
      </c>
      <c r="M1043" s="84" t="s">
        <v>252</v>
      </c>
      <c r="N1043" s="84" t="s">
        <v>72</v>
      </c>
      <c r="O1043" s="129" t="s">
        <v>5099</v>
      </c>
      <c r="P1043" s="122" t="s">
        <v>5100</v>
      </c>
      <c r="Q1043" s="49" t="s">
        <v>75</v>
      </c>
      <c r="R1043" s="25" t="s">
        <v>91</v>
      </c>
      <c r="S1043" s="26">
        <v>24</v>
      </c>
      <c r="T1043" s="26">
        <v>62</v>
      </c>
      <c r="U1043" s="28" t="s">
        <v>5101</v>
      </c>
      <c r="V1043" s="66"/>
      <c r="W1043" s="106"/>
      <c r="X1043" s="106" t="s">
        <v>516</v>
      </c>
      <c r="Y1043" s="26" t="s">
        <v>76</v>
      </c>
      <c r="Z1043" s="75" t="s">
        <v>93</v>
      </c>
      <c r="AA1043" s="30" t="s">
        <v>76</v>
      </c>
    </row>
    <row r="1044" spans="1:27" ht="66" hidden="1">
      <c r="A1044" s="98">
        <v>1034</v>
      </c>
      <c r="B1044" s="79" t="s">
        <v>5102</v>
      </c>
      <c r="C1044" s="148" t="s">
        <v>399</v>
      </c>
      <c r="D1044" s="80" t="s">
        <v>83</v>
      </c>
      <c r="E1044" s="27" t="s">
        <v>5103</v>
      </c>
      <c r="F1044" s="80" t="s">
        <v>109</v>
      </c>
      <c r="G1044" s="81" t="s">
        <v>2208</v>
      </c>
      <c r="H1044" s="80" t="s">
        <v>5104</v>
      </c>
      <c r="I1044" s="92">
        <v>45714</v>
      </c>
      <c r="J1044" s="80" t="s">
        <v>3505</v>
      </c>
      <c r="K1044" s="80" t="s">
        <v>69</v>
      </c>
      <c r="L1044" s="84" t="s">
        <v>251</v>
      </c>
      <c r="M1044" s="84" t="s">
        <v>252</v>
      </c>
      <c r="N1044" s="84" t="s">
        <v>72</v>
      </c>
      <c r="O1044" s="129" t="s">
        <v>5105</v>
      </c>
      <c r="P1044" s="122" t="s">
        <v>5106</v>
      </c>
      <c r="Q1044" s="49" t="s">
        <v>75</v>
      </c>
      <c r="R1044" s="25" t="s">
        <v>91</v>
      </c>
      <c r="S1044" s="26">
        <v>21</v>
      </c>
      <c r="T1044" s="26">
        <v>65</v>
      </c>
      <c r="U1044" s="28" t="s">
        <v>5107</v>
      </c>
      <c r="V1044" s="66"/>
      <c r="W1044" s="106"/>
      <c r="X1044" s="106" t="s">
        <v>516</v>
      </c>
      <c r="Y1044" s="26" t="s">
        <v>76</v>
      </c>
      <c r="Z1044" s="75" t="s">
        <v>93</v>
      </c>
      <c r="AA1044" s="30" t="s">
        <v>76</v>
      </c>
    </row>
    <row r="1045" spans="1:27" ht="49.5" hidden="1">
      <c r="A1045" s="98">
        <v>1035</v>
      </c>
      <c r="B1045" s="79" t="s">
        <v>5108</v>
      </c>
      <c r="C1045" s="148" t="s">
        <v>399</v>
      </c>
      <c r="D1045" s="80" t="s">
        <v>83</v>
      </c>
      <c r="E1045" s="27" t="s">
        <v>5109</v>
      </c>
      <c r="F1045" s="80" t="s">
        <v>120</v>
      </c>
      <c r="G1045" s="81" t="s">
        <v>2208</v>
      </c>
      <c r="H1045" s="80" t="s">
        <v>5110</v>
      </c>
      <c r="I1045" s="92">
        <v>45714</v>
      </c>
      <c r="J1045" s="80" t="s">
        <v>3505</v>
      </c>
      <c r="K1045" s="80" t="s">
        <v>69</v>
      </c>
      <c r="L1045" s="84" t="s">
        <v>251</v>
      </c>
      <c r="M1045" s="84" t="s">
        <v>252</v>
      </c>
      <c r="N1045" s="84" t="s">
        <v>72</v>
      </c>
      <c r="O1045" s="129" t="s">
        <v>5111</v>
      </c>
      <c r="P1045" s="122" t="s">
        <v>5112</v>
      </c>
      <c r="Q1045" s="49" t="s">
        <v>75</v>
      </c>
      <c r="R1045" s="25" t="s">
        <v>91</v>
      </c>
      <c r="S1045" s="26">
        <v>18</v>
      </c>
      <c r="T1045" s="26">
        <v>52</v>
      </c>
      <c r="U1045" s="28" t="s">
        <v>5113</v>
      </c>
      <c r="V1045" s="66"/>
      <c r="W1045" s="106"/>
      <c r="X1045" s="106" t="s">
        <v>516</v>
      </c>
      <c r="Y1045" s="26" t="s">
        <v>76</v>
      </c>
      <c r="Z1045" s="75" t="s">
        <v>93</v>
      </c>
      <c r="AA1045" s="30" t="s">
        <v>76</v>
      </c>
    </row>
    <row r="1046" spans="1:27" ht="49.5" hidden="1">
      <c r="A1046" s="98">
        <v>1036</v>
      </c>
      <c r="B1046" s="79" t="s">
        <v>5114</v>
      </c>
      <c r="C1046" s="148" t="s">
        <v>8</v>
      </c>
      <c r="D1046" s="80" t="s">
        <v>63</v>
      </c>
      <c r="E1046" s="27" t="s">
        <v>3362</v>
      </c>
      <c r="F1046" s="80" t="s">
        <v>338</v>
      </c>
      <c r="G1046" s="81" t="s">
        <v>995</v>
      </c>
      <c r="H1046" s="80" t="s">
        <v>3363</v>
      </c>
      <c r="I1046" s="92">
        <v>45714</v>
      </c>
      <c r="J1046" s="80" t="s">
        <v>3505</v>
      </c>
      <c r="K1046" s="80" t="s">
        <v>146</v>
      </c>
      <c r="L1046" s="84" t="s">
        <v>251</v>
      </c>
      <c r="M1046" s="84" t="s">
        <v>252</v>
      </c>
      <c r="N1046" s="84" t="s">
        <v>72</v>
      </c>
      <c r="O1046" s="129" t="s">
        <v>5115</v>
      </c>
      <c r="P1046" s="122" t="s">
        <v>5116</v>
      </c>
      <c r="Q1046" s="49" t="s">
        <v>75</v>
      </c>
      <c r="R1046" s="25" t="s">
        <v>91</v>
      </c>
      <c r="S1046" s="26">
        <v>18</v>
      </c>
      <c r="T1046" s="26">
        <v>60</v>
      </c>
      <c r="U1046" s="28" t="s">
        <v>5117</v>
      </c>
      <c r="V1046" s="66"/>
      <c r="W1046" s="106"/>
      <c r="X1046" s="106" t="s">
        <v>516</v>
      </c>
      <c r="Y1046" s="26" t="s">
        <v>76</v>
      </c>
      <c r="Z1046" s="75" t="s">
        <v>93</v>
      </c>
      <c r="AA1046" s="30" t="s">
        <v>76</v>
      </c>
    </row>
    <row r="1047" spans="1:27" ht="49.5" hidden="1">
      <c r="A1047" s="98">
        <v>1037</v>
      </c>
      <c r="B1047" s="79" t="s">
        <v>5118</v>
      </c>
      <c r="C1047" s="148" t="s">
        <v>8</v>
      </c>
      <c r="D1047" s="80" t="s">
        <v>63</v>
      </c>
      <c r="E1047" s="27" t="s">
        <v>2790</v>
      </c>
      <c r="F1047" s="80" t="s">
        <v>338</v>
      </c>
      <c r="G1047" s="81" t="s">
        <v>995</v>
      </c>
      <c r="H1047" s="80" t="s">
        <v>2791</v>
      </c>
      <c r="I1047" s="92">
        <v>45714</v>
      </c>
      <c r="J1047" s="80" t="s">
        <v>3505</v>
      </c>
      <c r="K1047" s="80" t="s">
        <v>156</v>
      </c>
      <c r="L1047" s="84" t="s">
        <v>251</v>
      </c>
      <c r="M1047" s="84" t="s">
        <v>252</v>
      </c>
      <c r="N1047" s="84" t="s">
        <v>72</v>
      </c>
      <c r="O1047" s="129" t="s">
        <v>5119</v>
      </c>
      <c r="P1047" s="122" t="s">
        <v>5120</v>
      </c>
      <c r="Q1047" s="49" t="s">
        <v>75</v>
      </c>
      <c r="R1047" s="25" t="s">
        <v>91</v>
      </c>
      <c r="S1047" s="26">
        <v>20</v>
      </c>
      <c r="T1047" s="26">
        <v>68</v>
      </c>
      <c r="U1047" s="28" t="s">
        <v>5121</v>
      </c>
      <c r="V1047" s="66"/>
      <c r="W1047" s="106"/>
      <c r="X1047" s="106" t="s">
        <v>516</v>
      </c>
      <c r="Y1047" s="26" t="s">
        <v>76</v>
      </c>
      <c r="Z1047" s="75" t="s">
        <v>93</v>
      </c>
      <c r="AA1047" s="30" t="s">
        <v>76</v>
      </c>
    </row>
    <row r="1048" spans="1:27" ht="49.5" hidden="1">
      <c r="A1048" s="98">
        <v>1038</v>
      </c>
      <c r="B1048" s="79" t="s">
        <v>5122</v>
      </c>
      <c r="C1048" s="148" t="s">
        <v>8</v>
      </c>
      <c r="D1048" s="80" t="s">
        <v>63</v>
      </c>
      <c r="E1048" s="27" t="s">
        <v>5123</v>
      </c>
      <c r="F1048" s="80" t="s">
        <v>120</v>
      </c>
      <c r="G1048" s="81" t="s">
        <v>1132</v>
      </c>
      <c r="H1048" s="80" t="s">
        <v>5124</v>
      </c>
      <c r="I1048" s="92">
        <v>45714</v>
      </c>
      <c r="J1048" s="80" t="s">
        <v>3505</v>
      </c>
      <c r="K1048" s="80" t="s">
        <v>69</v>
      </c>
      <c r="L1048" s="84" t="s">
        <v>251</v>
      </c>
      <c r="M1048" s="84" t="s">
        <v>252</v>
      </c>
      <c r="N1048" s="84" t="s">
        <v>72</v>
      </c>
      <c r="O1048" s="129" t="s">
        <v>5125</v>
      </c>
      <c r="P1048" s="122" t="s">
        <v>5126</v>
      </c>
      <c r="Q1048" s="49" t="s">
        <v>75</v>
      </c>
      <c r="R1048" s="25" t="s">
        <v>91</v>
      </c>
      <c r="S1048" s="26">
        <v>22</v>
      </c>
      <c r="T1048" s="105"/>
      <c r="U1048" s="28" t="s">
        <v>5127</v>
      </c>
      <c r="V1048" s="66"/>
      <c r="W1048" s="106"/>
      <c r="X1048" s="106" t="s">
        <v>516</v>
      </c>
      <c r="Y1048" s="26" t="s">
        <v>76</v>
      </c>
      <c r="Z1048" s="75" t="s">
        <v>106</v>
      </c>
      <c r="AA1048" s="30" t="s">
        <v>76</v>
      </c>
    </row>
    <row r="1049" spans="1:27" ht="66">
      <c r="A1049" s="98">
        <v>1039</v>
      </c>
      <c r="B1049" s="79" t="s">
        <v>5128</v>
      </c>
      <c r="C1049" s="148" t="s">
        <v>9</v>
      </c>
      <c r="D1049" s="80" t="s">
        <v>63</v>
      </c>
      <c r="E1049" s="27" t="s">
        <v>5129</v>
      </c>
      <c r="F1049" s="80" t="s">
        <v>120</v>
      </c>
      <c r="G1049" s="81" t="s">
        <v>5064</v>
      </c>
      <c r="H1049" s="80" t="s">
        <v>5130</v>
      </c>
      <c r="I1049" s="92">
        <v>45714</v>
      </c>
      <c r="J1049" s="80" t="s">
        <v>4586</v>
      </c>
      <c r="K1049" s="80" t="s">
        <v>4386</v>
      </c>
      <c r="L1049" s="84" t="s">
        <v>4387</v>
      </c>
      <c r="M1049" s="84" t="s">
        <v>114</v>
      </c>
      <c r="N1049" s="84" t="s">
        <v>72</v>
      </c>
      <c r="O1049" s="129" t="s">
        <v>5131</v>
      </c>
      <c r="P1049" s="122" t="s">
        <v>5132</v>
      </c>
      <c r="Q1049" s="49" t="s">
        <v>75</v>
      </c>
      <c r="R1049" s="25" t="s">
        <v>91</v>
      </c>
      <c r="S1049" s="26">
        <v>18</v>
      </c>
      <c r="T1049" s="26">
        <v>60</v>
      </c>
      <c r="U1049" s="28" t="s">
        <v>5133</v>
      </c>
      <c r="V1049" s="66"/>
      <c r="W1049" s="106"/>
      <c r="X1049" s="106" t="s">
        <v>516</v>
      </c>
      <c r="Y1049" s="26" t="s">
        <v>76</v>
      </c>
      <c r="Z1049" s="75" t="s">
        <v>93</v>
      </c>
      <c r="AA1049" s="30" t="s">
        <v>76</v>
      </c>
    </row>
    <row r="1050" spans="1:27" ht="66">
      <c r="A1050" s="98">
        <v>1040</v>
      </c>
      <c r="B1050" s="79" t="s">
        <v>5134</v>
      </c>
      <c r="C1050" s="148" t="s">
        <v>9</v>
      </c>
      <c r="D1050" s="80" t="s">
        <v>63</v>
      </c>
      <c r="E1050" s="27" t="s">
        <v>5135</v>
      </c>
      <c r="F1050" s="80" t="s">
        <v>5136</v>
      </c>
      <c r="G1050" s="81" t="s">
        <v>5064</v>
      </c>
      <c r="H1050" s="80" t="s">
        <v>5137</v>
      </c>
      <c r="I1050" s="92">
        <v>45714</v>
      </c>
      <c r="J1050" s="80" t="s">
        <v>4586</v>
      </c>
      <c r="K1050" s="80" t="s">
        <v>4386</v>
      </c>
      <c r="L1050" s="84" t="s">
        <v>4387</v>
      </c>
      <c r="M1050" s="84" t="s">
        <v>114</v>
      </c>
      <c r="N1050" s="84" t="s">
        <v>72</v>
      </c>
      <c r="O1050" s="129" t="s">
        <v>5138</v>
      </c>
      <c r="P1050" s="122" t="s">
        <v>5139</v>
      </c>
      <c r="Q1050" s="49" t="s">
        <v>75</v>
      </c>
      <c r="R1050" s="25" t="s">
        <v>91</v>
      </c>
      <c r="S1050" s="26">
        <v>18</v>
      </c>
      <c r="T1050" s="26">
        <v>61</v>
      </c>
      <c r="U1050" s="28" t="s">
        <v>5140</v>
      </c>
      <c r="V1050" s="66"/>
      <c r="W1050" s="106"/>
      <c r="X1050" s="106" t="s">
        <v>516</v>
      </c>
      <c r="Y1050" s="26" t="s">
        <v>76</v>
      </c>
      <c r="Z1050" s="75" t="s">
        <v>93</v>
      </c>
      <c r="AA1050" s="30" t="s">
        <v>76</v>
      </c>
    </row>
    <row r="1051" spans="1:27" ht="66">
      <c r="A1051" s="98">
        <v>1041</v>
      </c>
      <c r="B1051" s="79" t="s">
        <v>5141</v>
      </c>
      <c r="C1051" s="148" t="s">
        <v>9</v>
      </c>
      <c r="D1051" s="80" t="s">
        <v>63</v>
      </c>
      <c r="E1051" s="27" t="s">
        <v>5142</v>
      </c>
      <c r="F1051" s="80" t="s">
        <v>109</v>
      </c>
      <c r="G1051" s="81" t="s">
        <v>5064</v>
      </c>
      <c r="H1051" s="80" t="s">
        <v>5143</v>
      </c>
      <c r="I1051" s="92">
        <v>45714</v>
      </c>
      <c r="J1051" s="80" t="s">
        <v>4385</v>
      </c>
      <c r="K1051" s="80" t="s">
        <v>4386</v>
      </c>
      <c r="L1051" s="84" t="s">
        <v>4387</v>
      </c>
      <c r="M1051" s="84" t="s">
        <v>252</v>
      </c>
      <c r="N1051" s="84" t="s">
        <v>72</v>
      </c>
      <c r="O1051" s="129" t="s">
        <v>5144</v>
      </c>
      <c r="P1051" s="122" t="s">
        <v>5145</v>
      </c>
      <c r="Q1051" s="49" t="s">
        <v>75</v>
      </c>
      <c r="R1051" s="25" t="s">
        <v>91</v>
      </c>
      <c r="S1051" s="26">
        <v>19</v>
      </c>
      <c r="T1051" s="26">
        <v>63</v>
      </c>
      <c r="U1051" s="28" t="s">
        <v>5146</v>
      </c>
      <c r="V1051" s="66"/>
      <c r="W1051" s="106"/>
      <c r="X1051" s="106" t="s">
        <v>516</v>
      </c>
      <c r="Y1051" s="26" t="s">
        <v>76</v>
      </c>
      <c r="Z1051" s="75" t="s">
        <v>93</v>
      </c>
      <c r="AA1051" s="30" t="s">
        <v>76</v>
      </c>
    </row>
    <row r="1052" spans="1:27" ht="49.5">
      <c r="A1052" s="98">
        <v>1042</v>
      </c>
      <c r="B1052" s="79" t="s">
        <v>5147</v>
      </c>
      <c r="C1052" s="148" t="s">
        <v>9</v>
      </c>
      <c r="D1052" s="80" t="s">
        <v>4392</v>
      </c>
      <c r="E1052" s="27" t="s">
        <v>5148</v>
      </c>
      <c r="F1052" s="80" t="s">
        <v>109</v>
      </c>
      <c r="G1052" s="81" t="s">
        <v>5149</v>
      </c>
      <c r="H1052" s="80" t="s">
        <v>5150</v>
      </c>
      <c r="I1052" s="92">
        <v>45714</v>
      </c>
      <c r="J1052" s="80" t="s">
        <v>4385</v>
      </c>
      <c r="K1052" s="80" t="s">
        <v>4386</v>
      </c>
      <c r="L1052" s="84" t="s">
        <v>4387</v>
      </c>
      <c r="M1052" s="84" t="s">
        <v>252</v>
      </c>
      <c r="N1052" s="84" t="s">
        <v>72</v>
      </c>
      <c r="O1052" s="129" t="s">
        <v>5151</v>
      </c>
      <c r="P1052" s="122" t="s">
        <v>5152</v>
      </c>
      <c r="Q1052" s="49" t="s">
        <v>75</v>
      </c>
      <c r="R1052" s="25" t="s">
        <v>91</v>
      </c>
      <c r="S1052" s="26">
        <v>20</v>
      </c>
      <c r="T1052" s="26">
        <v>63</v>
      </c>
      <c r="U1052" s="28" t="s">
        <v>5153</v>
      </c>
      <c r="V1052" s="66"/>
      <c r="W1052" s="106"/>
      <c r="X1052" s="106" t="s">
        <v>516</v>
      </c>
      <c r="Y1052" s="26" t="s">
        <v>76</v>
      </c>
      <c r="Z1052" s="75" t="s">
        <v>93</v>
      </c>
      <c r="AA1052" s="30" t="s">
        <v>76</v>
      </c>
    </row>
    <row r="1053" spans="1:27" ht="66">
      <c r="A1053" s="98">
        <v>1043</v>
      </c>
      <c r="B1053" s="79" t="s">
        <v>5154</v>
      </c>
      <c r="C1053" s="148" t="s">
        <v>9</v>
      </c>
      <c r="D1053" s="80" t="s">
        <v>63</v>
      </c>
      <c r="E1053" s="27" t="s">
        <v>5155</v>
      </c>
      <c r="F1053" s="80" t="s">
        <v>65</v>
      </c>
      <c r="G1053" s="81" t="s">
        <v>5064</v>
      </c>
      <c r="H1053" s="80" t="s">
        <v>5156</v>
      </c>
      <c r="I1053" s="92">
        <v>45714</v>
      </c>
      <c r="J1053" s="80" t="s">
        <v>4385</v>
      </c>
      <c r="K1053" s="80" t="s">
        <v>4386</v>
      </c>
      <c r="L1053" s="84" t="s">
        <v>4387</v>
      </c>
      <c r="M1053" s="84" t="s">
        <v>252</v>
      </c>
      <c r="N1053" s="84" t="s">
        <v>72</v>
      </c>
      <c r="O1053" s="129" t="s">
        <v>5157</v>
      </c>
      <c r="P1053" s="237" t="s">
        <v>5158</v>
      </c>
      <c r="Q1053" s="49" t="s">
        <v>75</v>
      </c>
      <c r="R1053" s="25" t="s">
        <v>91</v>
      </c>
      <c r="S1053" s="26">
        <v>22</v>
      </c>
      <c r="T1053" s="26">
        <v>68</v>
      </c>
      <c r="U1053" s="255" t="s">
        <v>5159</v>
      </c>
      <c r="V1053" s="66"/>
      <c r="W1053" s="106"/>
      <c r="X1053" s="106" t="s">
        <v>516</v>
      </c>
      <c r="Y1053" s="26" t="s">
        <v>76</v>
      </c>
      <c r="Z1053" s="75" t="s">
        <v>93</v>
      </c>
      <c r="AA1053" s="30" t="s">
        <v>76</v>
      </c>
    </row>
    <row r="1054" spans="1:27" ht="66">
      <c r="A1054" s="98">
        <v>1044</v>
      </c>
      <c r="B1054" s="79" t="s">
        <v>5160</v>
      </c>
      <c r="C1054" s="148" t="s">
        <v>9</v>
      </c>
      <c r="D1054" s="80" t="s">
        <v>63</v>
      </c>
      <c r="E1054" s="27" t="s">
        <v>5161</v>
      </c>
      <c r="F1054" s="80" t="s">
        <v>109</v>
      </c>
      <c r="G1054" s="81" t="s">
        <v>5064</v>
      </c>
      <c r="H1054" s="80" t="s">
        <v>5162</v>
      </c>
      <c r="I1054" s="92">
        <v>45714</v>
      </c>
      <c r="J1054" s="80" t="s">
        <v>4385</v>
      </c>
      <c r="K1054" s="80" t="s">
        <v>4386</v>
      </c>
      <c r="L1054" s="84" t="s">
        <v>4387</v>
      </c>
      <c r="M1054" s="84" t="s">
        <v>252</v>
      </c>
      <c r="N1054" s="84" t="s">
        <v>72</v>
      </c>
      <c r="O1054" s="129" t="s">
        <v>5163</v>
      </c>
      <c r="P1054" s="122" t="s">
        <v>5164</v>
      </c>
      <c r="Q1054" s="49" t="s">
        <v>75</v>
      </c>
      <c r="R1054" s="25" t="s">
        <v>91</v>
      </c>
      <c r="S1054" s="26">
        <v>20</v>
      </c>
      <c r="T1054" s="26">
        <v>61</v>
      </c>
      <c r="U1054" s="255" t="s">
        <v>5165</v>
      </c>
      <c r="V1054" s="66"/>
      <c r="W1054" s="106"/>
      <c r="X1054" s="106" t="s">
        <v>516</v>
      </c>
      <c r="Y1054" s="26" t="s">
        <v>76</v>
      </c>
      <c r="Z1054" s="75" t="s">
        <v>93</v>
      </c>
      <c r="AA1054" s="30" t="s">
        <v>76</v>
      </c>
    </row>
    <row r="1055" spans="1:27" ht="66">
      <c r="A1055" s="98">
        <v>1045</v>
      </c>
      <c r="B1055" s="79" t="s">
        <v>5166</v>
      </c>
      <c r="C1055" s="148" t="s">
        <v>9</v>
      </c>
      <c r="D1055" s="80" t="s">
        <v>63</v>
      </c>
      <c r="E1055" s="27" t="s">
        <v>5167</v>
      </c>
      <c r="F1055" s="80" t="s">
        <v>109</v>
      </c>
      <c r="G1055" s="81" t="s">
        <v>5064</v>
      </c>
      <c r="H1055" s="80" t="s">
        <v>5168</v>
      </c>
      <c r="I1055" s="92">
        <v>45714</v>
      </c>
      <c r="J1055" s="80" t="s">
        <v>4385</v>
      </c>
      <c r="K1055" s="80" t="s">
        <v>4386</v>
      </c>
      <c r="L1055" s="84" t="s">
        <v>4387</v>
      </c>
      <c r="M1055" s="84" t="s">
        <v>252</v>
      </c>
      <c r="N1055" s="84" t="s">
        <v>72</v>
      </c>
      <c r="O1055" s="129" t="s">
        <v>5169</v>
      </c>
      <c r="P1055" s="122" t="s">
        <v>5170</v>
      </c>
      <c r="Q1055" s="49" t="s">
        <v>75</v>
      </c>
      <c r="R1055" s="25" t="s">
        <v>91</v>
      </c>
      <c r="S1055" s="26">
        <v>21</v>
      </c>
      <c r="T1055" s="26">
        <v>67</v>
      </c>
      <c r="U1055" s="28" t="s">
        <v>5171</v>
      </c>
      <c r="V1055" s="66"/>
      <c r="W1055" s="106"/>
      <c r="X1055" s="106" t="s">
        <v>516</v>
      </c>
      <c r="Y1055" s="26" t="s">
        <v>76</v>
      </c>
      <c r="Z1055" s="75" t="s">
        <v>93</v>
      </c>
      <c r="AA1055" s="30" t="s">
        <v>76</v>
      </c>
    </row>
    <row r="1056" spans="1:27" ht="49.5">
      <c r="A1056" s="98">
        <v>1046</v>
      </c>
      <c r="B1056" s="79" t="s">
        <v>5172</v>
      </c>
      <c r="C1056" s="148" t="s">
        <v>9</v>
      </c>
      <c r="D1056" s="80" t="s">
        <v>63</v>
      </c>
      <c r="E1056" s="27" t="s">
        <v>5173</v>
      </c>
      <c r="F1056" s="80" t="s">
        <v>109</v>
      </c>
      <c r="G1056" s="81" t="s">
        <v>5174</v>
      </c>
      <c r="H1056" s="80" t="s">
        <v>5175</v>
      </c>
      <c r="I1056" s="92">
        <v>45714</v>
      </c>
      <c r="J1056" s="80" t="s">
        <v>4385</v>
      </c>
      <c r="K1056" s="80" t="s">
        <v>4386</v>
      </c>
      <c r="L1056" s="84" t="s">
        <v>4387</v>
      </c>
      <c r="M1056" s="84" t="s">
        <v>252</v>
      </c>
      <c r="N1056" s="84" t="s">
        <v>72</v>
      </c>
      <c r="O1056" s="129" t="s">
        <v>5176</v>
      </c>
      <c r="P1056" s="122" t="s">
        <v>5177</v>
      </c>
      <c r="Q1056" s="49" t="s">
        <v>75</v>
      </c>
      <c r="R1056" s="25" t="s">
        <v>91</v>
      </c>
      <c r="S1056" s="26">
        <v>19</v>
      </c>
      <c r="T1056" s="26">
        <v>60</v>
      </c>
      <c r="U1056" s="255" t="s">
        <v>5178</v>
      </c>
      <c r="V1056" s="66"/>
      <c r="W1056" s="106"/>
      <c r="X1056" s="106" t="s">
        <v>516</v>
      </c>
      <c r="Y1056" s="26" t="s">
        <v>76</v>
      </c>
      <c r="Z1056" s="75" t="s">
        <v>93</v>
      </c>
      <c r="AA1056" s="30" t="s">
        <v>76</v>
      </c>
    </row>
    <row r="1057" spans="1:28" ht="49.5">
      <c r="A1057" s="98">
        <v>1047</v>
      </c>
      <c r="B1057" s="79" t="s">
        <v>5179</v>
      </c>
      <c r="C1057" s="148" t="s">
        <v>9</v>
      </c>
      <c r="D1057" s="80" t="s">
        <v>63</v>
      </c>
      <c r="E1057" s="27" t="s">
        <v>5180</v>
      </c>
      <c r="F1057" s="80" t="s">
        <v>65</v>
      </c>
      <c r="G1057" s="81" t="s">
        <v>5174</v>
      </c>
      <c r="H1057" s="80" t="s">
        <v>5181</v>
      </c>
      <c r="I1057" s="92">
        <v>45714</v>
      </c>
      <c r="J1057" s="80" t="s">
        <v>4385</v>
      </c>
      <c r="K1057" s="80" t="s">
        <v>4386</v>
      </c>
      <c r="L1057" s="84" t="s">
        <v>4387</v>
      </c>
      <c r="M1057" s="84" t="s">
        <v>252</v>
      </c>
      <c r="N1057" s="84" t="s">
        <v>72</v>
      </c>
      <c r="O1057" s="129" t="s">
        <v>5182</v>
      </c>
      <c r="P1057" s="122" t="s">
        <v>5183</v>
      </c>
      <c r="Q1057" s="49" t="s">
        <v>91</v>
      </c>
      <c r="R1057" s="25"/>
      <c r="S1057" s="26">
        <v>11</v>
      </c>
      <c r="T1057" s="26"/>
      <c r="U1057" s="28" t="s">
        <v>5184</v>
      </c>
      <c r="V1057" s="66"/>
      <c r="W1057" s="106"/>
      <c r="X1057" s="106" t="s">
        <v>76</v>
      </c>
      <c r="Y1057" s="26" t="s">
        <v>76</v>
      </c>
      <c r="Z1057" s="75" t="s">
        <v>93</v>
      </c>
      <c r="AA1057" s="30" t="s">
        <v>76</v>
      </c>
    </row>
    <row r="1058" spans="1:28" ht="49.5">
      <c r="A1058" s="98">
        <v>1048</v>
      </c>
      <c r="B1058" s="79" t="s">
        <v>5185</v>
      </c>
      <c r="C1058" s="148" t="s">
        <v>9</v>
      </c>
      <c r="D1058" s="80" t="s">
        <v>63</v>
      </c>
      <c r="E1058" s="27" t="s">
        <v>5180</v>
      </c>
      <c r="F1058" s="80" t="s">
        <v>65</v>
      </c>
      <c r="G1058" s="81" t="s">
        <v>5174</v>
      </c>
      <c r="H1058" s="80" t="s">
        <v>5181</v>
      </c>
      <c r="I1058" s="92">
        <v>45714</v>
      </c>
      <c r="J1058" s="80" t="s">
        <v>4385</v>
      </c>
      <c r="K1058" s="80" t="s">
        <v>4386</v>
      </c>
      <c r="L1058" s="84" t="s">
        <v>4387</v>
      </c>
      <c r="M1058" s="84" t="s">
        <v>252</v>
      </c>
      <c r="N1058" s="84" t="s">
        <v>72</v>
      </c>
      <c r="O1058" s="129" t="s">
        <v>5186</v>
      </c>
      <c r="P1058" s="122" t="s">
        <v>5187</v>
      </c>
      <c r="Q1058" s="49" t="s">
        <v>75</v>
      </c>
      <c r="R1058" s="147" t="s">
        <v>91</v>
      </c>
      <c r="S1058" s="26">
        <v>19</v>
      </c>
      <c r="T1058" s="26">
        <v>60</v>
      </c>
      <c r="U1058" s="255" t="s">
        <v>5188</v>
      </c>
      <c r="V1058" s="66"/>
      <c r="W1058" s="106"/>
      <c r="X1058" s="106" t="s">
        <v>516</v>
      </c>
      <c r="Y1058" s="26" t="s">
        <v>76</v>
      </c>
      <c r="Z1058" s="75" t="s">
        <v>93</v>
      </c>
      <c r="AA1058" s="30" t="s">
        <v>76</v>
      </c>
    </row>
    <row r="1059" spans="1:28" ht="49.5">
      <c r="A1059" s="98">
        <v>1049</v>
      </c>
      <c r="B1059" s="79" t="s">
        <v>5189</v>
      </c>
      <c r="C1059" s="148" t="s">
        <v>9</v>
      </c>
      <c r="D1059" s="80" t="s">
        <v>63</v>
      </c>
      <c r="E1059" s="27" t="s">
        <v>5190</v>
      </c>
      <c r="F1059" s="80" t="s">
        <v>120</v>
      </c>
      <c r="G1059" s="81" t="s">
        <v>5174</v>
      </c>
      <c r="H1059" s="80" t="s">
        <v>5191</v>
      </c>
      <c r="I1059" s="92">
        <v>45714</v>
      </c>
      <c r="J1059" s="80" t="s">
        <v>4385</v>
      </c>
      <c r="K1059" s="80" t="s">
        <v>4386</v>
      </c>
      <c r="L1059" s="84" t="s">
        <v>4387</v>
      </c>
      <c r="M1059" s="84" t="s">
        <v>252</v>
      </c>
      <c r="N1059" s="84" t="s">
        <v>72</v>
      </c>
      <c r="O1059" s="129" t="s">
        <v>5192</v>
      </c>
      <c r="P1059" s="122" t="s">
        <v>5193</v>
      </c>
      <c r="Q1059" s="49" t="s">
        <v>91</v>
      </c>
      <c r="R1059" s="130"/>
      <c r="S1059" s="26">
        <v>17</v>
      </c>
      <c r="T1059" s="26"/>
      <c r="U1059" s="28" t="s">
        <v>5194</v>
      </c>
      <c r="V1059" s="66"/>
      <c r="W1059" s="106"/>
      <c r="X1059" s="106" t="s">
        <v>76</v>
      </c>
      <c r="Y1059" s="26" t="s">
        <v>76</v>
      </c>
      <c r="Z1059" s="75"/>
      <c r="AA1059" s="30" t="s">
        <v>5061</v>
      </c>
    </row>
    <row r="1060" spans="1:28" ht="49.5">
      <c r="A1060" s="98">
        <v>1050</v>
      </c>
      <c r="B1060" s="79" t="s">
        <v>5195</v>
      </c>
      <c r="C1060" s="148" t="s">
        <v>9</v>
      </c>
      <c r="D1060" s="80" t="s">
        <v>63</v>
      </c>
      <c r="E1060" s="27" t="s">
        <v>5196</v>
      </c>
      <c r="F1060" s="80" t="s">
        <v>120</v>
      </c>
      <c r="G1060" s="81" t="s">
        <v>5174</v>
      </c>
      <c r="H1060" s="80" t="s">
        <v>5197</v>
      </c>
      <c r="I1060" s="92">
        <v>45714</v>
      </c>
      <c r="J1060" s="80" t="s">
        <v>4385</v>
      </c>
      <c r="K1060" s="80" t="s">
        <v>4386</v>
      </c>
      <c r="L1060" s="84" t="s">
        <v>4387</v>
      </c>
      <c r="M1060" s="84" t="s">
        <v>252</v>
      </c>
      <c r="N1060" s="84" t="s">
        <v>72</v>
      </c>
      <c r="O1060" s="129" t="s">
        <v>5198</v>
      </c>
      <c r="P1060" s="237" t="s">
        <v>5199</v>
      </c>
      <c r="Q1060" s="49" t="s">
        <v>75</v>
      </c>
      <c r="R1060" s="130" t="s">
        <v>91</v>
      </c>
      <c r="S1060" s="130">
        <v>18</v>
      </c>
      <c r="T1060" s="130">
        <v>61</v>
      </c>
      <c r="U1060" s="28" t="s">
        <v>5200</v>
      </c>
      <c r="V1060" s="66"/>
      <c r="W1060" s="106"/>
      <c r="X1060" s="106" t="s">
        <v>516</v>
      </c>
      <c r="Y1060" s="26" t="s">
        <v>76</v>
      </c>
      <c r="Z1060" s="75" t="s">
        <v>93</v>
      </c>
      <c r="AA1060" s="30" t="s">
        <v>76</v>
      </c>
    </row>
    <row r="1061" spans="1:28" ht="49.5" hidden="1">
      <c r="A1061" s="98">
        <v>1051</v>
      </c>
      <c r="B1061" s="79" t="s">
        <v>5201</v>
      </c>
      <c r="C1061" s="148" t="s">
        <v>8</v>
      </c>
      <c r="D1061" s="80" t="s">
        <v>63</v>
      </c>
      <c r="E1061" s="27" t="s">
        <v>2790</v>
      </c>
      <c r="F1061" s="80" t="s">
        <v>338</v>
      </c>
      <c r="G1061" s="81" t="s">
        <v>995</v>
      </c>
      <c r="H1061" s="80" t="s">
        <v>2791</v>
      </c>
      <c r="I1061" s="92">
        <v>45715</v>
      </c>
      <c r="J1061" s="80" t="s">
        <v>170</v>
      </c>
      <c r="K1061" s="80" t="s">
        <v>156</v>
      </c>
      <c r="L1061" s="84" t="s">
        <v>171</v>
      </c>
      <c r="M1061" s="84" t="s">
        <v>71</v>
      </c>
      <c r="N1061" s="84" t="s">
        <v>72</v>
      </c>
      <c r="O1061" s="129" t="s">
        <v>5119</v>
      </c>
      <c r="P1061" s="122" t="s">
        <v>5120</v>
      </c>
      <c r="Q1061" s="49" t="s">
        <v>91</v>
      </c>
      <c r="R1061" s="25"/>
      <c r="S1061" s="26">
        <v>16</v>
      </c>
      <c r="T1061" s="26"/>
      <c r="U1061" s="28" t="s">
        <v>59</v>
      </c>
      <c r="V1061" s="66"/>
      <c r="W1061" s="106"/>
      <c r="X1061" s="106" t="s">
        <v>76</v>
      </c>
      <c r="Y1061" s="26" t="s">
        <v>76</v>
      </c>
      <c r="Z1061" s="75" t="s">
        <v>193</v>
      </c>
      <c r="AA1061" s="30" t="s">
        <v>76</v>
      </c>
      <c r="AB1061" s="25" t="s">
        <v>75</v>
      </c>
    </row>
    <row r="1062" spans="1:28" ht="49.5" hidden="1">
      <c r="A1062" s="98">
        <v>1052</v>
      </c>
      <c r="B1062" s="79" t="s">
        <v>5202</v>
      </c>
      <c r="C1062" s="148" t="s">
        <v>8</v>
      </c>
      <c r="D1062" s="80" t="s">
        <v>63</v>
      </c>
      <c r="E1062" s="27" t="s">
        <v>3023</v>
      </c>
      <c r="F1062" s="80" t="s">
        <v>120</v>
      </c>
      <c r="G1062" s="81" t="s">
        <v>818</v>
      </c>
      <c r="H1062" s="80" t="s">
        <v>3024</v>
      </c>
      <c r="I1062" s="92">
        <v>45715</v>
      </c>
      <c r="J1062" s="80" t="s">
        <v>3517</v>
      </c>
      <c r="K1062" s="80" t="s">
        <v>299</v>
      </c>
      <c r="L1062" s="84" t="s">
        <v>189</v>
      </c>
      <c r="M1062" s="84" t="s">
        <v>101</v>
      </c>
      <c r="N1062" s="84" t="s">
        <v>72</v>
      </c>
      <c r="O1062" s="129" t="s">
        <v>5203</v>
      </c>
      <c r="P1062" s="122" t="s">
        <v>5204</v>
      </c>
      <c r="Q1062" s="49" t="s">
        <v>91</v>
      </c>
      <c r="R1062" s="25"/>
      <c r="S1062" s="26">
        <v>12</v>
      </c>
      <c r="T1062" s="26"/>
      <c r="U1062" s="28" t="s">
        <v>5205</v>
      </c>
      <c r="V1062" s="66"/>
      <c r="W1062" s="106"/>
      <c r="X1062" s="106" t="s">
        <v>76</v>
      </c>
      <c r="Y1062" s="26" t="s">
        <v>76</v>
      </c>
      <c r="Z1062" s="75" t="s">
        <v>193</v>
      </c>
      <c r="AA1062" s="30" t="s">
        <v>76</v>
      </c>
    </row>
    <row r="1063" spans="1:28" ht="49.5" hidden="1">
      <c r="A1063" s="98">
        <v>1053</v>
      </c>
      <c r="B1063" s="79" t="s">
        <v>5206</v>
      </c>
      <c r="C1063" s="148" t="s">
        <v>8</v>
      </c>
      <c r="D1063" s="80" t="s">
        <v>63</v>
      </c>
      <c r="E1063" s="27" t="s">
        <v>994</v>
      </c>
      <c r="F1063" s="80" t="s">
        <v>109</v>
      </c>
      <c r="G1063" s="81" t="s">
        <v>995</v>
      </c>
      <c r="H1063" s="80" t="s">
        <v>996</v>
      </c>
      <c r="I1063" s="92">
        <v>45715</v>
      </c>
      <c r="J1063" s="80" t="s">
        <v>3517</v>
      </c>
      <c r="K1063" s="80" t="s">
        <v>299</v>
      </c>
      <c r="L1063" s="84" t="s">
        <v>189</v>
      </c>
      <c r="M1063" s="84" t="s">
        <v>101</v>
      </c>
      <c r="N1063" s="84" t="s">
        <v>72</v>
      </c>
      <c r="O1063" s="129" t="s">
        <v>5207</v>
      </c>
      <c r="P1063" s="122" t="s">
        <v>5208</v>
      </c>
      <c r="Q1063" s="49" t="s">
        <v>75</v>
      </c>
      <c r="R1063" s="25" t="s">
        <v>91</v>
      </c>
      <c r="S1063" s="26">
        <v>19</v>
      </c>
      <c r="T1063" s="26">
        <v>55</v>
      </c>
      <c r="U1063" s="28" t="s">
        <v>5209</v>
      </c>
      <c r="V1063" s="66"/>
      <c r="W1063" s="106"/>
      <c r="X1063" s="106" t="s">
        <v>516</v>
      </c>
      <c r="Y1063" s="26" t="s">
        <v>76</v>
      </c>
      <c r="Z1063" s="93" t="s">
        <v>93</v>
      </c>
      <c r="AA1063" s="30" t="s">
        <v>76</v>
      </c>
    </row>
    <row r="1064" spans="1:28" ht="71.25" hidden="1" customHeight="1">
      <c r="A1064" s="98">
        <v>1054</v>
      </c>
      <c r="B1064" s="79" t="s">
        <v>5210</v>
      </c>
      <c r="C1064" s="148" t="s">
        <v>5211</v>
      </c>
      <c r="D1064" s="80" t="s">
        <v>83</v>
      </c>
      <c r="E1064" s="27" t="s">
        <v>5212</v>
      </c>
      <c r="F1064" s="80" t="s">
        <v>109</v>
      </c>
      <c r="G1064" s="81" t="s">
        <v>85</v>
      </c>
      <c r="H1064" s="80" t="s">
        <v>299</v>
      </c>
      <c r="I1064" s="92">
        <v>45715</v>
      </c>
      <c r="J1064" s="80" t="s">
        <v>3517</v>
      </c>
      <c r="K1064" s="80" t="s">
        <v>5213</v>
      </c>
      <c r="L1064" s="84" t="s">
        <v>189</v>
      </c>
      <c r="M1064" s="84" t="s">
        <v>101</v>
      </c>
      <c r="N1064" s="84" t="s">
        <v>72</v>
      </c>
      <c r="O1064" s="129" t="s">
        <v>5214</v>
      </c>
      <c r="P1064" s="122" t="s">
        <v>5215</v>
      </c>
      <c r="Q1064" s="49" t="s">
        <v>75</v>
      </c>
      <c r="R1064" s="25" t="s">
        <v>91</v>
      </c>
      <c r="S1064" s="26">
        <v>18</v>
      </c>
      <c r="T1064" s="26">
        <v>54</v>
      </c>
      <c r="U1064" s="28" t="s">
        <v>5216</v>
      </c>
      <c r="V1064" s="66"/>
      <c r="W1064" s="106"/>
      <c r="X1064" s="106" t="s">
        <v>516</v>
      </c>
      <c r="Y1064" s="26" t="s">
        <v>76</v>
      </c>
      <c r="Z1064" s="93" t="s">
        <v>106</v>
      </c>
      <c r="AA1064" s="30" t="s">
        <v>76</v>
      </c>
    </row>
    <row r="1065" spans="1:28" ht="99" hidden="1">
      <c r="A1065" s="98">
        <v>1055</v>
      </c>
      <c r="B1065" s="79" t="s">
        <v>5217</v>
      </c>
      <c r="C1065" s="148" t="s">
        <v>8</v>
      </c>
      <c r="D1065" s="80" t="s">
        <v>63</v>
      </c>
      <c r="E1065" s="27" t="s">
        <v>723</v>
      </c>
      <c r="F1065" s="80" t="s">
        <v>109</v>
      </c>
      <c r="G1065" s="81" t="s">
        <v>686</v>
      </c>
      <c r="H1065" s="80" t="s">
        <v>724</v>
      </c>
      <c r="I1065" s="92">
        <v>45715</v>
      </c>
      <c r="J1065" s="80" t="s">
        <v>3494</v>
      </c>
      <c r="K1065" s="80" t="s">
        <v>198</v>
      </c>
      <c r="L1065" s="84" t="s">
        <v>199</v>
      </c>
      <c r="M1065" s="84" t="s">
        <v>200</v>
      </c>
      <c r="N1065" s="84" t="s">
        <v>72</v>
      </c>
      <c r="O1065" s="129" t="s">
        <v>5218</v>
      </c>
      <c r="P1065" s="122" t="s">
        <v>5219</v>
      </c>
      <c r="Q1065" s="49" t="s">
        <v>75</v>
      </c>
      <c r="R1065" s="25" t="s">
        <v>75</v>
      </c>
      <c r="S1065" s="143">
        <v>26</v>
      </c>
      <c r="T1065" s="143">
        <v>82</v>
      </c>
      <c r="U1065" s="28" t="s">
        <v>5220</v>
      </c>
      <c r="V1065" s="66" t="s">
        <v>75</v>
      </c>
      <c r="W1065" s="106" t="s">
        <v>4017</v>
      </c>
      <c r="X1065" s="106" t="s">
        <v>516</v>
      </c>
      <c r="Y1065" s="106" t="s">
        <v>3375</v>
      </c>
      <c r="Z1065" s="75" t="s">
        <v>79</v>
      </c>
      <c r="AA1065" s="30" t="s">
        <v>76</v>
      </c>
    </row>
    <row r="1066" spans="1:28" ht="49.5" hidden="1">
      <c r="A1066" s="98">
        <v>1056</v>
      </c>
      <c r="B1066" s="79" t="s">
        <v>5221</v>
      </c>
      <c r="C1066" s="148" t="s">
        <v>8</v>
      </c>
      <c r="D1066" s="80" t="s">
        <v>63</v>
      </c>
      <c r="E1066" s="27" t="s">
        <v>3666</v>
      </c>
      <c r="F1066" s="80" t="s">
        <v>65</v>
      </c>
      <c r="G1066" s="81" t="s">
        <v>995</v>
      </c>
      <c r="H1066" s="80" t="s">
        <v>3667</v>
      </c>
      <c r="I1066" s="92">
        <v>45717</v>
      </c>
      <c r="J1066" s="80" t="s">
        <v>3565</v>
      </c>
      <c r="K1066" s="80" t="s">
        <v>299</v>
      </c>
      <c r="L1066" s="84" t="s">
        <v>189</v>
      </c>
      <c r="M1066" s="84" t="s">
        <v>252</v>
      </c>
      <c r="N1066" s="84" t="s">
        <v>72</v>
      </c>
      <c r="O1066" s="129" t="s">
        <v>5222</v>
      </c>
      <c r="P1066" s="122" t="s">
        <v>5223</v>
      </c>
      <c r="Q1066" s="49" t="s">
        <v>91</v>
      </c>
      <c r="R1066" s="25"/>
      <c r="S1066" s="26">
        <v>7</v>
      </c>
      <c r="T1066" s="26" t="s">
        <v>5224</v>
      </c>
      <c r="U1066" s="28" t="s">
        <v>5225</v>
      </c>
      <c r="V1066" s="66"/>
      <c r="W1066" s="106"/>
      <c r="X1066" s="106" t="s">
        <v>76</v>
      </c>
      <c r="Y1066" s="26" t="s">
        <v>76</v>
      </c>
      <c r="Z1066" s="75" t="s">
        <v>193</v>
      </c>
      <c r="AA1066" s="30" t="s">
        <v>76</v>
      </c>
    </row>
    <row r="1067" spans="1:28" ht="99" hidden="1">
      <c r="A1067" s="98">
        <v>1057</v>
      </c>
      <c r="B1067" s="79" t="s">
        <v>5226</v>
      </c>
      <c r="C1067" s="148" t="s">
        <v>8</v>
      </c>
      <c r="D1067" s="80" t="s">
        <v>63</v>
      </c>
      <c r="E1067" s="27" t="s">
        <v>3770</v>
      </c>
      <c r="F1067" s="80" t="s">
        <v>120</v>
      </c>
      <c r="G1067" s="81" t="s">
        <v>995</v>
      </c>
      <c r="H1067" s="80" t="s">
        <v>3771</v>
      </c>
      <c r="I1067" s="92">
        <v>45717</v>
      </c>
      <c r="J1067" s="80" t="s">
        <v>3565</v>
      </c>
      <c r="K1067" s="80" t="s">
        <v>299</v>
      </c>
      <c r="L1067" s="84" t="s">
        <v>189</v>
      </c>
      <c r="M1067" s="84" t="s">
        <v>252</v>
      </c>
      <c r="N1067" s="84" t="s">
        <v>72</v>
      </c>
      <c r="O1067" s="129" t="s">
        <v>5227</v>
      </c>
      <c r="P1067" s="122" t="s">
        <v>5228</v>
      </c>
      <c r="Q1067" s="49" t="s">
        <v>91</v>
      </c>
      <c r="R1067" s="25"/>
      <c r="S1067" s="26">
        <v>10</v>
      </c>
      <c r="T1067" s="26" t="s">
        <v>5224</v>
      </c>
      <c r="U1067" s="28"/>
      <c r="V1067" s="66"/>
      <c r="W1067" s="106"/>
      <c r="X1067" s="106" t="s">
        <v>76</v>
      </c>
      <c r="Y1067" s="26" t="s">
        <v>76</v>
      </c>
      <c r="Z1067" s="75" t="s">
        <v>193</v>
      </c>
      <c r="AA1067" s="30" t="s">
        <v>76</v>
      </c>
    </row>
    <row r="1068" spans="1:28" ht="165" hidden="1">
      <c r="A1068" s="98">
        <v>1058</v>
      </c>
      <c r="B1068" s="79" t="s">
        <v>5229</v>
      </c>
      <c r="C1068" s="148" t="s">
        <v>8</v>
      </c>
      <c r="D1068" s="80" t="s">
        <v>63</v>
      </c>
      <c r="E1068" s="27" t="s">
        <v>1694</v>
      </c>
      <c r="F1068" s="80" t="s">
        <v>109</v>
      </c>
      <c r="G1068" s="81" t="s">
        <v>1522</v>
      </c>
      <c r="H1068" s="80" t="s">
        <v>1695</v>
      </c>
      <c r="I1068" s="92">
        <v>45717</v>
      </c>
      <c r="J1068" s="80" t="s">
        <v>3505</v>
      </c>
      <c r="K1068" s="80" t="s">
        <v>188</v>
      </c>
      <c r="L1068" s="84" t="s">
        <v>100</v>
      </c>
      <c r="M1068" s="84" t="s">
        <v>252</v>
      </c>
      <c r="N1068" s="84" t="s">
        <v>72</v>
      </c>
      <c r="O1068" s="129" t="s">
        <v>5230</v>
      </c>
      <c r="P1068" s="128" t="s">
        <v>5231</v>
      </c>
      <c r="Q1068" s="49" t="s">
        <v>75</v>
      </c>
      <c r="R1068" s="25" t="s">
        <v>91</v>
      </c>
      <c r="S1068" s="26">
        <v>18</v>
      </c>
      <c r="T1068" s="26">
        <v>58</v>
      </c>
      <c r="U1068" s="28" t="s">
        <v>5232</v>
      </c>
      <c r="V1068" s="66"/>
      <c r="W1068" s="106"/>
      <c r="X1068" s="106" t="s">
        <v>516</v>
      </c>
      <c r="Y1068" s="26" t="s">
        <v>76</v>
      </c>
      <c r="Z1068" s="75" t="s">
        <v>106</v>
      </c>
      <c r="AA1068" s="30" t="s">
        <v>76</v>
      </c>
    </row>
    <row r="1069" spans="1:28" ht="66">
      <c r="A1069" s="88">
        <v>1059</v>
      </c>
      <c r="B1069" s="79" t="s">
        <v>5233</v>
      </c>
      <c r="C1069" s="148" t="s">
        <v>9</v>
      </c>
      <c r="D1069" s="80" t="s">
        <v>63</v>
      </c>
      <c r="E1069" s="27" t="s">
        <v>5234</v>
      </c>
      <c r="F1069" s="80" t="s">
        <v>65</v>
      </c>
      <c r="G1069" s="81" t="s">
        <v>5174</v>
      </c>
      <c r="H1069" s="80" t="s">
        <v>5235</v>
      </c>
      <c r="I1069" s="92">
        <v>45717</v>
      </c>
      <c r="J1069" s="80" t="s">
        <v>4385</v>
      </c>
      <c r="K1069" s="80" t="s">
        <v>4386</v>
      </c>
      <c r="L1069" s="84" t="s">
        <v>4387</v>
      </c>
      <c r="M1069" s="84" t="s">
        <v>252</v>
      </c>
      <c r="N1069" s="84" t="s">
        <v>72</v>
      </c>
      <c r="O1069" s="129" t="s">
        <v>5236</v>
      </c>
      <c r="P1069" s="122" t="s">
        <v>5237</v>
      </c>
      <c r="Q1069" s="49" t="s">
        <v>75</v>
      </c>
      <c r="R1069" s="25" t="s">
        <v>91</v>
      </c>
      <c r="S1069" s="26">
        <v>19</v>
      </c>
      <c r="T1069" s="26">
        <v>61</v>
      </c>
      <c r="U1069" s="28" t="s">
        <v>5238</v>
      </c>
      <c r="V1069" s="66"/>
      <c r="W1069" s="106"/>
      <c r="X1069" s="106" t="s">
        <v>516</v>
      </c>
      <c r="Y1069" s="26" t="s">
        <v>76</v>
      </c>
      <c r="Z1069" s="75" t="s">
        <v>93</v>
      </c>
      <c r="AA1069" s="30" t="s">
        <v>76</v>
      </c>
    </row>
    <row r="1070" spans="1:28" ht="49.5">
      <c r="A1070" s="88">
        <v>1060</v>
      </c>
      <c r="B1070" s="79" t="s">
        <v>5239</v>
      </c>
      <c r="C1070" s="148" t="s">
        <v>9</v>
      </c>
      <c r="D1070" s="80" t="s">
        <v>83</v>
      </c>
      <c r="E1070" s="27" t="s">
        <v>5240</v>
      </c>
      <c r="F1070" s="80" t="s">
        <v>338</v>
      </c>
      <c r="G1070" s="81" t="s">
        <v>5241</v>
      </c>
      <c r="H1070" s="80" t="s">
        <v>5242</v>
      </c>
      <c r="I1070" s="92">
        <v>45720</v>
      </c>
      <c r="J1070" s="80" t="s">
        <v>4385</v>
      </c>
      <c r="K1070" s="80" t="s">
        <v>4386</v>
      </c>
      <c r="L1070" s="84" t="s">
        <v>4387</v>
      </c>
      <c r="M1070" s="84" t="s">
        <v>252</v>
      </c>
      <c r="N1070" s="84" t="s">
        <v>72</v>
      </c>
      <c r="O1070" s="129" t="s">
        <v>5243</v>
      </c>
      <c r="P1070" s="122" t="s">
        <v>5244</v>
      </c>
      <c r="Q1070" s="49" t="s">
        <v>75</v>
      </c>
      <c r="R1070" s="25" t="s">
        <v>91</v>
      </c>
      <c r="S1070" s="26">
        <v>19</v>
      </c>
      <c r="T1070" s="26">
        <v>63</v>
      </c>
      <c r="U1070" s="28" t="s">
        <v>5245</v>
      </c>
      <c r="V1070" s="66"/>
      <c r="W1070" s="106"/>
      <c r="X1070" s="106" t="s">
        <v>516</v>
      </c>
      <c r="Y1070" s="26" t="s">
        <v>76</v>
      </c>
      <c r="Z1070" s="75" t="s">
        <v>93</v>
      </c>
      <c r="AA1070" s="30" t="s">
        <v>76</v>
      </c>
    </row>
    <row r="1071" spans="1:28" ht="82.5">
      <c r="A1071" s="88">
        <v>1061</v>
      </c>
      <c r="B1071" s="79" t="s">
        <v>5246</v>
      </c>
      <c r="C1071" s="148" t="s">
        <v>9</v>
      </c>
      <c r="D1071" s="80" t="s">
        <v>83</v>
      </c>
      <c r="E1071" s="27" t="s">
        <v>5247</v>
      </c>
      <c r="F1071" s="80" t="s">
        <v>284</v>
      </c>
      <c r="G1071" s="81" t="s">
        <v>5241</v>
      </c>
      <c r="H1071" s="80" t="s">
        <v>5248</v>
      </c>
      <c r="I1071" s="92">
        <v>45720</v>
      </c>
      <c r="J1071" s="80" t="s">
        <v>4385</v>
      </c>
      <c r="K1071" s="80" t="s">
        <v>4386</v>
      </c>
      <c r="L1071" s="84" t="s">
        <v>4387</v>
      </c>
      <c r="M1071" s="84" t="s">
        <v>252</v>
      </c>
      <c r="N1071" s="84" t="s">
        <v>72</v>
      </c>
      <c r="O1071" s="129" t="s">
        <v>5249</v>
      </c>
      <c r="P1071" s="122" t="s">
        <v>5250</v>
      </c>
      <c r="Q1071" s="49" t="s">
        <v>75</v>
      </c>
      <c r="R1071" s="25" t="s">
        <v>91</v>
      </c>
      <c r="S1071" s="26">
        <v>22</v>
      </c>
      <c r="T1071" s="26">
        <v>68</v>
      </c>
      <c r="U1071" s="28" t="s">
        <v>5251</v>
      </c>
      <c r="V1071" s="66"/>
      <c r="W1071" s="106"/>
      <c r="X1071" s="106" t="s">
        <v>516</v>
      </c>
      <c r="Y1071" s="26" t="s">
        <v>76</v>
      </c>
      <c r="Z1071" s="75" t="s">
        <v>93</v>
      </c>
      <c r="AA1071" s="30" t="s">
        <v>76</v>
      </c>
    </row>
    <row r="1072" spans="1:28" ht="99">
      <c r="A1072" s="88">
        <v>1062</v>
      </c>
      <c r="B1072" s="79" t="s">
        <v>5252</v>
      </c>
      <c r="C1072" s="148" t="s">
        <v>9</v>
      </c>
      <c r="D1072" s="80" t="s">
        <v>4392</v>
      </c>
      <c r="E1072" s="27" t="s">
        <v>5253</v>
      </c>
      <c r="F1072" s="80" t="s">
        <v>109</v>
      </c>
      <c r="G1072" s="81" t="s">
        <v>5149</v>
      </c>
      <c r="H1072" s="80" t="s">
        <v>5254</v>
      </c>
      <c r="I1072" s="92">
        <v>45720</v>
      </c>
      <c r="J1072" s="80" t="s">
        <v>4385</v>
      </c>
      <c r="K1072" s="80" t="s">
        <v>4386</v>
      </c>
      <c r="L1072" s="84" t="s">
        <v>4387</v>
      </c>
      <c r="M1072" s="84" t="s">
        <v>252</v>
      </c>
      <c r="N1072" s="84" t="s">
        <v>72</v>
      </c>
      <c r="O1072" s="129" t="s">
        <v>5255</v>
      </c>
      <c r="P1072" s="122" t="s">
        <v>5256</v>
      </c>
      <c r="Q1072" s="49" t="s">
        <v>75</v>
      </c>
      <c r="R1072" s="25" t="s">
        <v>91</v>
      </c>
      <c r="S1072" s="26">
        <v>20</v>
      </c>
      <c r="T1072" s="26">
        <v>64</v>
      </c>
      <c r="U1072" s="28" t="s">
        <v>5257</v>
      </c>
      <c r="V1072" s="66"/>
      <c r="W1072" s="106"/>
      <c r="X1072" s="106" t="s">
        <v>516</v>
      </c>
      <c r="Y1072" s="26" t="s">
        <v>76</v>
      </c>
      <c r="Z1072" s="75" t="s">
        <v>93</v>
      </c>
      <c r="AA1072" s="30" t="s">
        <v>76</v>
      </c>
    </row>
    <row r="1073" spans="1:28" ht="66">
      <c r="A1073" s="88">
        <v>1063</v>
      </c>
      <c r="B1073" s="79" t="s">
        <v>5258</v>
      </c>
      <c r="C1073" s="148" t="s">
        <v>9</v>
      </c>
      <c r="D1073" s="80" t="s">
        <v>83</v>
      </c>
      <c r="E1073" s="27" t="s">
        <v>5259</v>
      </c>
      <c r="F1073" s="80" t="s">
        <v>65</v>
      </c>
      <c r="G1073" s="81" t="s">
        <v>5241</v>
      </c>
      <c r="H1073" s="80" t="s">
        <v>5260</v>
      </c>
      <c r="I1073" s="92">
        <v>45720</v>
      </c>
      <c r="J1073" s="80" t="s">
        <v>4385</v>
      </c>
      <c r="K1073" s="80" t="s">
        <v>4386</v>
      </c>
      <c r="L1073" s="84" t="s">
        <v>4387</v>
      </c>
      <c r="M1073" s="84" t="s">
        <v>252</v>
      </c>
      <c r="N1073" s="84" t="s">
        <v>72</v>
      </c>
      <c r="O1073" s="129" t="s">
        <v>5261</v>
      </c>
      <c r="P1073" s="122" t="s">
        <v>5262</v>
      </c>
      <c r="Q1073" s="49" t="s">
        <v>75</v>
      </c>
      <c r="R1073" s="25" t="s">
        <v>91</v>
      </c>
      <c r="S1073" s="26">
        <v>19</v>
      </c>
      <c r="T1073" s="26">
        <v>63</v>
      </c>
      <c r="U1073" s="28" t="s">
        <v>5263</v>
      </c>
      <c r="V1073" s="66"/>
      <c r="W1073" s="106"/>
      <c r="X1073" s="106" t="s">
        <v>516</v>
      </c>
      <c r="Y1073" s="26" t="s">
        <v>76</v>
      </c>
      <c r="Z1073" s="75" t="s">
        <v>93</v>
      </c>
      <c r="AA1073" s="30" t="s">
        <v>76</v>
      </c>
    </row>
    <row r="1074" spans="1:28" ht="33">
      <c r="A1074" s="88">
        <v>1064</v>
      </c>
      <c r="B1074" s="79" t="s">
        <v>5264</v>
      </c>
      <c r="C1074" s="148" t="s">
        <v>9</v>
      </c>
      <c r="D1074" s="80" t="s">
        <v>4392</v>
      </c>
      <c r="E1074" s="27" t="s">
        <v>5265</v>
      </c>
      <c r="F1074" s="80" t="s">
        <v>120</v>
      </c>
      <c r="G1074" s="81" t="s">
        <v>5149</v>
      </c>
      <c r="H1074" s="80" t="s">
        <v>4425</v>
      </c>
      <c r="I1074" s="92">
        <v>45720</v>
      </c>
      <c r="J1074" s="80" t="s">
        <v>4385</v>
      </c>
      <c r="K1074" s="80" t="s">
        <v>4386</v>
      </c>
      <c r="L1074" s="84" t="s">
        <v>4387</v>
      </c>
      <c r="M1074" s="84" t="s">
        <v>252</v>
      </c>
      <c r="N1074" s="84" t="s">
        <v>72</v>
      </c>
      <c r="O1074" s="129" t="s">
        <v>5266</v>
      </c>
      <c r="P1074" s="122" t="s">
        <v>5267</v>
      </c>
      <c r="Q1074" s="49" t="s">
        <v>75</v>
      </c>
      <c r="R1074" s="25" t="s">
        <v>91</v>
      </c>
      <c r="S1074" s="26">
        <v>20</v>
      </c>
      <c r="T1074" s="26">
        <v>62</v>
      </c>
      <c r="U1074" s="28" t="s">
        <v>5268</v>
      </c>
      <c r="V1074" s="66"/>
      <c r="W1074" s="106"/>
      <c r="X1074" s="106" t="s">
        <v>516</v>
      </c>
      <c r="Y1074" s="26" t="s">
        <v>76</v>
      </c>
      <c r="Z1074" s="75" t="s">
        <v>93</v>
      </c>
      <c r="AA1074" s="30" t="s">
        <v>76</v>
      </c>
    </row>
    <row r="1075" spans="1:28" ht="33">
      <c r="A1075" s="88">
        <v>1065</v>
      </c>
      <c r="B1075" s="79" t="s">
        <v>5269</v>
      </c>
      <c r="C1075" s="148" t="s">
        <v>9</v>
      </c>
      <c r="D1075" s="80" t="s">
        <v>83</v>
      </c>
      <c r="E1075" s="27" t="s">
        <v>5270</v>
      </c>
      <c r="F1075" s="80" t="s">
        <v>284</v>
      </c>
      <c r="G1075" s="81" t="s">
        <v>5241</v>
      </c>
      <c r="H1075" s="80" t="s">
        <v>5271</v>
      </c>
      <c r="I1075" s="92">
        <v>45720</v>
      </c>
      <c r="J1075" s="80" t="s">
        <v>4385</v>
      </c>
      <c r="K1075" s="80" t="s">
        <v>4386</v>
      </c>
      <c r="L1075" s="84" t="s">
        <v>4387</v>
      </c>
      <c r="M1075" s="84" t="s">
        <v>252</v>
      </c>
      <c r="N1075" s="84" t="s">
        <v>72</v>
      </c>
      <c r="O1075" s="129" t="s">
        <v>5272</v>
      </c>
      <c r="P1075" s="122" t="s">
        <v>5273</v>
      </c>
      <c r="Q1075" s="49" t="s">
        <v>75</v>
      </c>
      <c r="R1075" s="25" t="s">
        <v>91</v>
      </c>
      <c r="S1075" s="26">
        <v>19</v>
      </c>
      <c r="T1075" s="26">
        <v>63</v>
      </c>
      <c r="U1075" s="28" t="s">
        <v>5274</v>
      </c>
      <c r="V1075" s="66"/>
      <c r="W1075" s="106"/>
      <c r="X1075" s="106" t="s">
        <v>516</v>
      </c>
      <c r="Y1075" s="26" t="s">
        <v>76</v>
      </c>
      <c r="Z1075" s="75" t="s">
        <v>93</v>
      </c>
      <c r="AA1075" s="30" t="s">
        <v>76</v>
      </c>
    </row>
    <row r="1076" spans="1:28" ht="33">
      <c r="A1076" s="88">
        <v>1066</v>
      </c>
      <c r="B1076" s="79" t="s">
        <v>5275</v>
      </c>
      <c r="C1076" s="148" t="s">
        <v>9</v>
      </c>
      <c r="D1076" s="80" t="s">
        <v>83</v>
      </c>
      <c r="E1076" s="27" t="s">
        <v>5276</v>
      </c>
      <c r="F1076" s="80" t="s">
        <v>65</v>
      </c>
      <c r="G1076" s="81" t="s">
        <v>5241</v>
      </c>
      <c r="H1076" s="80" t="s">
        <v>5277</v>
      </c>
      <c r="I1076" s="92">
        <v>45720</v>
      </c>
      <c r="J1076" s="80" t="s">
        <v>4385</v>
      </c>
      <c r="K1076" s="80" t="s">
        <v>4386</v>
      </c>
      <c r="L1076" s="84" t="s">
        <v>4387</v>
      </c>
      <c r="M1076" s="84" t="s">
        <v>252</v>
      </c>
      <c r="N1076" s="84" t="s">
        <v>72</v>
      </c>
      <c r="O1076" s="129" t="s">
        <v>5278</v>
      </c>
      <c r="P1076" s="122" t="s">
        <v>5279</v>
      </c>
      <c r="Q1076" s="49" t="s">
        <v>75</v>
      </c>
      <c r="R1076" s="25" t="s">
        <v>91</v>
      </c>
      <c r="S1076" s="147">
        <v>19</v>
      </c>
      <c r="T1076" s="147">
        <v>62</v>
      </c>
      <c r="U1076" s="28" t="s">
        <v>4469</v>
      </c>
      <c r="V1076" s="66"/>
      <c r="W1076" s="106"/>
      <c r="X1076" s="106" t="s">
        <v>516</v>
      </c>
      <c r="Y1076" s="26" t="s">
        <v>76</v>
      </c>
      <c r="Z1076" s="75" t="s">
        <v>93</v>
      </c>
      <c r="AA1076" s="30" t="s">
        <v>76</v>
      </c>
    </row>
    <row r="1077" spans="1:28" ht="33">
      <c r="A1077" s="88">
        <v>1067</v>
      </c>
      <c r="B1077" s="79" t="s">
        <v>5280</v>
      </c>
      <c r="C1077" s="148" t="s">
        <v>9</v>
      </c>
      <c r="D1077" s="80" t="s">
        <v>4392</v>
      </c>
      <c r="E1077" s="27" t="s">
        <v>5281</v>
      </c>
      <c r="F1077" s="80" t="s">
        <v>109</v>
      </c>
      <c r="G1077" s="81" t="s">
        <v>5149</v>
      </c>
      <c r="H1077" s="80" t="s">
        <v>5282</v>
      </c>
      <c r="I1077" s="92">
        <v>45720</v>
      </c>
      <c r="J1077" s="80" t="s">
        <v>4385</v>
      </c>
      <c r="K1077" s="80" t="s">
        <v>4386</v>
      </c>
      <c r="L1077" s="84" t="s">
        <v>4387</v>
      </c>
      <c r="M1077" s="84" t="s">
        <v>252</v>
      </c>
      <c r="N1077" s="84" t="s">
        <v>72</v>
      </c>
      <c r="O1077" s="129" t="s">
        <v>5283</v>
      </c>
      <c r="P1077" s="122" t="s">
        <v>5284</v>
      </c>
      <c r="Q1077" s="49" t="s">
        <v>75</v>
      </c>
      <c r="R1077" s="25" t="s">
        <v>91</v>
      </c>
      <c r="S1077" s="26">
        <v>18</v>
      </c>
      <c r="T1077" s="26">
        <v>61</v>
      </c>
      <c r="U1077" s="28" t="s">
        <v>5285</v>
      </c>
      <c r="V1077" s="66"/>
      <c r="W1077" s="106"/>
      <c r="X1077" s="106" t="s">
        <v>516</v>
      </c>
      <c r="Y1077" s="26" t="s">
        <v>76</v>
      </c>
      <c r="Z1077" s="75" t="s">
        <v>93</v>
      </c>
      <c r="AA1077" s="30" t="s">
        <v>76</v>
      </c>
    </row>
    <row r="1078" spans="1:28" ht="49.5" hidden="1">
      <c r="A1078" s="88">
        <v>1068</v>
      </c>
      <c r="B1078" s="79" t="s">
        <v>5286</v>
      </c>
      <c r="C1078" s="148" t="s">
        <v>8</v>
      </c>
      <c r="D1078" s="80" t="s">
        <v>63</v>
      </c>
      <c r="E1078" s="27" t="s">
        <v>3208</v>
      </c>
      <c r="F1078" s="80" t="s">
        <v>65</v>
      </c>
      <c r="G1078" s="81" t="s">
        <v>2762</v>
      </c>
      <c r="H1078" s="80" t="s">
        <v>3209</v>
      </c>
      <c r="I1078" s="92">
        <v>45720</v>
      </c>
      <c r="J1078" s="80" t="s">
        <v>5287</v>
      </c>
      <c r="K1078" s="80" t="s">
        <v>198</v>
      </c>
      <c r="L1078" s="84" t="s">
        <v>199</v>
      </c>
      <c r="M1078" s="84" t="s">
        <v>252</v>
      </c>
      <c r="N1078" s="84" t="s">
        <v>72</v>
      </c>
      <c r="O1078" s="129" t="s">
        <v>5288</v>
      </c>
      <c r="P1078" s="122" t="s">
        <v>5289</v>
      </c>
      <c r="Q1078" s="49" t="s">
        <v>75</v>
      </c>
      <c r="R1078" s="25" t="s">
        <v>91</v>
      </c>
      <c r="S1078" s="26">
        <v>18</v>
      </c>
      <c r="T1078" s="26">
        <v>54</v>
      </c>
      <c r="U1078" s="28" t="s">
        <v>5290</v>
      </c>
      <c r="V1078" s="66"/>
      <c r="W1078" s="106"/>
      <c r="X1078" s="106" t="s">
        <v>516</v>
      </c>
      <c r="Y1078" s="106" t="s">
        <v>76</v>
      </c>
      <c r="Z1078" s="75" t="s">
        <v>93</v>
      </c>
      <c r="AA1078" s="30" t="s">
        <v>76</v>
      </c>
    </row>
    <row r="1079" spans="1:28" ht="102" hidden="1" customHeight="1">
      <c r="A1079" s="88">
        <v>1069</v>
      </c>
      <c r="B1079" s="79" t="s">
        <v>5291</v>
      </c>
      <c r="C1079" s="148" t="s">
        <v>10</v>
      </c>
      <c r="D1079" s="80" t="s">
        <v>63</v>
      </c>
      <c r="E1079" s="27" t="s">
        <v>5292</v>
      </c>
      <c r="F1079" s="80" t="s">
        <v>120</v>
      </c>
      <c r="G1079" s="81" t="s">
        <v>5293</v>
      </c>
      <c r="H1079" s="80" t="s">
        <v>5294</v>
      </c>
      <c r="I1079" s="92">
        <v>45720</v>
      </c>
      <c r="J1079" s="80" t="s">
        <v>4066</v>
      </c>
      <c r="K1079" s="80" t="s">
        <v>1654</v>
      </c>
      <c r="L1079" s="84" t="s">
        <v>10</v>
      </c>
      <c r="M1079" s="84" t="s">
        <v>252</v>
      </c>
      <c r="N1079" s="84" t="s">
        <v>72</v>
      </c>
      <c r="O1079" s="308" t="s">
        <v>5295</v>
      </c>
      <c r="P1079" s="122" t="s">
        <v>5296</v>
      </c>
      <c r="Q1079" s="49" t="s">
        <v>75</v>
      </c>
      <c r="R1079" s="25" t="s">
        <v>91</v>
      </c>
      <c r="S1079" s="26">
        <v>21</v>
      </c>
      <c r="T1079" s="26">
        <v>40</v>
      </c>
      <c r="U1079" s="28" t="s">
        <v>5297</v>
      </c>
      <c r="V1079" s="66"/>
      <c r="W1079" s="106"/>
      <c r="X1079" s="106" t="s">
        <v>516</v>
      </c>
      <c r="Y1079" s="26" t="s">
        <v>76</v>
      </c>
      <c r="Z1079" s="75" t="s">
        <v>93</v>
      </c>
      <c r="AA1079" s="30" t="s">
        <v>76</v>
      </c>
    </row>
    <row r="1080" spans="1:28" ht="49.5" hidden="1">
      <c r="A1080" s="88">
        <v>1070</v>
      </c>
      <c r="B1080" s="79" t="s">
        <v>5298</v>
      </c>
      <c r="C1080" s="148" t="s">
        <v>10</v>
      </c>
      <c r="D1080" s="80" t="s">
        <v>63</v>
      </c>
      <c r="E1080" s="27" t="s">
        <v>5299</v>
      </c>
      <c r="F1080" s="80" t="s">
        <v>109</v>
      </c>
      <c r="G1080" s="81" t="s">
        <v>5293</v>
      </c>
      <c r="H1080" s="80" t="s">
        <v>5300</v>
      </c>
      <c r="I1080" s="92">
        <v>45720</v>
      </c>
      <c r="J1080" s="80" t="s">
        <v>4066</v>
      </c>
      <c r="K1080" s="80" t="s">
        <v>1654</v>
      </c>
      <c r="L1080" s="84" t="s">
        <v>10</v>
      </c>
      <c r="M1080" s="84" t="s">
        <v>252</v>
      </c>
      <c r="N1080" s="84" t="s">
        <v>72</v>
      </c>
      <c r="O1080" s="308" t="s">
        <v>5301</v>
      </c>
      <c r="P1080" s="122" t="s">
        <v>5302</v>
      </c>
      <c r="Q1080" s="49" t="s">
        <v>75</v>
      </c>
      <c r="R1080" s="25" t="s">
        <v>91</v>
      </c>
      <c r="S1080" s="26">
        <v>26</v>
      </c>
      <c r="T1080" s="26">
        <v>45</v>
      </c>
      <c r="U1080" s="28" t="s">
        <v>5303</v>
      </c>
      <c r="V1080" s="66"/>
      <c r="W1080" s="106"/>
      <c r="X1080" s="106" t="s">
        <v>516</v>
      </c>
      <c r="Y1080" s="26" t="s">
        <v>76</v>
      </c>
      <c r="Z1080" s="75" t="s">
        <v>106</v>
      </c>
      <c r="AA1080" s="30" t="s">
        <v>76</v>
      </c>
    </row>
    <row r="1081" spans="1:28" ht="39.75" hidden="1" customHeight="1">
      <c r="A1081" s="88">
        <v>1071</v>
      </c>
      <c r="B1081" s="79" t="s">
        <v>5304</v>
      </c>
      <c r="C1081" s="148" t="s">
        <v>8</v>
      </c>
      <c r="D1081" s="80" t="s">
        <v>63</v>
      </c>
      <c r="E1081" s="27" t="s">
        <v>2945</v>
      </c>
      <c r="F1081" s="80" t="s">
        <v>120</v>
      </c>
      <c r="G1081" s="81" t="s">
        <v>2076</v>
      </c>
      <c r="H1081" s="80" t="s">
        <v>2946</v>
      </c>
      <c r="I1081" s="92">
        <v>45720</v>
      </c>
      <c r="J1081" s="80" t="s">
        <v>3526</v>
      </c>
      <c r="K1081" s="80" t="s">
        <v>299</v>
      </c>
      <c r="L1081" s="84" t="s">
        <v>189</v>
      </c>
      <c r="M1081" s="84" t="s">
        <v>114</v>
      </c>
      <c r="N1081" s="84" t="s">
        <v>72</v>
      </c>
      <c r="O1081" s="129" t="s">
        <v>5305</v>
      </c>
      <c r="P1081" s="122"/>
      <c r="Q1081" s="49" t="s">
        <v>75</v>
      </c>
      <c r="R1081" s="25" t="s">
        <v>91</v>
      </c>
      <c r="S1081" s="26">
        <v>10</v>
      </c>
      <c r="T1081" s="26">
        <v>58</v>
      </c>
      <c r="U1081" s="28" t="s">
        <v>5306</v>
      </c>
      <c r="V1081" s="66"/>
      <c r="W1081" s="106"/>
      <c r="X1081" s="106" t="s">
        <v>516</v>
      </c>
      <c r="Y1081" s="26" t="s">
        <v>76</v>
      </c>
      <c r="Z1081" s="93" t="s">
        <v>93</v>
      </c>
      <c r="AA1081" s="30" t="s">
        <v>76</v>
      </c>
    </row>
    <row r="1082" spans="1:28" ht="39.75" hidden="1" customHeight="1">
      <c r="A1082" s="88">
        <v>1072</v>
      </c>
      <c r="B1082" s="79" t="s">
        <v>5307</v>
      </c>
      <c r="C1082" s="148" t="s">
        <v>8</v>
      </c>
      <c r="D1082" s="80" t="s">
        <v>63</v>
      </c>
      <c r="E1082" s="27" t="s">
        <v>2636</v>
      </c>
      <c r="F1082" s="80" t="s">
        <v>120</v>
      </c>
      <c r="G1082" s="81" t="s">
        <v>995</v>
      </c>
      <c r="H1082" s="80" t="s">
        <v>2637</v>
      </c>
      <c r="I1082" s="92">
        <v>45720</v>
      </c>
      <c r="J1082" s="80" t="s">
        <v>3512</v>
      </c>
      <c r="K1082" s="80" t="s">
        <v>299</v>
      </c>
      <c r="L1082" s="84" t="s">
        <v>189</v>
      </c>
      <c r="M1082" s="84" t="s">
        <v>221</v>
      </c>
      <c r="N1082" s="84" t="s">
        <v>72</v>
      </c>
      <c r="O1082" s="129" t="s">
        <v>5308</v>
      </c>
      <c r="P1082" s="122"/>
      <c r="Q1082" s="49" t="s">
        <v>75</v>
      </c>
      <c r="R1082" s="25" t="s">
        <v>91</v>
      </c>
      <c r="S1082" s="26">
        <v>20</v>
      </c>
      <c r="T1082" s="26">
        <v>68</v>
      </c>
      <c r="U1082" s="28" t="s">
        <v>5306</v>
      </c>
      <c r="V1082" s="66"/>
      <c r="W1082" s="106"/>
      <c r="X1082" s="106" t="s">
        <v>516</v>
      </c>
      <c r="Y1082" s="26" t="s">
        <v>76</v>
      </c>
      <c r="Z1082" s="93" t="s">
        <v>93</v>
      </c>
      <c r="AA1082" s="30" t="s">
        <v>76</v>
      </c>
    </row>
    <row r="1083" spans="1:28" ht="99" hidden="1">
      <c r="A1083" s="88">
        <v>1073</v>
      </c>
      <c r="B1083" s="79" t="s">
        <v>5309</v>
      </c>
      <c r="C1083" s="148" t="s">
        <v>8</v>
      </c>
      <c r="D1083" s="80" t="s">
        <v>63</v>
      </c>
      <c r="E1083" s="27" t="s">
        <v>3946</v>
      </c>
      <c r="F1083" s="80" t="s">
        <v>284</v>
      </c>
      <c r="G1083" s="81" t="s">
        <v>2762</v>
      </c>
      <c r="H1083" s="80" t="s">
        <v>3947</v>
      </c>
      <c r="I1083" s="92">
        <v>45720</v>
      </c>
      <c r="J1083" s="80" t="s">
        <v>5287</v>
      </c>
      <c r="K1083" s="80" t="s">
        <v>198</v>
      </c>
      <c r="L1083" s="84" t="s">
        <v>199</v>
      </c>
      <c r="M1083" s="84" t="s">
        <v>252</v>
      </c>
      <c r="N1083" s="84" t="s">
        <v>72</v>
      </c>
      <c r="O1083" s="129" t="s">
        <v>5310</v>
      </c>
      <c r="P1083" s="122" t="s">
        <v>5311</v>
      </c>
      <c r="Q1083" s="49" t="s">
        <v>91</v>
      </c>
      <c r="R1083" s="25"/>
      <c r="S1083" s="26">
        <v>4</v>
      </c>
      <c r="T1083" s="26"/>
      <c r="U1083" s="28" t="s">
        <v>5312</v>
      </c>
      <c r="V1083" s="66"/>
      <c r="W1083" s="106"/>
      <c r="X1083" s="106" t="s">
        <v>76</v>
      </c>
      <c r="Y1083" s="26" t="s">
        <v>76</v>
      </c>
      <c r="Z1083" s="75" t="s">
        <v>193</v>
      </c>
      <c r="AA1083" s="30" t="s">
        <v>76</v>
      </c>
      <c r="AB1083" s="25" t="s">
        <v>75</v>
      </c>
    </row>
    <row r="1084" spans="1:28" ht="33">
      <c r="A1084" s="88">
        <v>1074</v>
      </c>
      <c r="B1084" s="79" t="s">
        <v>5313</v>
      </c>
      <c r="C1084" s="148" t="s">
        <v>9</v>
      </c>
      <c r="D1084" s="80" t="s">
        <v>83</v>
      </c>
      <c r="E1084" s="27">
        <v>1302541</v>
      </c>
      <c r="F1084" s="80" t="s">
        <v>2896</v>
      </c>
      <c r="G1084" s="81" t="s">
        <v>4636</v>
      </c>
      <c r="H1084" s="80" t="s">
        <v>4661</v>
      </c>
      <c r="I1084" s="92">
        <v>45720</v>
      </c>
      <c r="J1084" s="80" t="s">
        <v>4385</v>
      </c>
      <c r="K1084" s="80" t="s">
        <v>4386</v>
      </c>
      <c r="L1084" s="84" t="s">
        <v>4387</v>
      </c>
      <c r="M1084" s="84" t="s">
        <v>252</v>
      </c>
      <c r="N1084" s="84" t="s">
        <v>72</v>
      </c>
      <c r="O1084" s="129" t="s">
        <v>5314</v>
      </c>
      <c r="P1084" s="122" t="s">
        <v>5315</v>
      </c>
      <c r="Q1084" s="49" t="s">
        <v>91</v>
      </c>
      <c r="R1084" s="25"/>
      <c r="S1084" s="26">
        <v>14</v>
      </c>
      <c r="T1084" s="146"/>
      <c r="U1084" s="28" t="s">
        <v>5316</v>
      </c>
      <c r="V1084" s="66"/>
      <c r="W1084" s="106"/>
      <c r="X1084" s="106" t="s">
        <v>76</v>
      </c>
      <c r="Y1084" s="26" t="s">
        <v>76</v>
      </c>
      <c r="Z1084" s="75"/>
      <c r="AA1084" s="30" t="s">
        <v>5061</v>
      </c>
    </row>
    <row r="1085" spans="1:28" ht="36" hidden="1" customHeight="1">
      <c r="A1085" s="88">
        <v>1075</v>
      </c>
      <c r="B1085" s="79" t="s">
        <v>5317</v>
      </c>
      <c r="C1085" s="148" t="s">
        <v>8</v>
      </c>
      <c r="D1085" s="80" t="s">
        <v>63</v>
      </c>
      <c r="E1085" s="27" t="s">
        <v>2465</v>
      </c>
      <c r="F1085" s="80" t="s">
        <v>120</v>
      </c>
      <c r="G1085" s="81" t="s">
        <v>1562</v>
      </c>
      <c r="H1085" s="80" t="s">
        <v>2466</v>
      </c>
      <c r="I1085" s="92">
        <v>45721</v>
      </c>
      <c r="J1085" s="80" t="s">
        <v>3512</v>
      </c>
      <c r="K1085" s="80" t="s">
        <v>198</v>
      </c>
      <c r="L1085" s="84" t="s">
        <v>189</v>
      </c>
      <c r="M1085" s="84" t="s">
        <v>221</v>
      </c>
      <c r="N1085" s="84" t="s">
        <v>72</v>
      </c>
      <c r="O1085" s="129" t="s">
        <v>5318</v>
      </c>
      <c r="P1085" s="132" t="s">
        <v>5319</v>
      </c>
      <c r="Q1085" s="49" t="s">
        <v>75</v>
      </c>
      <c r="R1085" s="25" t="s">
        <v>91</v>
      </c>
      <c r="S1085" s="26">
        <v>18</v>
      </c>
      <c r="T1085" s="26">
        <v>54</v>
      </c>
      <c r="U1085" s="277" t="s">
        <v>5320</v>
      </c>
      <c r="V1085" s="66"/>
      <c r="W1085" s="106"/>
      <c r="X1085" s="106" t="s">
        <v>516</v>
      </c>
      <c r="Y1085" s="106" t="s">
        <v>76</v>
      </c>
      <c r="Z1085" s="75" t="s">
        <v>93</v>
      </c>
      <c r="AA1085" s="30" t="s">
        <v>1536</v>
      </c>
    </row>
    <row r="1086" spans="1:28" ht="148.5" hidden="1">
      <c r="A1086" s="88">
        <v>1076</v>
      </c>
      <c r="B1086" s="79" t="s">
        <v>5321</v>
      </c>
      <c r="C1086" s="148" t="s">
        <v>399</v>
      </c>
      <c r="D1086" s="80" t="s">
        <v>83</v>
      </c>
      <c r="E1086" s="27" t="s">
        <v>5322</v>
      </c>
      <c r="F1086" s="80" t="s">
        <v>109</v>
      </c>
      <c r="G1086" s="81" t="s">
        <v>2208</v>
      </c>
      <c r="H1086" s="80" t="s">
        <v>5323</v>
      </c>
      <c r="I1086" s="92">
        <v>45721</v>
      </c>
      <c r="J1086" s="80" t="s">
        <v>3505</v>
      </c>
      <c r="K1086" s="80" t="s">
        <v>69</v>
      </c>
      <c r="L1086" s="84" t="s">
        <v>251</v>
      </c>
      <c r="M1086" s="84" t="s">
        <v>252</v>
      </c>
      <c r="N1086" s="84" t="s">
        <v>72</v>
      </c>
      <c r="O1086" s="129" t="s">
        <v>5324</v>
      </c>
      <c r="P1086" s="132" t="s">
        <v>5325</v>
      </c>
      <c r="Q1086" s="49" t="s">
        <v>91</v>
      </c>
      <c r="R1086" s="25"/>
      <c r="S1086" s="26">
        <v>13</v>
      </c>
      <c r="T1086" s="26"/>
      <c r="U1086" s="28" t="s">
        <v>5326</v>
      </c>
      <c r="V1086" s="66"/>
      <c r="W1086" s="106"/>
      <c r="X1086" s="106" t="s">
        <v>76</v>
      </c>
      <c r="Y1086" s="26" t="s">
        <v>76</v>
      </c>
      <c r="Z1086" s="75" t="s">
        <v>193</v>
      </c>
      <c r="AA1086" s="30" t="s">
        <v>76</v>
      </c>
    </row>
    <row r="1087" spans="1:28" ht="132" hidden="1">
      <c r="A1087" s="88">
        <v>1077</v>
      </c>
      <c r="B1087" s="79" t="s">
        <v>5327</v>
      </c>
      <c r="C1087" s="148" t="s">
        <v>399</v>
      </c>
      <c r="D1087" s="80" t="s">
        <v>83</v>
      </c>
      <c r="E1087" s="27" t="s">
        <v>5328</v>
      </c>
      <c r="F1087" s="80" t="s">
        <v>284</v>
      </c>
      <c r="G1087" s="81" t="s">
        <v>2208</v>
      </c>
      <c r="H1087" s="80" t="s">
        <v>5329</v>
      </c>
      <c r="I1087" s="92">
        <v>45721</v>
      </c>
      <c r="J1087" s="80" t="s">
        <v>3505</v>
      </c>
      <c r="K1087" s="80" t="s">
        <v>69</v>
      </c>
      <c r="L1087" s="84" t="s">
        <v>251</v>
      </c>
      <c r="M1087" s="84" t="s">
        <v>252</v>
      </c>
      <c r="N1087" s="84" t="s">
        <v>72</v>
      </c>
      <c r="O1087" s="129" t="s">
        <v>5330</v>
      </c>
      <c r="P1087" s="132" t="s">
        <v>5331</v>
      </c>
      <c r="Q1087" s="49" t="s">
        <v>75</v>
      </c>
      <c r="R1087" s="25" t="s">
        <v>91</v>
      </c>
      <c r="S1087" s="26">
        <v>18</v>
      </c>
      <c r="T1087" s="26">
        <v>50</v>
      </c>
      <c r="U1087" s="28" t="s">
        <v>5332</v>
      </c>
      <c r="V1087" s="66"/>
      <c r="W1087" s="106"/>
      <c r="X1087" s="106" t="s">
        <v>516</v>
      </c>
      <c r="Y1087" s="26" t="s">
        <v>76</v>
      </c>
      <c r="Z1087" s="75" t="s">
        <v>93</v>
      </c>
      <c r="AA1087" s="30" t="s">
        <v>76</v>
      </c>
    </row>
    <row r="1088" spans="1:28" ht="49.5" hidden="1">
      <c r="A1088" s="88">
        <v>1078</v>
      </c>
      <c r="B1088" s="79" t="s">
        <v>5333</v>
      </c>
      <c r="C1088" s="148" t="s">
        <v>10</v>
      </c>
      <c r="D1088" s="80" t="s">
        <v>63</v>
      </c>
      <c r="E1088" s="27" t="s">
        <v>5334</v>
      </c>
      <c r="F1088" s="80" t="s">
        <v>120</v>
      </c>
      <c r="G1088" s="81" t="s">
        <v>5335</v>
      </c>
      <c r="H1088" s="80" t="s">
        <v>5336</v>
      </c>
      <c r="I1088" s="92">
        <v>45721</v>
      </c>
      <c r="J1088" s="80" t="s">
        <v>4066</v>
      </c>
      <c r="K1088" s="80" t="s">
        <v>1654</v>
      </c>
      <c r="L1088" s="84" t="s">
        <v>10</v>
      </c>
      <c r="M1088" s="84" t="s">
        <v>252</v>
      </c>
      <c r="N1088" s="84" t="s">
        <v>72</v>
      </c>
      <c r="O1088" s="308" t="s">
        <v>5337</v>
      </c>
      <c r="P1088" s="132" t="s">
        <v>5338</v>
      </c>
      <c r="Q1088" s="49" t="s">
        <v>75</v>
      </c>
      <c r="R1088" s="25" t="s">
        <v>91</v>
      </c>
      <c r="S1088" s="26">
        <v>24</v>
      </c>
      <c r="T1088" s="26">
        <v>46</v>
      </c>
      <c r="U1088" s="28" t="s">
        <v>5339</v>
      </c>
      <c r="V1088" s="66"/>
      <c r="W1088" s="106"/>
      <c r="X1088" s="106" t="s">
        <v>516</v>
      </c>
      <c r="Y1088" s="26" t="s">
        <v>76</v>
      </c>
      <c r="Z1088" s="75" t="s">
        <v>93</v>
      </c>
      <c r="AA1088" s="30" t="s">
        <v>76</v>
      </c>
    </row>
    <row r="1089" spans="1:28" ht="49.5" hidden="1">
      <c r="A1089" s="88">
        <v>1079</v>
      </c>
      <c r="B1089" s="79" t="s">
        <v>5340</v>
      </c>
      <c r="C1089" s="148" t="s">
        <v>8</v>
      </c>
      <c r="D1089" s="80" t="s">
        <v>63</v>
      </c>
      <c r="E1089" s="27" t="s">
        <v>3166</v>
      </c>
      <c r="F1089" s="80" t="s">
        <v>65</v>
      </c>
      <c r="G1089" s="81" t="s">
        <v>1701</v>
      </c>
      <c r="H1089" s="80" t="s">
        <v>3167</v>
      </c>
      <c r="I1089" s="92">
        <v>45722</v>
      </c>
      <c r="J1089" s="80" t="s">
        <v>3543</v>
      </c>
      <c r="K1089" s="80" t="s">
        <v>112</v>
      </c>
      <c r="L1089" s="84" t="s">
        <v>122</v>
      </c>
      <c r="M1089" s="84" t="s">
        <v>114</v>
      </c>
      <c r="N1089" s="84" t="s">
        <v>72</v>
      </c>
      <c r="O1089" s="129" t="s">
        <v>5341</v>
      </c>
      <c r="P1089" s="132" t="s">
        <v>5342</v>
      </c>
      <c r="Q1089" s="49" t="s">
        <v>75</v>
      </c>
      <c r="R1089" s="25" t="s">
        <v>91</v>
      </c>
      <c r="S1089" s="26">
        <v>24</v>
      </c>
      <c r="T1089" s="26">
        <v>70</v>
      </c>
      <c r="U1089" s="28" t="s">
        <v>5343</v>
      </c>
      <c r="V1089" s="66"/>
      <c r="W1089" s="106"/>
      <c r="X1089" s="106" t="s">
        <v>516</v>
      </c>
      <c r="Y1089" s="26" t="s">
        <v>76</v>
      </c>
      <c r="Z1089" s="75" t="s">
        <v>93</v>
      </c>
      <c r="AA1089" s="30" t="s">
        <v>76</v>
      </c>
    </row>
    <row r="1090" spans="1:28" ht="49.5" hidden="1">
      <c r="A1090" s="88">
        <v>1080</v>
      </c>
      <c r="B1090" s="79" t="s">
        <v>5344</v>
      </c>
      <c r="C1090" s="148" t="s">
        <v>8</v>
      </c>
      <c r="D1090" s="80" t="s">
        <v>63</v>
      </c>
      <c r="E1090" s="27" t="s">
        <v>2044</v>
      </c>
      <c r="F1090" s="80" t="s">
        <v>120</v>
      </c>
      <c r="G1090" s="81" t="s">
        <v>818</v>
      </c>
      <c r="H1090" s="80" t="s">
        <v>2045</v>
      </c>
      <c r="I1090" s="92">
        <v>45722</v>
      </c>
      <c r="J1090" s="80" t="s">
        <v>3543</v>
      </c>
      <c r="K1090" s="80" t="s">
        <v>188</v>
      </c>
      <c r="L1090" s="84" t="s">
        <v>113</v>
      </c>
      <c r="M1090" s="84" t="s">
        <v>114</v>
      </c>
      <c r="N1090" s="84" t="s">
        <v>72</v>
      </c>
      <c r="O1090" s="129" t="s">
        <v>5345</v>
      </c>
      <c r="P1090" s="132" t="s">
        <v>5346</v>
      </c>
      <c r="Q1090" s="49" t="s">
        <v>75</v>
      </c>
      <c r="R1090" s="25" t="s">
        <v>91</v>
      </c>
      <c r="S1090" s="26">
        <v>18</v>
      </c>
      <c r="T1090" s="26">
        <v>61</v>
      </c>
      <c r="U1090" s="33" t="s">
        <v>1560</v>
      </c>
      <c r="V1090" s="66"/>
      <c r="W1090" s="106"/>
      <c r="X1090" s="106" t="s">
        <v>516</v>
      </c>
      <c r="Y1090" s="26" t="s">
        <v>76</v>
      </c>
      <c r="Z1090" s="75" t="s">
        <v>93</v>
      </c>
      <c r="AA1090" s="30" t="s">
        <v>76</v>
      </c>
    </row>
    <row r="1091" spans="1:28" ht="115.5" hidden="1">
      <c r="A1091" s="88">
        <v>1081</v>
      </c>
      <c r="B1091" s="79" t="s">
        <v>5347</v>
      </c>
      <c r="C1091" s="148" t="s">
        <v>8</v>
      </c>
      <c r="D1091" s="80" t="s">
        <v>63</v>
      </c>
      <c r="E1091" s="27" t="s">
        <v>5348</v>
      </c>
      <c r="F1091" s="80" t="s">
        <v>109</v>
      </c>
      <c r="G1091" s="81" t="s">
        <v>1398</v>
      </c>
      <c r="H1091" s="80" t="s">
        <v>5349</v>
      </c>
      <c r="I1091" s="92">
        <v>45722</v>
      </c>
      <c r="J1091" s="80" t="s">
        <v>170</v>
      </c>
      <c r="K1091" s="80" t="s">
        <v>156</v>
      </c>
      <c r="L1091" s="84" t="s">
        <v>171</v>
      </c>
      <c r="M1091" s="84" t="s">
        <v>71</v>
      </c>
      <c r="N1091" s="84" t="s">
        <v>72</v>
      </c>
      <c r="O1091" s="129" t="s">
        <v>5350</v>
      </c>
      <c r="P1091" s="132" t="s">
        <v>5351</v>
      </c>
      <c r="Q1091" s="49" t="s">
        <v>75</v>
      </c>
      <c r="R1091" s="25" t="s">
        <v>91</v>
      </c>
      <c r="S1091" s="26">
        <v>18</v>
      </c>
      <c r="T1091" s="26">
        <v>66</v>
      </c>
      <c r="U1091" s="28" t="s">
        <v>5352</v>
      </c>
      <c r="V1091" s="66"/>
      <c r="W1091" s="106"/>
      <c r="X1091" s="106" t="s">
        <v>516</v>
      </c>
      <c r="Y1091" s="26" t="s">
        <v>76</v>
      </c>
      <c r="Z1091" s="75" t="s">
        <v>93</v>
      </c>
      <c r="AA1091" s="30" t="s">
        <v>76</v>
      </c>
    </row>
    <row r="1092" spans="1:28" ht="66" hidden="1">
      <c r="A1092" s="88">
        <v>1082</v>
      </c>
      <c r="B1092" s="79" t="s">
        <v>5353</v>
      </c>
      <c r="C1092" s="148" t="s">
        <v>8</v>
      </c>
      <c r="D1092" s="80" t="s">
        <v>63</v>
      </c>
      <c r="E1092" s="27" t="s">
        <v>5354</v>
      </c>
      <c r="F1092" s="80" t="s">
        <v>65</v>
      </c>
      <c r="G1092" s="81" t="s">
        <v>1406</v>
      </c>
      <c r="H1092" s="80" t="s">
        <v>3731</v>
      </c>
      <c r="I1092" s="92">
        <v>45722</v>
      </c>
      <c r="J1092" s="80" t="s">
        <v>3505</v>
      </c>
      <c r="K1092" s="80" t="s">
        <v>69</v>
      </c>
      <c r="L1092" s="84" t="s">
        <v>251</v>
      </c>
      <c r="M1092" s="84" t="s">
        <v>252</v>
      </c>
      <c r="N1092" s="84" t="s">
        <v>72</v>
      </c>
      <c r="O1092" s="129" t="s">
        <v>5355</v>
      </c>
      <c r="P1092" s="132" t="s">
        <v>5356</v>
      </c>
      <c r="Q1092" s="49" t="s">
        <v>75</v>
      </c>
      <c r="R1092" s="25" t="s">
        <v>91</v>
      </c>
      <c r="S1092" s="26">
        <v>19</v>
      </c>
      <c r="T1092" s="26">
        <v>59</v>
      </c>
      <c r="U1092" s="28" t="s">
        <v>5357</v>
      </c>
      <c r="V1092" s="66"/>
      <c r="W1092" s="106"/>
      <c r="X1092" s="106" t="s">
        <v>516</v>
      </c>
      <c r="Y1092" s="26" t="s">
        <v>76</v>
      </c>
      <c r="Z1092" s="75" t="s">
        <v>93</v>
      </c>
      <c r="AA1092" s="30" t="s">
        <v>76</v>
      </c>
    </row>
    <row r="1093" spans="1:28" ht="49.5" hidden="1">
      <c r="A1093" s="88">
        <v>1083</v>
      </c>
      <c r="B1093" s="79" t="s">
        <v>5358</v>
      </c>
      <c r="C1093" s="148" t="s">
        <v>8</v>
      </c>
      <c r="D1093" s="80" t="s">
        <v>83</v>
      </c>
      <c r="E1093" s="27" t="s">
        <v>5359</v>
      </c>
      <c r="F1093" s="80" t="s">
        <v>65</v>
      </c>
      <c r="G1093" s="81" t="s">
        <v>781</v>
      </c>
      <c r="H1093" s="80" t="s">
        <v>4544</v>
      </c>
      <c r="I1093" s="92">
        <v>45722</v>
      </c>
      <c r="J1093" s="80" t="s">
        <v>3565</v>
      </c>
      <c r="K1093" s="80" t="s">
        <v>69</v>
      </c>
      <c r="L1093" s="84" t="s">
        <v>189</v>
      </c>
      <c r="M1093" s="84" t="s">
        <v>601</v>
      </c>
      <c r="N1093" s="84" t="s">
        <v>72</v>
      </c>
      <c r="O1093" s="129" t="s">
        <v>5360</v>
      </c>
      <c r="P1093" s="132" t="s">
        <v>5361</v>
      </c>
      <c r="Q1093" s="49" t="s">
        <v>75</v>
      </c>
      <c r="R1093" s="196" t="s">
        <v>91</v>
      </c>
      <c r="S1093" s="26">
        <v>21</v>
      </c>
      <c r="T1093" s="198" t="s">
        <v>313</v>
      </c>
      <c r="U1093" s="28" t="s">
        <v>5362</v>
      </c>
      <c r="V1093" s="66"/>
      <c r="W1093" s="106"/>
      <c r="X1093" s="106" t="s">
        <v>516</v>
      </c>
      <c r="Y1093" s="26" t="s">
        <v>76</v>
      </c>
      <c r="Z1093" s="93" t="s">
        <v>106</v>
      </c>
      <c r="AA1093" s="30" t="s">
        <v>76</v>
      </c>
    </row>
    <row r="1094" spans="1:28" ht="33" hidden="1">
      <c r="A1094" s="88">
        <v>1084</v>
      </c>
      <c r="B1094" s="79" t="s">
        <v>5363</v>
      </c>
      <c r="C1094" s="148" t="s">
        <v>8</v>
      </c>
      <c r="D1094" s="80" t="s">
        <v>83</v>
      </c>
      <c r="E1094" s="27" t="s">
        <v>5364</v>
      </c>
      <c r="F1094" s="80" t="s">
        <v>109</v>
      </c>
      <c r="G1094" s="81" t="s">
        <v>781</v>
      </c>
      <c r="H1094" s="80" t="s">
        <v>5365</v>
      </c>
      <c r="I1094" s="92">
        <v>45722</v>
      </c>
      <c r="J1094" s="80" t="s">
        <v>3565</v>
      </c>
      <c r="K1094" s="80" t="s">
        <v>299</v>
      </c>
      <c r="L1094" s="84" t="s">
        <v>189</v>
      </c>
      <c r="M1094" s="84" t="s">
        <v>252</v>
      </c>
      <c r="N1094" s="84" t="s">
        <v>72</v>
      </c>
      <c r="O1094" s="129" t="s">
        <v>5366</v>
      </c>
      <c r="P1094" s="132" t="s">
        <v>5367</v>
      </c>
      <c r="Q1094" s="49" t="s">
        <v>91</v>
      </c>
      <c r="R1094" s="25"/>
      <c r="S1094" s="26">
        <v>16</v>
      </c>
      <c r="T1094" s="26"/>
      <c r="U1094" s="28" t="s">
        <v>59</v>
      </c>
      <c r="V1094" s="66"/>
      <c r="W1094" s="106"/>
      <c r="X1094" s="106" t="s">
        <v>76</v>
      </c>
      <c r="Y1094" s="26" t="s">
        <v>76</v>
      </c>
      <c r="Z1094" s="75" t="s">
        <v>193</v>
      </c>
      <c r="AA1094" s="30" t="s">
        <v>76</v>
      </c>
      <c r="AB1094" s="25" t="s">
        <v>75</v>
      </c>
    </row>
    <row r="1095" spans="1:28" ht="33" hidden="1">
      <c r="A1095" s="88">
        <v>1085</v>
      </c>
      <c r="B1095" s="79" t="s">
        <v>5368</v>
      </c>
      <c r="C1095" s="148" t="s">
        <v>8</v>
      </c>
      <c r="D1095" s="80" t="s">
        <v>83</v>
      </c>
      <c r="E1095" s="27" t="s">
        <v>5369</v>
      </c>
      <c r="F1095" s="80" t="s">
        <v>338</v>
      </c>
      <c r="G1095" s="81" t="s">
        <v>781</v>
      </c>
      <c r="H1095" s="80" t="s">
        <v>5370</v>
      </c>
      <c r="I1095" s="92">
        <v>45722</v>
      </c>
      <c r="J1095" s="80" t="s">
        <v>3526</v>
      </c>
      <c r="K1095" s="80" t="s">
        <v>299</v>
      </c>
      <c r="L1095" s="84" t="s">
        <v>189</v>
      </c>
      <c r="M1095" s="84" t="s">
        <v>114</v>
      </c>
      <c r="N1095" s="84" t="s">
        <v>72</v>
      </c>
      <c r="O1095" s="129" t="s">
        <v>5371</v>
      </c>
      <c r="P1095" s="132" t="s">
        <v>5372</v>
      </c>
      <c r="Q1095" s="49" t="s">
        <v>91</v>
      </c>
      <c r="R1095" s="25"/>
      <c r="S1095" s="26">
        <v>14</v>
      </c>
      <c r="T1095" s="26"/>
      <c r="U1095" s="28" t="s">
        <v>5373</v>
      </c>
      <c r="V1095" s="66"/>
      <c r="W1095" s="106"/>
      <c r="X1095" s="106" t="s">
        <v>76</v>
      </c>
      <c r="Y1095" s="26" t="s">
        <v>76</v>
      </c>
      <c r="Z1095" s="75" t="s">
        <v>193</v>
      </c>
      <c r="AA1095" s="30" t="s">
        <v>76</v>
      </c>
    </row>
    <row r="1096" spans="1:28" ht="29.25" hidden="1" customHeight="1">
      <c r="A1096" s="88">
        <v>1086</v>
      </c>
      <c r="B1096" s="79" t="s">
        <v>5374</v>
      </c>
      <c r="C1096" s="148" t="s">
        <v>8</v>
      </c>
      <c r="D1096" s="80" t="s">
        <v>83</v>
      </c>
      <c r="E1096" s="27" t="s">
        <v>824</v>
      </c>
      <c r="F1096" s="80" t="s">
        <v>109</v>
      </c>
      <c r="G1096" s="81" t="s">
        <v>781</v>
      </c>
      <c r="H1096" s="80" t="s">
        <v>825</v>
      </c>
      <c r="I1096" s="92">
        <v>45722</v>
      </c>
      <c r="J1096" s="80" t="s">
        <v>3565</v>
      </c>
      <c r="K1096" s="80" t="s">
        <v>299</v>
      </c>
      <c r="L1096" s="84" t="s">
        <v>189</v>
      </c>
      <c r="M1096" s="84" t="s">
        <v>601</v>
      </c>
      <c r="N1096" s="84" t="s">
        <v>72</v>
      </c>
      <c r="O1096" s="129" t="s">
        <v>5375</v>
      </c>
      <c r="P1096" s="132" t="s">
        <v>5376</v>
      </c>
      <c r="Q1096" s="49" t="s">
        <v>75</v>
      </c>
      <c r="R1096" s="25" t="s">
        <v>91</v>
      </c>
      <c r="S1096" s="26">
        <v>15</v>
      </c>
      <c r="T1096" s="26">
        <v>63</v>
      </c>
      <c r="U1096" s="28" t="s">
        <v>5377</v>
      </c>
      <c r="V1096" s="66"/>
      <c r="W1096" s="106"/>
      <c r="X1096" s="106" t="s">
        <v>516</v>
      </c>
      <c r="Y1096" s="26" t="s">
        <v>76</v>
      </c>
      <c r="Z1096" s="93" t="s">
        <v>93</v>
      </c>
      <c r="AA1096" s="30" t="s">
        <v>76</v>
      </c>
    </row>
    <row r="1097" spans="1:28" ht="29.25" hidden="1" customHeight="1">
      <c r="A1097" s="88">
        <v>1087</v>
      </c>
      <c r="B1097" s="79" t="s">
        <v>5378</v>
      </c>
      <c r="C1097" s="148" t="s">
        <v>8</v>
      </c>
      <c r="D1097" s="80" t="s">
        <v>83</v>
      </c>
      <c r="E1097" s="27" t="s">
        <v>802</v>
      </c>
      <c r="F1097" s="80" t="s">
        <v>109</v>
      </c>
      <c r="G1097" s="81" t="s">
        <v>781</v>
      </c>
      <c r="H1097" s="80" t="s">
        <v>803</v>
      </c>
      <c r="I1097" s="92">
        <v>45722</v>
      </c>
      <c r="J1097" s="80" t="s">
        <v>3565</v>
      </c>
      <c r="K1097" s="80" t="s">
        <v>299</v>
      </c>
      <c r="L1097" s="84" t="s">
        <v>189</v>
      </c>
      <c r="M1097" s="84" t="s">
        <v>601</v>
      </c>
      <c r="N1097" s="84" t="s">
        <v>72</v>
      </c>
      <c r="O1097" s="129" t="s">
        <v>5379</v>
      </c>
      <c r="P1097" s="132" t="s">
        <v>5380</v>
      </c>
      <c r="Q1097" s="49" t="s">
        <v>75</v>
      </c>
      <c r="R1097" s="25" t="s">
        <v>91</v>
      </c>
      <c r="S1097" s="26">
        <v>21</v>
      </c>
      <c r="T1097" s="26">
        <v>71</v>
      </c>
      <c r="U1097" s="28" t="s">
        <v>5381</v>
      </c>
      <c r="V1097" s="66"/>
      <c r="W1097" s="106"/>
      <c r="X1097" s="106" t="s">
        <v>516</v>
      </c>
      <c r="Y1097" s="26" t="s">
        <v>76</v>
      </c>
      <c r="Z1097" s="93" t="s">
        <v>106</v>
      </c>
      <c r="AA1097" s="30" t="s">
        <v>76</v>
      </c>
    </row>
    <row r="1098" spans="1:28" ht="33" hidden="1">
      <c r="A1098" s="88">
        <v>1088</v>
      </c>
      <c r="B1098" s="79" t="s">
        <v>5382</v>
      </c>
      <c r="C1098" s="148" t="s">
        <v>8</v>
      </c>
      <c r="D1098" s="80" t="s">
        <v>83</v>
      </c>
      <c r="E1098" s="27" t="s">
        <v>788</v>
      </c>
      <c r="F1098" s="80" t="s">
        <v>65</v>
      </c>
      <c r="G1098" s="81" t="s">
        <v>781</v>
      </c>
      <c r="H1098" s="80" t="s">
        <v>789</v>
      </c>
      <c r="I1098" s="92">
        <v>45722</v>
      </c>
      <c r="J1098" s="80" t="s">
        <v>3565</v>
      </c>
      <c r="K1098" s="80" t="s">
        <v>299</v>
      </c>
      <c r="L1098" s="84" t="s">
        <v>189</v>
      </c>
      <c r="M1098" s="84" t="s">
        <v>601</v>
      </c>
      <c r="N1098" s="84" t="s">
        <v>72</v>
      </c>
      <c r="O1098" s="129" t="s">
        <v>5383</v>
      </c>
      <c r="P1098" s="132" t="s">
        <v>5384</v>
      </c>
      <c r="Q1098" s="49" t="s">
        <v>75</v>
      </c>
      <c r="R1098" s="25" t="s">
        <v>91</v>
      </c>
      <c r="S1098" s="26">
        <v>17</v>
      </c>
      <c r="T1098" s="26">
        <v>61</v>
      </c>
      <c r="U1098" s="28" t="s">
        <v>5385</v>
      </c>
      <c r="V1098" s="66"/>
      <c r="W1098" s="106"/>
      <c r="X1098" s="106" t="s">
        <v>516</v>
      </c>
      <c r="Y1098" s="26" t="s">
        <v>76</v>
      </c>
      <c r="Z1098" s="93" t="s">
        <v>93</v>
      </c>
      <c r="AA1098" s="30" t="s">
        <v>76</v>
      </c>
    </row>
    <row r="1099" spans="1:28" ht="33" hidden="1">
      <c r="A1099" s="88">
        <v>1089</v>
      </c>
      <c r="B1099" s="79" t="s">
        <v>5386</v>
      </c>
      <c r="C1099" s="148" t="s">
        <v>794</v>
      </c>
      <c r="D1099" s="80" t="s">
        <v>83</v>
      </c>
      <c r="E1099" s="27" t="s">
        <v>5387</v>
      </c>
      <c r="F1099" s="80" t="s">
        <v>120</v>
      </c>
      <c r="G1099" s="81" t="s">
        <v>5388</v>
      </c>
      <c r="H1099" s="80" t="s">
        <v>5389</v>
      </c>
      <c r="I1099" s="92">
        <v>45722</v>
      </c>
      <c r="J1099" s="80" t="s">
        <v>3565</v>
      </c>
      <c r="K1099" s="80" t="s">
        <v>299</v>
      </c>
      <c r="L1099" s="84" t="s">
        <v>189</v>
      </c>
      <c r="M1099" s="84" t="s">
        <v>601</v>
      </c>
      <c r="N1099" s="84" t="s">
        <v>72</v>
      </c>
      <c r="O1099" s="129" t="s">
        <v>5390</v>
      </c>
      <c r="P1099" s="132" t="s">
        <v>5391</v>
      </c>
      <c r="Q1099" s="49" t="s">
        <v>75</v>
      </c>
      <c r="R1099" s="25" t="s">
        <v>91</v>
      </c>
      <c r="S1099" s="26">
        <v>16</v>
      </c>
      <c r="T1099" s="26">
        <v>62</v>
      </c>
      <c r="U1099" s="28" t="s">
        <v>5392</v>
      </c>
      <c r="V1099" s="66"/>
      <c r="W1099" s="106"/>
      <c r="X1099" s="106" t="s">
        <v>516</v>
      </c>
      <c r="Y1099" s="26" t="s">
        <v>76</v>
      </c>
      <c r="Z1099" s="93" t="s">
        <v>93</v>
      </c>
      <c r="AA1099" s="30" t="s">
        <v>76</v>
      </c>
    </row>
    <row r="1100" spans="1:28" ht="33" hidden="1">
      <c r="A1100" s="88">
        <v>1090</v>
      </c>
      <c r="B1100" s="79" t="s">
        <v>5393</v>
      </c>
      <c r="C1100" s="148" t="s">
        <v>794</v>
      </c>
      <c r="D1100" s="80" t="s">
        <v>83</v>
      </c>
      <c r="E1100" s="27" t="s">
        <v>5394</v>
      </c>
      <c r="F1100" s="80" t="s">
        <v>120</v>
      </c>
      <c r="G1100" s="81" t="s">
        <v>5388</v>
      </c>
      <c r="H1100" s="80" t="s">
        <v>5395</v>
      </c>
      <c r="I1100" s="92">
        <v>45722</v>
      </c>
      <c r="J1100" s="80" t="s">
        <v>3565</v>
      </c>
      <c r="K1100" s="80" t="s">
        <v>299</v>
      </c>
      <c r="L1100" s="84" t="s">
        <v>189</v>
      </c>
      <c r="M1100" s="84" t="s">
        <v>601</v>
      </c>
      <c r="N1100" s="84" t="s">
        <v>72</v>
      </c>
      <c r="O1100" s="129" t="s">
        <v>5396</v>
      </c>
      <c r="P1100" s="132" t="s">
        <v>5397</v>
      </c>
      <c r="Q1100" s="49" t="s">
        <v>75</v>
      </c>
      <c r="R1100" s="25" t="s">
        <v>91</v>
      </c>
      <c r="S1100" s="26">
        <v>21</v>
      </c>
      <c r="T1100" s="26">
        <v>70</v>
      </c>
      <c r="U1100" s="28" t="s">
        <v>5398</v>
      </c>
      <c r="V1100" s="66"/>
      <c r="W1100" s="106"/>
      <c r="X1100" s="106" t="s">
        <v>516</v>
      </c>
      <c r="Y1100" s="26" t="s">
        <v>76</v>
      </c>
      <c r="Z1100" s="93" t="s">
        <v>106</v>
      </c>
      <c r="AA1100" s="30" t="s">
        <v>76</v>
      </c>
    </row>
    <row r="1101" spans="1:28" ht="33" hidden="1">
      <c r="A1101" s="88">
        <v>1091</v>
      </c>
      <c r="B1101" s="79" t="s">
        <v>5399</v>
      </c>
      <c r="C1101" s="148" t="s">
        <v>794</v>
      </c>
      <c r="D1101" s="80" t="s">
        <v>83</v>
      </c>
      <c r="E1101" s="27" t="s">
        <v>5400</v>
      </c>
      <c r="F1101" s="80" t="s">
        <v>65</v>
      </c>
      <c r="G1101" s="81" t="s">
        <v>5388</v>
      </c>
      <c r="H1101" s="80" t="s">
        <v>5401</v>
      </c>
      <c r="I1101" s="92">
        <v>45722</v>
      </c>
      <c r="J1101" s="80" t="s">
        <v>3565</v>
      </c>
      <c r="K1101" s="80" t="s">
        <v>299</v>
      </c>
      <c r="L1101" s="84" t="s">
        <v>189</v>
      </c>
      <c r="M1101" s="84" t="s">
        <v>601</v>
      </c>
      <c r="N1101" s="84" t="s">
        <v>72</v>
      </c>
      <c r="O1101" s="129" t="s">
        <v>5402</v>
      </c>
      <c r="P1101" s="132" t="s">
        <v>5403</v>
      </c>
      <c r="Q1101" s="49" t="s">
        <v>75</v>
      </c>
      <c r="R1101" s="25" t="s">
        <v>91</v>
      </c>
      <c r="S1101" s="26">
        <v>20</v>
      </c>
      <c r="T1101" s="26">
        <v>71</v>
      </c>
      <c r="U1101" s="28" t="s">
        <v>5404</v>
      </c>
      <c r="V1101" s="66"/>
      <c r="W1101" s="106"/>
      <c r="X1101" s="106" t="s">
        <v>516</v>
      </c>
      <c r="Y1101" s="26" t="s">
        <v>76</v>
      </c>
      <c r="Z1101" s="93" t="s">
        <v>106</v>
      </c>
      <c r="AA1101" s="30" t="s">
        <v>76</v>
      </c>
    </row>
    <row r="1102" spans="1:28" ht="33" hidden="1">
      <c r="A1102" s="88">
        <v>1092</v>
      </c>
      <c r="B1102" s="79" t="s">
        <v>5405</v>
      </c>
      <c r="C1102" s="148" t="s">
        <v>794</v>
      </c>
      <c r="D1102" s="80" t="s">
        <v>83</v>
      </c>
      <c r="E1102" s="27" t="s">
        <v>5406</v>
      </c>
      <c r="F1102" s="80" t="s">
        <v>284</v>
      </c>
      <c r="G1102" s="81" t="s">
        <v>5388</v>
      </c>
      <c r="H1102" s="80" t="s">
        <v>5407</v>
      </c>
      <c r="I1102" s="92">
        <v>45722</v>
      </c>
      <c r="J1102" s="80" t="s">
        <v>3505</v>
      </c>
      <c r="K1102" s="80" t="s">
        <v>69</v>
      </c>
      <c r="L1102" s="84" t="s">
        <v>251</v>
      </c>
      <c r="M1102" s="84" t="s">
        <v>252</v>
      </c>
      <c r="N1102" s="84" t="s">
        <v>72</v>
      </c>
      <c r="O1102" s="129" t="s">
        <v>5408</v>
      </c>
      <c r="P1102" s="132" t="s">
        <v>5409</v>
      </c>
      <c r="Q1102" s="49" t="s">
        <v>75</v>
      </c>
      <c r="R1102" s="25" t="s">
        <v>91</v>
      </c>
      <c r="S1102" s="26">
        <v>20</v>
      </c>
      <c r="T1102" s="26">
        <v>60</v>
      </c>
      <c r="U1102" s="28" t="s">
        <v>5410</v>
      </c>
      <c r="V1102" s="66"/>
      <c r="W1102" s="106"/>
      <c r="X1102" s="106" t="s">
        <v>516</v>
      </c>
      <c r="Y1102" s="26" t="s">
        <v>76</v>
      </c>
      <c r="Z1102" s="75" t="s">
        <v>93</v>
      </c>
      <c r="AA1102" s="30" t="s">
        <v>76</v>
      </c>
    </row>
    <row r="1103" spans="1:28" ht="33" hidden="1">
      <c r="A1103" s="88">
        <v>1093</v>
      </c>
      <c r="B1103" s="79" t="s">
        <v>5411</v>
      </c>
      <c r="C1103" s="148" t="s">
        <v>794</v>
      </c>
      <c r="D1103" s="80" t="s">
        <v>83</v>
      </c>
      <c r="E1103" s="27" t="s">
        <v>5412</v>
      </c>
      <c r="F1103" s="80" t="s">
        <v>338</v>
      </c>
      <c r="G1103" s="81" t="s">
        <v>5388</v>
      </c>
      <c r="H1103" s="80" t="s">
        <v>5413</v>
      </c>
      <c r="I1103" s="92">
        <v>45722</v>
      </c>
      <c r="J1103" s="80" t="s">
        <v>3505</v>
      </c>
      <c r="K1103" s="80" t="s">
        <v>69</v>
      </c>
      <c r="L1103" s="84" t="s">
        <v>100</v>
      </c>
      <c r="M1103" s="84" t="s">
        <v>252</v>
      </c>
      <c r="N1103" s="84" t="s">
        <v>72</v>
      </c>
      <c r="O1103" s="129" t="s">
        <v>5414</v>
      </c>
      <c r="P1103" s="132" t="s">
        <v>5415</v>
      </c>
      <c r="Q1103" s="49" t="s">
        <v>75</v>
      </c>
      <c r="R1103" s="25" t="s">
        <v>91</v>
      </c>
      <c r="S1103" s="26">
        <v>19</v>
      </c>
      <c r="T1103" s="26">
        <v>63</v>
      </c>
      <c r="U1103" s="28" t="s">
        <v>5416</v>
      </c>
      <c r="V1103" s="66"/>
      <c r="W1103" s="106"/>
      <c r="X1103" s="106" t="s">
        <v>516</v>
      </c>
      <c r="Y1103" s="26" t="s">
        <v>76</v>
      </c>
      <c r="Z1103" s="75" t="s">
        <v>93</v>
      </c>
      <c r="AA1103" s="30" t="s">
        <v>76</v>
      </c>
    </row>
    <row r="1104" spans="1:28" ht="33" hidden="1">
      <c r="A1104" s="88">
        <v>1094</v>
      </c>
      <c r="B1104" s="79" t="s">
        <v>5417</v>
      </c>
      <c r="C1104" s="148" t="s">
        <v>794</v>
      </c>
      <c r="D1104" s="80" t="s">
        <v>83</v>
      </c>
      <c r="E1104" s="27" t="s">
        <v>5418</v>
      </c>
      <c r="F1104" s="80" t="s">
        <v>65</v>
      </c>
      <c r="G1104" s="81" t="s">
        <v>5388</v>
      </c>
      <c r="H1104" s="80" t="s">
        <v>5419</v>
      </c>
      <c r="I1104" s="92">
        <v>45722</v>
      </c>
      <c r="J1104" s="80" t="s">
        <v>3505</v>
      </c>
      <c r="K1104" s="80" t="s">
        <v>69</v>
      </c>
      <c r="L1104" s="84" t="s">
        <v>100</v>
      </c>
      <c r="M1104" s="84" t="s">
        <v>252</v>
      </c>
      <c r="N1104" s="84" t="s">
        <v>72</v>
      </c>
      <c r="O1104" s="129" t="s">
        <v>5420</v>
      </c>
      <c r="P1104" s="132" t="s">
        <v>5421</v>
      </c>
      <c r="Q1104" s="49" t="s">
        <v>75</v>
      </c>
      <c r="R1104" s="25" t="s">
        <v>91</v>
      </c>
      <c r="S1104" s="26">
        <v>18</v>
      </c>
      <c r="T1104" s="26">
        <v>50</v>
      </c>
      <c r="U1104" s="28" t="s">
        <v>5422</v>
      </c>
      <c r="V1104" s="66"/>
      <c r="W1104" s="106"/>
      <c r="X1104" s="106" t="s">
        <v>516</v>
      </c>
      <c r="Y1104" s="26" t="s">
        <v>76</v>
      </c>
      <c r="Z1104" s="75" t="s">
        <v>93</v>
      </c>
      <c r="AA1104" s="30" t="s">
        <v>76</v>
      </c>
    </row>
    <row r="1105" spans="1:28" ht="33" hidden="1">
      <c r="A1105" s="88">
        <v>1095</v>
      </c>
      <c r="B1105" s="79" t="s">
        <v>5423</v>
      </c>
      <c r="C1105" s="148" t="s">
        <v>794</v>
      </c>
      <c r="D1105" s="80" t="s">
        <v>83</v>
      </c>
      <c r="E1105" s="27" t="s">
        <v>5424</v>
      </c>
      <c r="F1105" s="80" t="s">
        <v>120</v>
      </c>
      <c r="G1105" s="81" t="s">
        <v>5388</v>
      </c>
      <c r="H1105" s="80" t="s">
        <v>5425</v>
      </c>
      <c r="I1105" s="92">
        <v>45722</v>
      </c>
      <c r="J1105" s="80" t="s">
        <v>3565</v>
      </c>
      <c r="K1105" s="80" t="s">
        <v>299</v>
      </c>
      <c r="L1105" s="84" t="s">
        <v>189</v>
      </c>
      <c r="M1105" s="84" t="s">
        <v>601</v>
      </c>
      <c r="N1105" s="84" t="s">
        <v>72</v>
      </c>
      <c r="O1105" s="129" t="s">
        <v>5426</v>
      </c>
      <c r="P1105" s="132" t="s">
        <v>5427</v>
      </c>
      <c r="Q1105" s="49" t="s">
        <v>75</v>
      </c>
      <c r="R1105" s="25" t="s">
        <v>91</v>
      </c>
      <c r="S1105" s="26">
        <v>17</v>
      </c>
      <c r="T1105" s="26">
        <v>61</v>
      </c>
      <c r="U1105" s="28" t="s">
        <v>5428</v>
      </c>
      <c r="V1105" s="66"/>
      <c r="W1105" s="106"/>
      <c r="X1105" s="106" t="s">
        <v>516</v>
      </c>
      <c r="Y1105" s="26" t="s">
        <v>76</v>
      </c>
      <c r="Z1105" s="93" t="s">
        <v>93</v>
      </c>
      <c r="AA1105" s="30" t="s">
        <v>76</v>
      </c>
    </row>
    <row r="1106" spans="1:28" ht="33" hidden="1">
      <c r="A1106" s="88">
        <v>1096</v>
      </c>
      <c r="B1106" s="79" t="s">
        <v>5429</v>
      </c>
      <c r="C1106" s="148" t="s">
        <v>794</v>
      </c>
      <c r="D1106" s="80" t="s">
        <v>83</v>
      </c>
      <c r="E1106" s="27" t="s">
        <v>5430</v>
      </c>
      <c r="F1106" s="80" t="s">
        <v>109</v>
      </c>
      <c r="G1106" s="81" t="s">
        <v>796</v>
      </c>
      <c r="H1106" s="80" t="s">
        <v>5431</v>
      </c>
      <c r="I1106" s="92">
        <v>45722</v>
      </c>
      <c r="J1106" s="80" t="s">
        <v>4066</v>
      </c>
      <c r="K1106" s="80" t="s">
        <v>1654</v>
      </c>
      <c r="L1106" s="84" t="s">
        <v>10</v>
      </c>
      <c r="M1106" s="84" t="s">
        <v>88</v>
      </c>
      <c r="N1106" s="84" t="s">
        <v>72</v>
      </c>
      <c r="O1106" s="129" t="s">
        <v>5432</v>
      </c>
      <c r="P1106" s="132" t="s">
        <v>5433</v>
      </c>
      <c r="Q1106" s="49" t="s">
        <v>91</v>
      </c>
      <c r="R1106" s="25"/>
      <c r="S1106" s="26"/>
      <c r="T1106" s="26"/>
      <c r="U1106" s="28" t="s">
        <v>5434</v>
      </c>
      <c r="V1106" s="66"/>
      <c r="W1106" s="106"/>
      <c r="X1106" s="106" t="s">
        <v>76</v>
      </c>
      <c r="Y1106" s="26" t="s">
        <v>76</v>
      </c>
      <c r="Z1106" s="75" t="s">
        <v>193</v>
      </c>
      <c r="AA1106" s="30" t="s">
        <v>76</v>
      </c>
    </row>
    <row r="1107" spans="1:28" ht="49.5" hidden="1">
      <c r="A1107" s="88">
        <v>1097</v>
      </c>
      <c r="B1107" s="79" t="s">
        <v>5435</v>
      </c>
      <c r="C1107" s="148" t="s">
        <v>794</v>
      </c>
      <c r="D1107" s="80" t="s">
        <v>83</v>
      </c>
      <c r="E1107" s="27" t="s">
        <v>5436</v>
      </c>
      <c r="F1107" s="80" t="s">
        <v>120</v>
      </c>
      <c r="G1107" s="81" t="s">
        <v>796</v>
      </c>
      <c r="H1107" s="80" t="s">
        <v>5437</v>
      </c>
      <c r="I1107" s="92">
        <v>45722</v>
      </c>
      <c r="J1107" s="80" t="s">
        <v>3565</v>
      </c>
      <c r="K1107" s="80" t="s">
        <v>69</v>
      </c>
      <c r="L1107" s="84" t="s">
        <v>189</v>
      </c>
      <c r="M1107" s="84" t="s">
        <v>601</v>
      </c>
      <c r="N1107" s="84" t="s">
        <v>72</v>
      </c>
      <c r="O1107" s="129" t="s">
        <v>5438</v>
      </c>
      <c r="P1107" s="132" t="s">
        <v>5439</v>
      </c>
      <c r="Q1107" s="49" t="s">
        <v>75</v>
      </c>
      <c r="R1107" s="25" t="s">
        <v>75</v>
      </c>
      <c r="S1107" s="26">
        <v>20</v>
      </c>
      <c r="T1107" s="26">
        <v>70</v>
      </c>
      <c r="U1107" s="28" t="s">
        <v>5440</v>
      </c>
      <c r="V1107" s="66" t="s">
        <v>75</v>
      </c>
      <c r="W1107" s="106" t="s">
        <v>1511</v>
      </c>
      <c r="X1107" s="106" t="s">
        <v>516</v>
      </c>
      <c r="Y1107" s="26" t="s">
        <v>176</v>
      </c>
      <c r="Z1107" s="93" t="s">
        <v>93</v>
      </c>
      <c r="AA1107" s="30" t="s">
        <v>5441</v>
      </c>
    </row>
    <row r="1108" spans="1:28" ht="33" hidden="1">
      <c r="A1108" s="88">
        <v>1098</v>
      </c>
      <c r="B1108" s="79" t="s">
        <v>5442</v>
      </c>
      <c r="C1108" s="148" t="s">
        <v>794</v>
      </c>
      <c r="D1108" s="80" t="s">
        <v>83</v>
      </c>
      <c r="E1108" s="27" t="s">
        <v>5443</v>
      </c>
      <c r="F1108" s="80" t="s">
        <v>109</v>
      </c>
      <c r="G1108" s="81" t="s">
        <v>796</v>
      </c>
      <c r="H1108" s="80" t="s">
        <v>5444</v>
      </c>
      <c r="I1108" s="92">
        <v>45722</v>
      </c>
      <c r="J1108" s="80" t="s">
        <v>3565</v>
      </c>
      <c r="K1108" s="80" t="s">
        <v>69</v>
      </c>
      <c r="L1108" s="84" t="s">
        <v>189</v>
      </c>
      <c r="M1108" s="84" t="s">
        <v>601</v>
      </c>
      <c r="N1108" s="84" t="s">
        <v>72</v>
      </c>
      <c r="O1108" s="129" t="s">
        <v>5445</v>
      </c>
      <c r="P1108" s="132" t="s">
        <v>5446</v>
      </c>
      <c r="Q1108" s="49" t="s">
        <v>75</v>
      </c>
      <c r="R1108" s="25" t="s">
        <v>75</v>
      </c>
      <c r="S1108" s="26">
        <v>20</v>
      </c>
      <c r="T1108" s="26">
        <v>74</v>
      </c>
      <c r="U1108" s="28" t="s">
        <v>5447</v>
      </c>
      <c r="V1108" s="66" t="s">
        <v>75</v>
      </c>
      <c r="W1108" s="106" t="s">
        <v>5448</v>
      </c>
      <c r="X1108" s="106" t="s">
        <v>516</v>
      </c>
      <c r="Y1108" s="26" t="s">
        <v>3375</v>
      </c>
      <c r="Z1108" s="75" t="s">
        <v>106</v>
      </c>
      <c r="AA1108" s="30" t="s">
        <v>76</v>
      </c>
    </row>
    <row r="1109" spans="1:28" ht="33" hidden="1">
      <c r="A1109" s="88">
        <v>1099</v>
      </c>
      <c r="B1109" s="79" t="s">
        <v>5449</v>
      </c>
      <c r="C1109" s="148" t="s">
        <v>794</v>
      </c>
      <c r="D1109" s="80" t="s">
        <v>83</v>
      </c>
      <c r="E1109" s="27" t="s">
        <v>5450</v>
      </c>
      <c r="F1109" s="80" t="s">
        <v>120</v>
      </c>
      <c r="G1109" s="81" t="s">
        <v>796</v>
      </c>
      <c r="H1109" s="80" t="s">
        <v>5451</v>
      </c>
      <c r="I1109" s="92">
        <v>45722</v>
      </c>
      <c r="J1109" s="80" t="s">
        <v>3565</v>
      </c>
      <c r="K1109" s="80" t="s">
        <v>1654</v>
      </c>
      <c r="L1109" s="84" t="s">
        <v>189</v>
      </c>
      <c r="M1109" s="84" t="s">
        <v>601</v>
      </c>
      <c r="N1109" s="84" t="s">
        <v>72</v>
      </c>
      <c r="O1109" s="129" t="s">
        <v>5452</v>
      </c>
      <c r="P1109" s="132" t="s">
        <v>5453</v>
      </c>
      <c r="Q1109" s="49" t="s">
        <v>75</v>
      </c>
      <c r="R1109" s="25" t="s">
        <v>91</v>
      </c>
      <c r="S1109" s="26"/>
      <c r="T1109" s="26"/>
      <c r="U1109" s="28" t="s">
        <v>5454</v>
      </c>
      <c r="V1109" s="66"/>
      <c r="W1109" s="106"/>
      <c r="X1109" s="106" t="s">
        <v>516</v>
      </c>
      <c r="Y1109" s="26" t="s">
        <v>76</v>
      </c>
      <c r="Z1109" s="75" t="s">
        <v>93</v>
      </c>
      <c r="AA1109" s="30" t="s">
        <v>76</v>
      </c>
    </row>
    <row r="1110" spans="1:28" ht="33" hidden="1">
      <c r="A1110" s="98">
        <v>1100</v>
      </c>
      <c r="B1110" s="79" t="s">
        <v>5455</v>
      </c>
      <c r="C1110" s="148" t="s">
        <v>794</v>
      </c>
      <c r="D1110" s="80" t="s">
        <v>83</v>
      </c>
      <c r="E1110" s="27" t="s">
        <v>795</v>
      </c>
      <c r="F1110" s="80" t="s">
        <v>109</v>
      </c>
      <c r="G1110" s="81" t="s">
        <v>796</v>
      </c>
      <c r="H1110" s="80" t="s">
        <v>797</v>
      </c>
      <c r="I1110" s="92">
        <v>45722</v>
      </c>
      <c r="J1110" s="80" t="s">
        <v>3565</v>
      </c>
      <c r="K1110" s="80" t="s">
        <v>188</v>
      </c>
      <c r="L1110" s="84" t="s">
        <v>189</v>
      </c>
      <c r="M1110" s="84" t="s">
        <v>601</v>
      </c>
      <c r="N1110" s="84" t="s">
        <v>72</v>
      </c>
      <c r="O1110" s="129" t="s">
        <v>5456</v>
      </c>
      <c r="P1110" s="132" t="s">
        <v>5457</v>
      </c>
      <c r="Q1110" s="49" t="s">
        <v>75</v>
      </c>
      <c r="R1110" s="25" t="s">
        <v>91</v>
      </c>
      <c r="S1110" s="26">
        <v>18</v>
      </c>
      <c r="T1110" s="26">
        <v>54</v>
      </c>
      <c r="U1110" s="28" t="s">
        <v>5458</v>
      </c>
      <c r="V1110" s="66"/>
      <c r="W1110" s="106"/>
      <c r="X1110" s="106" t="s">
        <v>516</v>
      </c>
      <c r="Y1110" s="26" t="s">
        <v>76</v>
      </c>
      <c r="Z1110" s="75" t="s">
        <v>106</v>
      </c>
      <c r="AA1110" s="30" t="s">
        <v>76</v>
      </c>
    </row>
    <row r="1111" spans="1:28" ht="49.5" hidden="1" customHeight="1">
      <c r="A1111" s="88">
        <v>1101</v>
      </c>
      <c r="B1111" s="79" t="s">
        <v>5459</v>
      </c>
      <c r="C1111" s="148" t="s">
        <v>794</v>
      </c>
      <c r="D1111" s="80" t="s">
        <v>83</v>
      </c>
      <c r="E1111" s="27" t="s">
        <v>5460</v>
      </c>
      <c r="F1111" s="80" t="s">
        <v>120</v>
      </c>
      <c r="G1111" s="81" t="s">
        <v>796</v>
      </c>
      <c r="H1111" s="80" t="s">
        <v>5461</v>
      </c>
      <c r="I1111" s="92">
        <v>45722</v>
      </c>
      <c r="J1111" s="80" t="s">
        <v>3565</v>
      </c>
      <c r="K1111" s="80" t="s">
        <v>299</v>
      </c>
      <c r="L1111" s="84" t="s">
        <v>189</v>
      </c>
      <c r="M1111" s="84" t="s">
        <v>601</v>
      </c>
      <c r="N1111" s="84" t="s">
        <v>72</v>
      </c>
      <c r="O1111" s="129" t="s">
        <v>5462</v>
      </c>
      <c r="P1111" s="132" t="s">
        <v>5463</v>
      </c>
      <c r="Q1111" s="49" t="s">
        <v>75</v>
      </c>
      <c r="R1111" s="25" t="s">
        <v>91</v>
      </c>
      <c r="S1111" s="26">
        <v>19</v>
      </c>
      <c r="T1111" s="26">
        <v>64</v>
      </c>
      <c r="U1111" s="28" t="s">
        <v>5464</v>
      </c>
      <c r="V1111" s="66"/>
      <c r="W1111" s="106"/>
      <c r="X1111" s="106" t="s">
        <v>516</v>
      </c>
      <c r="Y1111" s="26" t="s">
        <v>76</v>
      </c>
      <c r="Z1111" s="93" t="s">
        <v>93</v>
      </c>
      <c r="AA1111" s="30" t="s">
        <v>76</v>
      </c>
    </row>
    <row r="1112" spans="1:28" ht="49.5" hidden="1" customHeight="1">
      <c r="A1112" s="88">
        <v>1102</v>
      </c>
      <c r="B1112" s="79" t="s">
        <v>5465</v>
      </c>
      <c r="C1112" s="148" t="s">
        <v>794</v>
      </c>
      <c r="D1112" s="80" t="s">
        <v>83</v>
      </c>
      <c r="E1112" s="27" t="s">
        <v>5466</v>
      </c>
      <c r="F1112" s="80" t="s">
        <v>109</v>
      </c>
      <c r="G1112" s="81" t="s">
        <v>796</v>
      </c>
      <c r="H1112" s="80" t="s">
        <v>5467</v>
      </c>
      <c r="I1112" s="92">
        <v>45722</v>
      </c>
      <c r="J1112" s="80" t="s">
        <v>3505</v>
      </c>
      <c r="K1112" s="80" t="s">
        <v>69</v>
      </c>
      <c r="L1112" s="84" t="s">
        <v>251</v>
      </c>
      <c r="M1112" s="84" t="s">
        <v>904</v>
      </c>
      <c r="N1112" s="84" t="s">
        <v>920</v>
      </c>
      <c r="O1112" s="129" t="s">
        <v>5468</v>
      </c>
      <c r="P1112" s="132" t="s">
        <v>5469</v>
      </c>
      <c r="Q1112" s="49" t="s">
        <v>91</v>
      </c>
      <c r="R1112" s="25"/>
      <c r="S1112" s="55" t="s">
        <v>5470</v>
      </c>
      <c r="T1112" s="26"/>
      <c r="U1112" s="28" t="s">
        <v>5471</v>
      </c>
      <c r="V1112" s="66"/>
      <c r="W1112" s="106"/>
      <c r="X1112" s="106" t="s">
        <v>76</v>
      </c>
      <c r="Y1112" s="26" t="s">
        <v>76</v>
      </c>
      <c r="Z1112" s="75" t="s">
        <v>193</v>
      </c>
      <c r="AA1112" s="30" t="s">
        <v>76</v>
      </c>
      <c r="AB1112" s="25" t="s">
        <v>75</v>
      </c>
    </row>
    <row r="1113" spans="1:28" ht="49.5" hidden="1" customHeight="1">
      <c r="A1113" s="88">
        <v>1103</v>
      </c>
      <c r="B1113" s="79" t="s">
        <v>5472</v>
      </c>
      <c r="C1113" s="148" t="s">
        <v>794</v>
      </c>
      <c r="D1113" s="80" t="s">
        <v>83</v>
      </c>
      <c r="E1113" s="27" t="s">
        <v>5473</v>
      </c>
      <c r="F1113" s="80" t="s">
        <v>109</v>
      </c>
      <c r="G1113" s="81" t="s">
        <v>796</v>
      </c>
      <c r="H1113" s="80" t="s">
        <v>5474</v>
      </c>
      <c r="I1113" s="92">
        <v>45722</v>
      </c>
      <c r="J1113" s="80" t="s">
        <v>3505</v>
      </c>
      <c r="K1113" s="80" t="s">
        <v>69</v>
      </c>
      <c r="L1113" s="84" t="s">
        <v>100</v>
      </c>
      <c r="M1113" s="84" t="s">
        <v>252</v>
      </c>
      <c r="N1113" s="84" t="s">
        <v>72</v>
      </c>
      <c r="O1113" s="129" t="s">
        <v>5475</v>
      </c>
      <c r="P1113" s="132" t="s">
        <v>5476</v>
      </c>
      <c r="Q1113" s="49" t="s">
        <v>75</v>
      </c>
      <c r="R1113" s="25" t="s">
        <v>91</v>
      </c>
      <c r="S1113" s="26">
        <v>19</v>
      </c>
      <c r="T1113" s="26">
        <v>51</v>
      </c>
      <c r="U1113" s="28" t="s">
        <v>5477</v>
      </c>
      <c r="V1113" s="66"/>
      <c r="W1113" s="106"/>
      <c r="X1113" s="106" t="s">
        <v>516</v>
      </c>
      <c r="Y1113" s="26" t="s">
        <v>76</v>
      </c>
      <c r="Z1113" s="75" t="s">
        <v>93</v>
      </c>
      <c r="AA1113" s="30" t="s">
        <v>76</v>
      </c>
    </row>
    <row r="1114" spans="1:28" ht="49.5" hidden="1" customHeight="1">
      <c r="A1114" s="88">
        <v>1104</v>
      </c>
      <c r="B1114" s="79" t="s">
        <v>5478</v>
      </c>
      <c r="C1114" s="148" t="s">
        <v>794</v>
      </c>
      <c r="D1114" s="80" t="s">
        <v>83</v>
      </c>
      <c r="E1114" s="27" t="s">
        <v>5479</v>
      </c>
      <c r="F1114" s="80" t="s">
        <v>120</v>
      </c>
      <c r="G1114" s="81" t="s">
        <v>796</v>
      </c>
      <c r="H1114" s="80" t="s">
        <v>5480</v>
      </c>
      <c r="I1114" s="92">
        <v>45722</v>
      </c>
      <c r="J1114" s="80" t="s">
        <v>3505</v>
      </c>
      <c r="K1114" s="80" t="s">
        <v>69</v>
      </c>
      <c r="L1114" s="84" t="s">
        <v>100</v>
      </c>
      <c r="M1114" s="84" t="s">
        <v>252</v>
      </c>
      <c r="N1114" s="84" t="s">
        <v>72</v>
      </c>
      <c r="O1114" s="129" t="s">
        <v>5481</v>
      </c>
      <c r="P1114" s="132" t="s">
        <v>5482</v>
      </c>
      <c r="Q1114" s="49" t="s">
        <v>75</v>
      </c>
      <c r="R1114" s="25" t="s">
        <v>91</v>
      </c>
      <c r="S1114" s="26">
        <v>21</v>
      </c>
      <c r="T1114" s="26">
        <v>63</v>
      </c>
      <c r="U1114" s="28" t="s">
        <v>5483</v>
      </c>
      <c r="V1114" s="66"/>
      <c r="W1114" s="106"/>
      <c r="X1114" s="106" t="s">
        <v>516</v>
      </c>
      <c r="Y1114" s="26" t="s">
        <v>76</v>
      </c>
      <c r="Z1114" s="75" t="s">
        <v>93</v>
      </c>
      <c r="AA1114" s="30" t="s">
        <v>76</v>
      </c>
    </row>
    <row r="1115" spans="1:28" ht="49.5" hidden="1" customHeight="1">
      <c r="A1115" s="88">
        <v>1105</v>
      </c>
      <c r="B1115" s="79" t="s">
        <v>5484</v>
      </c>
      <c r="C1115" s="148" t="s">
        <v>794</v>
      </c>
      <c r="D1115" s="80" t="s">
        <v>83</v>
      </c>
      <c r="E1115" s="27" t="s">
        <v>5485</v>
      </c>
      <c r="F1115" s="80" t="s">
        <v>109</v>
      </c>
      <c r="G1115" s="81" t="s">
        <v>796</v>
      </c>
      <c r="H1115" s="80" t="s">
        <v>5486</v>
      </c>
      <c r="I1115" s="92">
        <v>45722</v>
      </c>
      <c r="J1115" s="80" t="s">
        <v>3565</v>
      </c>
      <c r="K1115" s="80" t="s">
        <v>69</v>
      </c>
      <c r="L1115" s="84" t="s">
        <v>189</v>
      </c>
      <c r="M1115" s="84" t="s">
        <v>601</v>
      </c>
      <c r="N1115" s="84" t="s">
        <v>72</v>
      </c>
      <c r="O1115" s="129" t="s">
        <v>5487</v>
      </c>
      <c r="P1115" s="132" t="s">
        <v>5488</v>
      </c>
      <c r="Q1115" s="49" t="s">
        <v>75</v>
      </c>
      <c r="R1115" s="25" t="s">
        <v>504</v>
      </c>
      <c r="S1115" s="26">
        <v>22</v>
      </c>
      <c r="T1115" s="26"/>
      <c r="U1115" s="28" t="s">
        <v>5489</v>
      </c>
      <c r="V1115" s="66"/>
      <c r="W1115" s="106"/>
      <c r="X1115" s="106" t="s">
        <v>516</v>
      </c>
      <c r="Y1115" s="26" t="s">
        <v>76</v>
      </c>
      <c r="Z1115" s="75" t="s">
        <v>106</v>
      </c>
      <c r="AA1115" s="30" t="s">
        <v>76</v>
      </c>
    </row>
    <row r="1116" spans="1:28" ht="49.5" hidden="1" customHeight="1">
      <c r="A1116" s="88">
        <v>1106</v>
      </c>
      <c r="B1116" s="79" t="s">
        <v>5490</v>
      </c>
      <c r="C1116" s="148" t="s">
        <v>10</v>
      </c>
      <c r="D1116" s="80" t="s">
        <v>83</v>
      </c>
      <c r="E1116" s="27" t="s">
        <v>5491</v>
      </c>
      <c r="F1116" s="80" t="s">
        <v>109</v>
      </c>
      <c r="G1116" s="81" t="s">
        <v>5492</v>
      </c>
      <c r="H1116" s="80" t="s">
        <v>5493</v>
      </c>
      <c r="I1116" s="92">
        <v>45722</v>
      </c>
      <c r="J1116" s="80" t="s">
        <v>3505</v>
      </c>
      <c r="K1116" s="80" t="s">
        <v>69</v>
      </c>
      <c r="L1116" s="84" t="s">
        <v>100</v>
      </c>
      <c r="M1116" s="84" t="s">
        <v>252</v>
      </c>
      <c r="N1116" s="84" t="s">
        <v>72</v>
      </c>
      <c r="O1116" s="308" t="s">
        <v>5494</v>
      </c>
      <c r="P1116" s="132" t="s">
        <v>5495</v>
      </c>
      <c r="Q1116" s="49" t="s">
        <v>75</v>
      </c>
      <c r="R1116" s="25" t="s">
        <v>91</v>
      </c>
      <c r="S1116" s="26">
        <v>18</v>
      </c>
      <c r="T1116" s="26">
        <v>54</v>
      </c>
      <c r="U1116" s="28" t="s">
        <v>5496</v>
      </c>
      <c r="V1116" s="66"/>
      <c r="W1116" s="106"/>
      <c r="X1116" s="106" t="s">
        <v>516</v>
      </c>
      <c r="Y1116" s="26" t="s">
        <v>76</v>
      </c>
      <c r="Z1116" s="75" t="s">
        <v>93</v>
      </c>
      <c r="AA1116" s="30" t="s">
        <v>76</v>
      </c>
    </row>
    <row r="1117" spans="1:28" ht="49.5" hidden="1" customHeight="1">
      <c r="A1117" s="88">
        <v>1107</v>
      </c>
      <c r="B1117" s="79" t="s">
        <v>5497</v>
      </c>
      <c r="C1117" s="148" t="s">
        <v>794</v>
      </c>
      <c r="D1117" s="80" t="s">
        <v>83</v>
      </c>
      <c r="E1117" s="27" t="s">
        <v>5498</v>
      </c>
      <c r="F1117" s="80" t="s">
        <v>120</v>
      </c>
      <c r="G1117" s="81" t="s">
        <v>5492</v>
      </c>
      <c r="H1117" s="80" t="s">
        <v>5499</v>
      </c>
      <c r="I1117" s="92">
        <v>45722</v>
      </c>
      <c r="J1117" s="80" t="s">
        <v>3505</v>
      </c>
      <c r="K1117" s="80" t="s">
        <v>69</v>
      </c>
      <c r="L1117" s="84" t="s">
        <v>100</v>
      </c>
      <c r="M1117" s="84" t="s">
        <v>252</v>
      </c>
      <c r="N1117" s="84" t="s">
        <v>72</v>
      </c>
      <c r="O1117" s="129" t="s">
        <v>5500</v>
      </c>
      <c r="P1117" s="132" t="s">
        <v>5501</v>
      </c>
      <c r="Q1117" s="49" t="s">
        <v>75</v>
      </c>
      <c r="R1117" s="25" t="s">
        <v>91</v>
      </c>
      <c r="S1117" s="26">
        <v>18</v>
      </c>
      <c r="T1117" s="26">
        <v>50</v>
      </c>
      <c r="U1117" s="28" t="s">
        <v>5502</v>
      </c>
      <c r="V1117" s="66"/>
      <c r="W1117" s="106"/>
      <c r="X1117" s="106" t="s">
        <v>516</v>
      </c>
      <c r="Y1117" s="26" t="s">
        <v>76</v>
      </c>
      <c r="Z1117" s="75" t="s">
        <v>93</v>
      </c>
      <c r="AA1117" s="30" t="s">
        <v>76</v>
      </c>
    </row>
    <row r="1118" spans="1:28" ht="48.75" hidden="1" customHeight="1">
      <c r="A1118" s="88">
        <v>1108</v>
      </c>
      <c r="B1118" s="79" t="s">
        <v>5503</v>
      </c>
      <c r="C1118" s="148" t="s">
        <v>794</v>
      </c>
      <c r="D1118" s="80" t="s">
        <v>83</v>
      </c>
      <c r="E1118" s="27" t="s">
        <v>5504</v>
      </c>
      <c r="F1118" s="80" t="s">
        <v>120</v>
      </c>
      <c r="G1118" s="81" t="s">
        <v>5492</v>
      </c>
      <c r="H1118" s="80" t="s">
        <v>5505</v>
      </c>
      <c r="I1118" s="92">
        <v>45722</v>
      </c>
      <c r="J1118" s="80" t="s">
        <v>3505</v>
      </c>
      <c r="K1118" s="80" t="s">
        <v>69</v>
      </c>
      <c r="L1118" s="84" t="s">
        <v>100</v>
      </c>
      <c r="M1118" s="84" t="s">
        <v>252</v>
      </c>
      <c r="N1118" s="84" t="s">
        <v>72</v>
      </c>
      <c r="O1118" s="129" t="s">
        <v>5506</v>
      </c>
      <c r="P1118" s="132" t="s">
        <v>5507</v>
      </c>
      <c r="Q1118" s="49" t="s">
        <v>75</v>
      </c>
      <c r="R1118" s="25" t="s">
        <v>91</v>
      </c>
      <c r="S1118" s="26">
        <v>20</v>
      </c>
      <c r="T1118" s="26">
        <v>56</v>
      </c>
      <c r="U1118" s="28" t="s">
        <v>5508</v>
      </c>
      <c r="V1118" s="66"/>
      <c r="W1118" s="106"/>
      <c r="X1118" s="106" t="s">
        <v>516</v>
      </c>
      <c r="Y1118" s="26" t="s">
        <v>76</v>
      </c>
      <c r="Z1118" s="75" t="s">
        <v>93</v>
      </c>
      <c r="AA1118" s="30" t="s">
        <v>76</v>
      </c>
    </row>
    <row r="1119" spans="1:28" ht="48.75" hidden="1" customHeight="1">
      <c r="A1119" s="88">
        <v>1109</v>
      </c>
      <c r="B1119" s="79" t="s">
        <v>5509</v>
      </c>
      <c r="C1119" s="148" t="s">
        <v>794</v>
      </c>
      <c r="D1119" s="80" t="s">
        <v>83</v>
      </c>
      <c r="E1119" s="27" t="s">
        <v>5510</v>
      </c>
      <c r="F1119" s="80" t="s">
        <v>109</v>
      </c>
      <c r="G1119" s="81" t="s">
        <v>5492</v>
      </c>
      <c r="H1119" s="80" t="s">
        <v>5511</v>
      </c>
      <c r="I1119" s="92">
        <v>45722</v>
      </c>
      <c r="J1119" s="80" t="s">
        <v>3505</v>
      </c>
      <c r="K1119" s="80" t="s">
        <v>69</v>
      </c>
      <c r="L1119" s="84" t="s">
        <v>100</v>
      </c>
      <c r="M1119" s="84" t="s">
        <v>252</v>
      </c>
      <c r="N1119" s="84" t="s">
        <v>72</v>
      </c>
      <c r="O1119" s="129" t="s">
        <v>5512</v>
      </c>
      <c r="P1119" s="132" t="s">
        <v>5513</v>
      </c>
      <c r="Q1119" s="49" t="s">
        <v>75</v>
      </c>
      <c r="R1119" s="25" t="s">
        <v>91</v>
      </c>
      <c r="S1119" s="26">
        <v>19</v>
      </c>
      <c r="T1119" s="26">
        <v>51</v>
      </c>
      <c r="U1119" s="28" t="s">
        <v>5514</v>
      </c>
      <c r="V1119" s="66"/>
      <c r="W1119" s="106"/>
      <c r="X1119" s="106" t="s">
        <v>516</v>
      </c>
      <c r="Y1119" s="26" t="s">
        <v>76</v>
      </c>
      <c r="Z1119" s="75" t="s">
        <v>93</v>
      </c>
      <c r="AA1119" s="30" t="s">
        <v>76</v>
      </c>
    </row>
    <row r="1120" spans="1:28" ht="48.75" hidden="1" customHeight="1">
      <c r="A1120" s="88">
        <v>1110</v>
      </c>
      <c r="B1120" s="79" t="s">
        <v>5515</v>
      </c>
      <c r="C1120" s="148" t="s">
        <v>794</v>
      </c>
      <c r="D1120" s="80" t="s">
        <v>83</v>
      </c>
      <c r="E1120" s="27" t="s">
        <v>5510</v>
      </c>
      <c r="F1120" s="80" t="s">
        <v>109</v>
      </c>
      <c r="G1120" s="81" t="s">
        <v>5492</v>
      </c>
      <c r="H1120" s="80" t="s">
        <v>5511</v>
      </c>
      <c r="I1120" s="92">
        <v>45722</v>
      </c>
      <c r="J1120" s="80" t="s">
        <v>3505</v>
      </c>
      <c r="K1120" s="80" t="s">
        <v>69</v>
      </c>
      <c r="L1120" s="84" t="s">
        <v>100</v>
      </c>
      <c r="M1120" s="84" t="s">
        <v>252</v>
      </c>
      <c r="N1120" s="84" t="s">
        <v>72</v>
      </c>
      <c r="O1120" s="129" t="s">
        <v>5516</v>
      </c>
      <c r="P1120" s="132" t="s">
        <v>5517</v>
      </c>
      <c r="Q1120" s="49" t="s">
        <v>75</v>
      </c>
      <c r="R1120" s="25" t="s">
        <v>91</v>
      </c>
      <c r="S1120" s="26">
        <v>20</v>
      </c>
      <c r="T1120" s="26">
        <v>52</v>
      </c>
      <c r="U1120" s="28" t="s">
        <v>5518</v>
      </c>
      <c r="V1120" s="66"/>
      <c r="W1120" s="106"/>
      <c r="X1120" s="106" t="s">
        <v>516</v>
      </c>
      <c r="Y1120" s="26" t="s">
        <v>76</v>
      </c>
      <c r="Z1120" s="75" t="s">
        <v>93</v>
      </c>
      <c r="AA1120" s="30" t="s">
        <v>76</v>
      </c>
    </row>
    <row r="1121" spans="1:28" ht="99" hidden="1" customHeight="1">
      <c r="A1121" s="88">
        <v>1111</v>
      </c>
      <c r="B1121" s="79" t="s">
        <v>5519</v>
      </c>
      <c r="C1121" s="148" t="s">
        <v>8</v>
      </c>
      <c r="D1121" s="80" t="s">
        <v>63</v>
      </c>
      <c r="E1121" s="27" t="s">
        <v>3216</v>
      </c>
      <c r="F1121" s="80" t="s">
        <v>65</v>
      </c>
      <c r="G1121" s="81" t="s">
        <v>1132</v>
      </c>
      <c r="H1121" s="80" t="s">
        <v>3217</v>
      </c>
      <c r="I1121" s="92">
        <v>45723</v>
      </c>
      <c r="J1121" s="80" t="s">
        <v>3512</v>
      </c>
      <c r="K1121" s="80" t="s">
        <v>299</v>
      </c>
      <c r="L1121" s="84" t="s">
        <v>189</v>
      </c>
      <c r="M1121" s="84" t="s">
        <v>221</v>
      </c>
      <c r="N1121" s="84" t="s">
        <v>72</v>
      </c>
      <c r="O1121" s="129" t="s">
        <v>5520</v>
      </c>
      <c r="P1121" s="132" t="s">
        <v>5521</v>
      </c>
      <c r="Q1121" s="49" t="s">
        <v>75</v>
      </c>
      <c r="R1121" s="25" t="s">
        <v>91</v>
      </c>
      <c r="S1121" s="26">
        <v>19</v>
      </c>
      <c r="T1121" s="26">
        <v>68</v>
      </c>
      <c r="U1121" s="28" t="s">
        <v>5522</v>
      </c>
      <c r="V1121" s="66"/>
      <c r="W1121" s="106"/>
      <c r="X1121" s="106" t="s">
        <v>516</v>
      </c>
      <c r="Y1121" s="26" t="s">
        <v>76</v>
      </c>
      <c r="Z1121" s="93" t="s">
        <v>93</v>
      </c>
      <c r="AA1121" s="30" t="s">
        <v>76</v>
      </c>
    </row>
    <row r="1122" spans="1:28" ht="27.75" hidden="1" customHeight="1">
      <c r="A1122" s="88">
        <v>1112</v>
      </c>
      <c r="B1122" s="79" t="s">
        <v>5523</v>
      </c>
      <c r="C1122" s="148" t="s">
        <v>399</v>
      </c>
      <c r="D1122" s="80" t="s">
        <v>83</v>
      </c>
      <c r="E1122" s="27" t="s">
        <v>5524</v>
      </c>
      <c r="F1122" s="80" t="s">
        <v>284</v>
      </c>
      <c r="G1122" s="81" t="s">
        <v>2362</v>
      </c>
      <c r="H1122" s="80" t="s">
        <v>5525</v>
      </c>
      <c r="I1122" s="92">
        <v>45723</v>
      </c>
      <c r="J1122" s="80" t="s">
        <v>3505</v>
      </c>
      <c r="K1122" s="80" t="s">
        <v>69</v>
      </c>
      <c r="L1122" s="84" t="s">
        <v>251</v>
      </c>
      <c r="M1122" s="84" t="s">
        <v>252</v>
      </c>
      <c r="N1122" s="84" t="s">
        <v>72</v>
      </c>
      <c r="O1122" s="129" t="s">
        <v>5526</v>
      </c>
      <c r="P1122" s="132" t="s">
        <v>5527</v>
      </c>
      <c r="Q1122" s="49" t="s">
        <v>75</v>
      </c>
      <c r="R1122" s="25" t="s">
        <v>75</v>
      </c>
      <c r="S1122" s="26">
        <v>24</v>
      </c>
      <c r="T1122" s="26">
        <v>82</v>
      </c>
      <c r="U1122" s="28" t="s">
        <v>5528</v>
      </c>
      <c r="V1122" s="66" t="s">
        <v>75</v>
      </c>
      <c r="W1122" s="106" t="s">
        <v>425</v>
      </c>
      <c r="X1122" s="106" t="s">
        <v>516</v>
      </c>
      <c r="Y1122" s="106" t="s">
        <v>516</v>
      </c>
      <c r="Z1122" s="75" t="s">
        <v>79</v>
      </c>
      <c r="AA1122" s="30" t="s">
        <v>76</v>
      </c>
    </row>
    <row r="1123" spans="1:28" ht="27.75" hidden="1" customHeight="1">
      <c r="A1123" s="88">
        <v>1113</v>
      </c>
      <c r="B1123" s="79" t="s">
        <v>5529</v>
      </c>
      <c r="C1123" s="148" t="s">
        <v>8</v>
      </c>
      <c r="D1123" s="80" t="s">
        <v>63</v>
      </c>
      <c r="E1123" s="27" t="s">
        <v>2613</v>
      </c>
      <c r="F1123" s="80" t="s">
        <v>109</v>
      </c>
      <c r="G1123" s="81" t="s">
        <v>995</v>
      </c>
      <c r="H1123" s="80" t="s">
        <v>2614</v>
      </c>
      <c r="I1123" s="92">
        <v>45723</v>
      </c>
      <c r="J1123" s="80" t="s">
        <v>170</v>
      </c>
      <c r="K1123" s="80" t="s">
        <v>156</v>
      </c>
      <c r="L1123" s="84" t="s">
        <v>171</v>
      </c>
      <c r="M1123" s="84" t="s">
        <v>71</v>
      </c>
      <c r="N1123" s="84" t="s">
        <v>72</v>
      </c>
      <c r="O1123" s="129" t="s">
        <v>5530</v>
      </c>
      <c r="P1123" s="132" t="s">
        <v>5531</v>
      </c>
      <c r="Q1123" s="49" t="s">
        <v>91</v>
      </c>
      <c r="R1123" s="25"/>
      <c r="S1123" s="26">
        <v>16</v>
      </c>
      <c r="T1123" s="26"/>
      <c r="U1123" s="28" t="s">
        <v>59</v>
      </c>
      <c r="V1123" s="66"/>
      <c r="W1123" s="106"/>
      <c r="X1123" s="106" t="s">
        <v>76</v>
      </c>
      <c r="Y1123" s="26" t="s">
        <v>76</v>
      </c>
      <c r="Z1123" s="75" t="s">
        <v>193</v>
      </c>
      <c r="AA1123" s="30" t="s">
        <v>76</v>
      </c>
      <c r="AB1123" s="25" t="s">
        <v>75</v>
      </c>
    </row>
    <row r="1124" spans="1:28" ht="45" hidden="1" customHeight="1">
      <c r="A1124" s="88">
        <v>1114</v>
      </c>
      <c r="B1124" s="79" t="s">
        <v>5532</v>
      </c>
      <c r="C1124" s="148" t="s">
        <v>8</v>
      </c>
      <c r="D1124" s="80" t="s">
        <v>63</v>
      </c>
      <c r="E1124" s="27" t="s">
        <v>2006</v>
      </c>
      <c r="F1124" s="80" t="s">
        <v>109</v>
      </c>
      <c r="G1124" s="81" t="s">
        <v>277</v>
      </c>
      <c r="H1124" s="80" t="s">
        <v>2007</v>
      </c>
      <c r="I1124" s="92">
        <v>45723</v>
      </c>
      <c r="J1124" s="80" t="s">
        <v>3810</v>
      </c>
      <c r="K1124" s="80" t="s">
        <v>112</v>
      </c>
      <c r="L1124" s="84" t="s">
        <v>113</v>
      </c>
      <c r="M1124" s="84" t="s">
        <v>221</v>
      </c>
      <c r="N1124" s="84" t="s">
        <v>72</v>
      </c>
      <c r="O1124" s="129" t="s">
        <v>5533</v>
      </c>
      <c r="P1124" s="132" t="s">
        <v>5534</v>
      </c>
      <c r="Q1124" s="49" t="s">
        <v>75</v>
      </c>
      <c r="R1124" s="25" t="s">
        <v>91</v>
      </c>
      <c r="S1124" s="26">
        <v>19</v>
      </c>
      <c r="T1124" s="26">
        <v>54</v>
      </c>
      <c r="U1124" s="28" t="s">
        <v>5535</v>
      </c>
      <c r="V1124" s="66"/>
      <c r="W1124" s="106"/>
      <c r="X1124" s="106" t="s">
        <v>516</v>
      </c>
      <c r="Y1124" s="26" t="s">
        <v>76</v>
      </c>
      <c r="Z1124" s="75" t="s">
        <v>93</v>
      </c>
      <c r="AA1124" s="30" t="s">
        <v>76</v>
      </c>
    </row>
    <row r="1125" spans="1:28" ht="46.5" hidden="1" customHeight="1">
      <c r="A1125" s="88">
        <v>1115</v>
      </c>
      <c r="B1125" s="79" t="s">
        <v>5536</v>
      </c>
      <c r="C1125" s="148" t="s">
        <v>8</v>
      </c>
      <c r="D1125" s="80" t="s">
        <v>63</v>
      </c>
      <c r="E1125" s="27" t="s">
        <v>2006</v>
      </c>
      <c r="F1125" s="80" t="s">
        <v>109</v>
      </c>
      <c r="G1125" s="81" t="s">
        <v>277</v>
      </c>
      <c r="H1125" s="80" t="s">
        <v>2007</v>
      </c>
      <c r="I1125" s="92">
        <v>45723</v>
      </c>
      <c r="J1125" s="80" t="s">
        <v>3500</v>
      </c>
      <c r="K1125" s="80" t="s">
        <v>198</v>
      </c>
      <c r="L1125" s="84" t="s">
        <v>199</v>
      </c>
      <c r="M1125" s="84" t="s">
        <v>221</v>
      </c>
      <c r="N1125" s="84" t="s">
        <v>72</v>
      </c>
      <c r="O1125" s="129" t="s">
        <v>5537</v>
      </c>
      <c r="P1125" s="132" t="s">
        <v>5538</v>
      </c>
      <c r="Q1125" s="49" t="s">
        <v>75</v>
      </c>
      <c r="R1125" s="25" t="s">
        <v>91</v>
      </c>
      <c r="S1125" s="26">
        <v>18</v>
      </c>
      <c r="T1125" s="26">
        <v>54</v>
      </c>
      <c r="U1125" s="28" t="s">
        <v>5539</v>
      </c>
      <c r="V1125" s="66"/>
      <c r="W1125" s="106"/>
      <c r="X1125" s="106" t="s">
        <v>516</v>
      </c>
      <c r="Y1125" s="106" t="s">
        <v>76</v>
      </c>
      <c r="Z1125" s="75" t="s">
        <v>93</v>
      </c>
      <c r="AA1125" s="30" t="s">
        <v>76</v>
      </c>
    </row>
    <row r="1126" spans="1:28" ht="165" hidden="1">
      <c r="A1126" s="88">
        <v>1116</v>
      </c>
      <c r="B1126" s="79" t="s">
        <v>5540</v>
      </c>
      <c r="C1126" s="148" t="s">
        <v>8</v>
      </c>
      <c r="D1126" s="80" t="s">
        <v>63</v>
      </c>
      <c r="E1126" s="27" t="s">
        <v>3439</v>
      </c>
      <c r="F1126" s="80" t="s">
        <v>109</v>
      </c>
      <c r="G1126" s="81" t="s">
        <v>818</v>
      </c>
      <c r="H1126" s="80" t="s">
        <v>3440</v>
      </c>
      <c r="I1126" s="92">
        <v>45725</v>
      </c>
      <c r="J1126" s="80" t="s">
        <v>3810</v>
      </c>
      <c r="K1126" s="80" t="s">
        <v>112</v>
      </c>
      <c r="L1126" s="84" t="s">
        <v>113</v>
      </c>
      <c r="M1126" s="84" t="s">
        <v>221</v>
      </c>
      <c r="N1126" s="84" t="s">
        <v>72</v>
      </c>
      <c r="O1126" s="129" t="s">
        <v>5541</v>
      </c>
      <c r="P1126" s="132" t="s">
        <v>5542</v>
      </c>
      <c r="Q1126" s="49" t="s">
        <v>75</v>
      </c>
      <c r="R1126" s="25" t="s">
        <v>91</v>
      </c>
      <c r="S1126" s="26">
        <v>21</v>
      </c>
      <c r="T1126" s="26">
        <v>66</v>
      </c>
      <c r="U1126" s="28" t="s">
        <v>5543</v>
      </c>
      <c r="V1126" s="66"/>
      <c r="W1126" s="106"/>
      <c r="X1126" s="106" t="s">
        <v>516</v>
      </c>
      <c r="Y1126" s="26" t="s">
        <v>76</v>
      </c>
      <c r="Z1126" s="75" t="s">
        <v>93</v>
      </c>
      <c r="AA1126" s="30" t="s">
        <v>76</v>
      </c>
    </row>
    <row r="1127" spans="1:28" ht="27.75" hidden="1" customHeight="1">
      <c r="A1127" s="88">
        <v>1117</v>
      </c>
      <c r="B1127" s="79" t="s">
        <v>5544</v>
      </c>
      <c r="C1127" s="148" t="s">
        <v>5211</v>
      </c>
      <c r="D1127" s="80" t="s">
        <v>83</v>
      </c>
      <c r="E1127" s="27" t="s">
        <v>5212</v>
      </c>
      <c r="F1127" s="80" t="s">
        <v>109</v>
      </c>
      <c r="G1127" s="81" t="s">
        <v>85</v>
      </c>
      <c r="H1127" s="80" t="s">
        <v>299</v>
      </c>
      <c r="I1127" s="92">
        <v>45726</v>
      </c>
      <c r="J1127" s="80" t="s">
        <v>3505</v>
      </c>
      <c r="K1127" s="80" t="s">
        <v>5213</v>
      </c>
      <c r="L1127" s="84" t="s">
        <v>251</v>
      </c>
      <c r="M1127" s="84" t="s">
        <v>252</v>
      </c>
      <c r="N1127" s="84" t="s">
        <v>72</v>
      </c>
      <c r="O1127" s="129" t="s">
        <v>5545</v>
      </c>
      <c r="P1127" s="132" t="s">
        <v>5546</v>
      </c>
      <c r="Q1127" s="49" t="s">
        <v>75</v>
      </c>
      <c r="R1127" s="25" t="s">
        <v>91</v>
      </c>
      <c r="S1127" s="26">
        <v>18</v>
      </c>
      <c r="T1127" s="26">
        <v>42</v>
      </c>
      <c r="U1127" s="28" t="s">
        <v>5547</v>
      </c>
      <c r="V1127" s="66"/>
      <c r="W1127" s="106"/>
      <c r="X1127" s="106" t="s">
        <v>516</v>
      </c>
      <c r="Y1127" s="26" t="s">
        <v>76</v>
      </c>
      <c r="Z1127" s="93" t="s">
        <v>106</v>
      </c>
      <c r="AA1127" s="30" t="s">
        <v>76</v>
      </c>
    </row>
    <row r="1128" spans="1:28" ht="27.75" hidden="1" customHeight="1">
      <c r="A1128" s="88">
        <v>1118</v>
      </c>
      <c r="B1128" s="79" t="s">
        <v>5548</v>
      </c>
      <c r="C1128" s="148" t="s">
        <v>8</v>
      </c>
      <c r="D1128" s="80" t="s">
        <v>63</v>
      </c>
      <c r="E1128" s="27" t="s">
        <v>5549</v>
      </c>
      <c r="F1128" s="80" t="s">
        <v>120</v>
      </c>
      <c r="G1128" s="81" t="s">
        <v>1132</v>
      </c>
      <c r="H1128" s="80" t="s">
        <v>5550</v>
      </c>
      <c r="I1128" s="92">
        <v>45726</v>
      </c>
      <c r="J1128" s="80" t="s">
        <v>3512</v>
      </c>
      <c r="K1128" s="80" t="s">
        <v>198</v>
      </c>
      <c r="L1128" s="84" t="s">
        <v>189</v>
      </c>
      <c r="M1128" s="84" t="s">
        <v>221</v>
      </c>
      <c r="N1128" s="84" t="s">
        <v>72</v>
      </c>
      <c r="O1128" s="129" t="s">
        <v>5551</v>
      </c>
      <c r="P1128" s="132" t="s">
        <v>5552</v>
      </c>
      <c r="Q1128" s="49" t="s">
        <v>75</v>
      </c>
      <c r="R1128" s="25" t="s">
        <v>91</v>
      </c>
      <c r="S1128" s="26">
        <v>18</v>
      </c>
      <c r="T1128" s="26">
        <v>54</v>
      </c>
      <c r="U1128" s="28" t="s">
        <v>5553</v>
      </c>
      <c r="V1128" s="66"/>
      <c r="W1128" s="106"/>
      <c r="X1128" s="106" t="s">
        <v>516</v>
      </c>
      <c r="Y1128" s="106" t="s">
        <v>76</v>
      </c>
      <c r="Z1128" s="75" t="s">
        <v>93</v>
      </c>
      <c r="AA1128" s="30" t="s">
        <v>76</v>
      </c>
    </row>
    <row r="1129" spans="1:28" ht="27.75" hidden="1" customHeight="1">
      <c r="A1129" s="88">
        <v>1119</v>
      </c>
      <c r="B1129" s="79" t="s">
        <v>5554</v>
      </c>
      <c r="C1129" s="148" t="s">
        <v>8</v>
      </c>
      <c r="D1129" s="80" t="s">
        <v>63</v>
      </c>
      <c r="E1129" s="27" t="s">
        <v>1591</v>
      </c>
      <c r="F1129" s="80" t="s">
        <v>109</v>
      </c>
      <c r="G1129" s="81" t="s">
        <v>1132</v>
      </c>
      <c r="H1129" s="80" t="s">
        <v>1592</v>
      </c>
      <c r="I1129" s="92">
        <v>45726</v>
      </c>
      <c r="J1129" s="80" t="s">
        <v>3494</v>
      </c>
      <c r="K1129" s="80" t="s">
        <v>198</v>
      </c>
      <c r="L1129" s="84" t="s">
        <v>199</v>
      </c>
      <c r="M1129" s="84" t="s">
        <v>200</v>
      </c>
      <c r="N1129" s="84" t="s">
        <v>72</v>
      </c>
      <c r="O1129" s="129" t="s">
        <v>5555</v>
      </c>
      <c r="P1129" s="132" t="s">
        <v>5556</v>
      </c>
      <c r="Q1129" s="49" t="s">
        <v>75</v>
      </c>
      <c r="R1129" s="25" t="s">
        <v>91</v>
      </c>
      <c r="S1129" s="26">
        <v>18</v>
      </c>
      <c r="T1129" s="26">
        <v>54</v>
      </c>
      <c r="U1129" s="28" t="s">
        <v>5539</v>
      </c>
      <c r="V1129" s="66"/>
      <c r="W1129" s="106"/>
      <c r="X1129" s="106" t="s">
        <v>516</v>
      </c>
      <c r="Y1129" s="106" t="s">
        <v>76</v>
      </c>
      <c r="Z1129" s="75" t="s">
        <v>93</v>
      </c>
      <c r="AA1129" s="30" t="s">
        <v>76</v>
      </c>
    </row>
    <row r="1130" spans="1:28" ht="27.75" hidden="1" customHeight="1">
      <c r="A1130" s="88">
        <v>1120</v>
      </c>
      <c r="B1130" s="79" t="s">
        <v>5557</v>
      </c>
      <c r="C1130" s="148" t="s">
        <v>8</v>
      </c>
      <c r="D1130" s="80" t="s">
        <v>63</v>
      </c>
      <c r="E1130" s="27" t="s">
        <v>1591</v>
      </c>
      <c r="F1130" s="80" t="s">
        <v>109</v>
      </c>
      <c r="G1130" s="81" t="s">
        <v>1132</v>
      </c>
      <c r="H1130" s="80" t="s">
        <v>1592</v>
      </c>
      <c r="I1130" s="92">
        <v>45726</v>
      </c>
      <c r="J1130" s="80" t="s">
        <v>3494</v>
      </c>
      <c r="K1130" s="80" t="s">
        <v>198</v>
      </c>
      <c r="L1130" s="84" t="s">
        <v>199</v>
      </c>
      <c r="M1130" s="84" t="s">
        <v>200</v>
      </c>
      <c r="N1130" s="84" t="s">
        <v>72</v>
      </c>
      <c r="O1130" s="129" t="s">
        <v>5558</v>
      </c>
      <c r="P1130" s="132" t="s">
        <v>5559</v>
      </c>
      <c r="Q1130" s="49" t="s">
        <v>75</v>
      </c>
      <c r="R1130" s="25" t="s">
        <v>91</v>
      </c>
      <c r="S1130" s="26">
        <v>18</v>
      </c>
      <c r="T1130" s="26">
        <v>54</v>
      </c>
      <c r="U1130" s="28" t="s">
        <v>5539</v>
      </c>
      <c r="V1130" s="66"/>
      <c r="W1130" s="106"/>
      <c r="X1130" s="106" t="s">
        <v>516</v>
      </c>
      <c r="Y1130" s="106" t="s">
        <v>76</v>
      </c>
      <c r="Z1130" s="75" t="s">
        <v>93</v>
      </c>
      <c r="AA1130" s="30" t="s">
        <v>76</v>
      </c>
    </row>
    <row r="1131" spans="1:28" ht="27.75" hidden="1" customHeight="1">
      <c r="A1131" s="88">
        <v>1121</v>
      </c>
      <c r="B1131" s="79" t="s">
        <v>5560</v>
      </c>
      <c r="C1131" s="148" t="s">
        <v>8</v>
      </c>
      <c r="D1131" s="80" t="s">
        <v>63</v>
      </c>
      <c r="E1131" s="27" t="s">
        <v>1591</v>
      </c>
      <c r="F1131" s="80" t="s">
        <v>109</v>
      </c>
      <c r="G1131" s="81" t="s">
        <v>1132</v>
      </c>
      <c r="H1131" s="80" t="s">
        <v>1592</v>
      </c>
      <c r="I1131" s="92">
        <v>45726</v>
      </c>
      <c r="J1131" s="80" t="s">
        <v>3494</v>
      </c>
      <c r="K1131" s="80" t="s">
        <v>198</v>
      </c>
      <c r="L1131" s="84" t="s">
        <v>199</v>
      </c>
      <c r="M1131" s="84" t="s">
        <v>200</v>
      </c>
      <c r="N1131" s="84" t="s">
        <v>72</v>
      </c>
      <c r="O1131" s="129" t="s">
        <v>5561</v>
      </c>
      <c r="P1131" s="132" t="s">
        <v>5562</v>
      </c>
      <c r="Q1131" s="49" t="s">
        <v>75</v>
      </c>
      <c r="R1131" s="25" t="s">
        <v>91</v>
      </c>
      <c r="S1131" s="26">
        <v>18</v>
      </c>
      <c r="T1131" s="26">
        <v>54</v>
      </c>
      <c r="U1131" s="28" t="s">
        <v>5539</v>
      </c>
      <c r="V1131" s="66"/>
      <c r="W1131" s="106"/>
      <c r="X1131" s="106" t="s">
        <v>516</v>
      </c>
      <c r="Y1131" s="106" t="s">
        <v>76</v>
      </c>
      <c r="Z1131" s="75" t="s">
        <v>93</v>
      </c>
      <c r="AA1131" s="30" t="s">
        <v>76</v>
      </c>
    </row>
    <row r="1132" spans="1:28" ht="27.75" hidden="1" customHeight="1">
      <c r="A1132" s="88">
        <v>1122</v>
      </c>
      <c r="B1132" s="79" t="s">
        <v>5563</v>
      </c>
      <c r="C1132" s="148" t="s">
        <v>8</v>
      </c>
      <c r="D1132" s="80" t="s">
        <v>63</v>
      </c>
      <c r="E1132" s="27" t="s">
        <v>5564</v>
      </c>
      <c r="F1132" s="80" t="s">
        <v>109</v>
      </c>
      <c r="G1132" s="81" t="s">
        <v>1701</v>
      </c>
      <c r="H1132" s="80" t="s">
        <v>5565</v>
      </c>
      <c r="I1132" s="92">
        <v>45726</v>
      </c>
      <c r="J1132" s="80" t="s">
        <v>3526</v>
      </c>
      <c r="K1132" s="80" t="s">
        <v>299</v>
      </c>
      <c r="L1132" s="84" t="s">
        <v>189</v>
      </c>
      <c r="M1132" s="84" t="s">
        <v>114</v>
      </c>
      <c r="N1132" s="84" t="s">
        <v>72</v>
      </c>
      <c r="O1132" s="129" t="s">
        <v>5566</v>
      </c>
      <c r="P1132" s="132" t="s">
        <v>5567</v>
      </c>
      <c r="Q1132" s="49" t="s">
        <v>75</v>
      </c>
      <c r="R1132" s="25" t="s">
        <v>91</v>
      </c>
      <c r="S1132" s="26">
        <v>17</v>
      </c>
      <c r="T1132" s="26">
        <v>61</v>
      </c>
      <c r="U1132" s="28" t="s">
        <v>5568</v>
      </c>
      <c r="V1132" s="66"/>
      <c r="W1132" s="106"/>
      <c r="X1132" s="106" t="s">
        <v>516</v>
      </c>
      <c r="Y1132" s="26" t="s">
        <v>76</v>
      </c>
      <c r="Z1132" s="93" t="s">
        <v>93</v>
      </c>
      <c r="AA1132" s="30" t="s">
        <v>76</v>
      </c>
    </row>
    <row r="1133" spans="1:28" ht="27.75" hidden="1" customHeight="1">
      <c r="A1133" s="88">
        <v>1123</v>
      </c>
      <c r="B1133" s="79" t="s">
        <v>5569</v>
      </c>
      <c r="C1133" s="148" t="s">
        <v>2146</v>
      </c>
      <c r="D1133" s="80" t="s">
        <v>83</v>
      </c>
      <c r="E1133" s="27" t="s">
        <v>5570</v>
      </c>
      <c r="F1133" s="80" t="s">
        <v>284</v>
      </c>
      <c r="G1133" s="81" t="s">
        <v>2197</v>
      </c>
      <c r="H1133" s="80" t="s">
        <v>5571</v>
      </c>
      <c r="I1133" s="92">
        <v>45726</v>
      </c>
      <c r="J1133" s="80" t="s">
        <v>3505</v>
      </c>
      <c r="K1133" s="80" t="s">
        <v>69</v>
      </c>
      <c r="L1133" s="84" t="s">
        <v>251</v>
      </c>
      <c r="M1133" s="84" t="s">
        <v>252</v>
      </c>
      <c r="N1133" s="84" t="s">
        <v>920</v>
      </c>
      <c r="O1133" s="129" t="s">
        <v>5572</v>
      </c>
      <c r="P1133" s="132" t="s">
        <v>5573</v>
      </c>
      <c r="Q1133" s="49" t="s">
        <v>75</v>
      </c>
      <c r="R1133" s="25" t="s">
        <v>91</v>
      </c>
      <c r="S1133" s="26">
        <v>19</v>
      </c>
      <c r="T1133" s="26">
        <v>63</v>
      </c>
      <c r="U1133" s="28" t="s">
        <v>5574</v>
      </c>
      <c r="V1133" s="66"/>
      <c r="W1133" s="106"/>
      <c r="X1133" s="106" t="s">
        <v>516</v>
      </c>
      <c r="Y1133" s="26" t="s">
        <v>76</v>
      </c>
      <c r="Z1133" s="75" t="s">
        <v>106</v>
      </c>
      <c r="AA1133" s="30" t="s">
        <v>76</v>
      </c>
    </row>
    <row r="1134" spans="1:28" ht="27.75" hidden="1" customHeight="1">
      <c r="A1134" s="88">
        <v>1124</v>
      </c>
      <c r="B1134" s="79" t="s">
        <v>5575</v>
      </c>
      <c r="C1134" s="148" t="s">
        <v>2146</v>
      </c>
      <c r="D1134" s="80" t="s">
        <v>83</v>
      </c>
      <c r="E1134" s="27" t="s">
        <v>5576</v>
      </c>
      <c r="F1134" s="80" t="s">
        <v>65</v>
      </c>
      <c r="G1134" s="81" t="s">
        <v>2197</v>
      </c>
      <c r="H1134" s="80" t="s">
        <v>2671</v>
      </c>
      <c r="I1134" s="92">
        <v>45726</v>
      </c>
      <c r="J1134" s="80" t="s">
        <v>3505</v>
      </c>
      <c r="K1134" s="80" t="s">
        <v>69</v>
      </c>
      <c r="L1134" s="84" t="s">
        <v>251</v>
      </c>
      <c r="M1134" s="84" t="s">
        <v>252</v>
      </c>
      <c r="N1134" s="84" t="s">
        <v>920</v>
      </c>
      <c r="O1134" s="129" t="s">
        <v>5577</v>
      </c>
      <c r="P1134" s="132" t="s">
        <v>5578</v>
      </c>
      <c r="Q1134" s="49" t="s">
        <v>75</v>
      </c>
      <c r="R1134" s="25" t="s">
        <v>91</v>
      </c>
      <c r="S1134" s="26">
        <v>19</v>
      </c>
      <c r="T1134" s="26">
        <v>51</v>
      </c>
      <c r="U1134" s="28" t="s">
        <v>5579</v>
      </c>
      <c r="V1134" s="66"/>
      <c r="W1134" s="106"/>
      <c r="X1134" s="106" t="s">
        <v>516</v>
      </c>
      <c r="Y1134" s="26" t="s">
        <v>76</v>
      </c>
      <c r="Z1134" s="75" t="s">
        <v>93</v>
      </c>
      <c r="AA1134" s="30" t="s">
        <v>76</v>
      </c>
    </row>
    <row r="1135" spans="1:28" ht="27.75" hidden="1" customHeight="1">
      <c r="A1135" s="88">
        <v>1125</v>
      </c>
      <c r="B1135" s="79" t="s">
        <v>5580</v>
      </c>
      <c r="C1135" s="148" t="s">
        <v>2146</v>
      </c>
      <c r="D1135" s="80" t="s">
        <v>83</v>
      </c>
      <c r="E1135" s="27" t="s">
        <v>2147</v>
      </c>
      <c r="F1135" s="80" t="s">
        <v>120</v>
      </c>
      <c r="G1135" s="81" t="s">
        <v>2148</v>
      </c>
      <c r="H1135" s="80" t="s">
        <v>2149</v>
      </c>
      <c r="I1135" s="92">
        <v>45726</v>
      </c>
      <c r="J1135" s="80" t="s">
        <v>3505</v>
      </c>
      <c r="K1135" s="80" t="s">
        <v>69</v>
      </c>
      <c r="L1135" s="84" t="s">
        <v>251</v>
      </c>
      <c r="M1135" s="84" t="s">
        <v>252</v>
      </c>
      <c r="N1135" s="84" t="s">
        <v>920</v>
      </c>
      <c r="O1135" s="129" t="s">
        <v>5581</v>
      </c>
      <c r="P1135" s="132" t="s">
        <v>5582</v>
      </c>
      <c r="Q1135" s="49" t="s">
        <v>75</v>
      </c>
      <c r="R1135" s="25" t="s">
        <v>91</v>
      </c>
      <c r="S1135" s="26">
        <v>19</v>
      </c>
      <c r="T1135" s="26">
        <v>53</v>
      </c>
      <c r="U1135" s="28" t="s">
        <v>5583</v>
      </c>
      <c r="V1135" s="66"/>
      <c r="W1135" s="106"/>
      <c r="X1135" s="106" t="s">
        <v>516</v>
      </c>
      <c r="Y1135" s="26" t="s">
        <v>76</v>
      </c>
      <c r="Z1135" s="75" t="s">
        <v>93</v>
      </c>
      <c r="AA1135" s="30" t="s">
        <v>76</v>
      </c>
    </row>
    <row r="1136" spans="1:28" ht="27.75" hidden="1" customHeight="1">
      <c r="A1136" s="88">
        <v>1126</v>
      </c>
      <c r="B1136" s="79" t="s">
        <v>5584</v>
      </c>
      <c r="C1136" s="148" t="s">
        <v>2146</v>
      </c>
      <c r="D1136" s="80" t="s">
        <v>83</v>
      </c>
      <c r="E1136" s="27" t="s">
        <v>2147</v>
      </c>
      <c r="F1136" s="80" t="s">
        <v>120</v>
      </c>
      <c r="G1136" s="81" t="s">
        <v>2148</v>
      </c>
      <c r="H1136" s="80" t="s">
        <v>2149</v>
      </c>
      <c r="I1136" s="92">
        <v>45726</v>
      </c>
      <c r="J1136" s="80" t="s">
        <v>3505</v>
      </c>
      <c r="K1136" s="80" t="s">
        <v>69</v>
      </c>
      <c r="L1136" s="84" t="s">
        <v>251</v>
      </c>
      <c r="M1136" s="84" t="s">
        <v>252</v>
      </c>
      <c r="N1136" s="84" t="s">
        <v>920</v>
      </c>
      <c r="O1136" s="129" t="s">
        <v>5585</v>
      </c>
      <c r="P1136" s="132" t="s">
        <v>5586</v>
      </c>
      <c r="Q1136" s="49" t="s">
        <v>75</v>
      </c>
      <c r="R1136" s="25" t="s">
        <v>91</v>
      </c>
      <c r="S1136" s="26">
        <v>20</v>
      </c>
      <c r="T1136" s="26">
        <v>58</v>
      </c>
      <c r="U1136" s="28" t="s">
        <v>5587</v>
      </c>
      <c r="V1136" s="66"/>
      <c r="W1136" s="106"/>
      <c r="X1136" s="106" t="s">
        <v>516</v>
      </c>
      <c r="Y1136" s="26" t="s">
        <v>76</v>
      </c>
      <c r="Z1136" s="75" t="s">
        <v>93</v>
      </c>
      <c r="AA1136" s="30" t="s">
        <v>76</v>
      </c>
    </row>
    <row r="1137" spans="1:27" ht="27.75" hidden="1" customHeight="1">
      <c r="A1137" s="88">
        <v>1127</v>
      </c>
      <c r="B1137" s="79" t="s">
        <v>5588</v>
      </c>
      <c r="C1137" s="148" t="s">
        <v>2146</v>
      </c>
      <c r="D1137" s="80" t="s">
        <v>83</v>
      </c>
      <c r="E1137" s="27" t="s">
        <v>2282</v>
      </c>
      <c r="F1137" s="80" t="s">
        <v>120</v>
      </c>
      <c r="G1137" s="81" t="s">
        <v>2148</v>
      </c>
      <c r="H1137" s="80" t="s">
        <v>2283</v>
      </c>
      <c r="I1137" s="92">
        <v>45726</v>
      </c>
      <c r="J1137" s="80" t="s">
        <v>3505</v>
      </c>
      <c r="K1137" s="80" t="s">
        <v>69</v>
      </c>
      <c r="L1137" s="84" t="s">
        <v>251</v>
      </c>
      <c r="M1137" s="84" t="s">
        <v>252</v>
      </c>
      <c r="N1137" s="84" t="s">
        <v>920</v>
      </c>
      <c r="O1137" s="129" t="s">
        <v>5589</v>
      </c>
      <c r="P1137" s="132" t="s">
        <v>5590</v>
      </c>
      <c r="Q1137" s="49" t="s">
        <v>75</v>
      </c>
      <c r="R1137" s="25" t="s">
        <v>91</v>
      </c>
      <c r="S1137" s="26">
        <v>20</v>
      </c>
      <c r="T1137" s="26">
        <v>56</v>
      </c>
      <c r="U1137" s="28" t="s">
        <v>5591</v>
      </c>
      <c r="V1137" s="66"/>
      <c r="W1137" s="106"/>
      <c r="X1137" s="106" t="s">
        <v>516</v>
      </c>
      <c r="Y1137" s="26" t="s">
        <v>76</v>
      </c>
      <c r="Z1137" s="75" t="s">
        <v>93</v>
      </c>
      <c r="AA1137" s="30" t="s">
        <v>76</v>
      </c>
    </row>
    <row r="1138" spans="1:27" ht="55.5" hidden="1" customHeight="1">
      <c r="A1138" s="88">
        <v>1128</v>
      </c>
      <c r="B1138" s="79" t="s">
        <v>5592</v>
      </c>
      <c r="C1138" s="148" t="s">
        <v>2146</v>
      </c>
      <c r="D1138" s="80" t="s">
        <v>83</v>
      </c>
      <c r="E1138" s="27" t="s">
        <v>2282</v>
      </c>
      <c r="F1138" s="80" t="s">
        <v>120</v>
      </c>
      <c r="G1138" s="81" t="s">
        <v>2148</v>
      </c>
      <c r="H1138" s="80" t="s">
        <v>2283</v>
      </c>
      <c r="I1138" s="92">
        <v>45726</v>
      </c>
      <c r="J1138" s="80" t="s">
        <v>3505</v>
      </c>
      <c r="K1138" s="80" t="s">
        <v>69</v>
      </c>
      <c r="L1138" s="84" t="s">
        <v>251</v>
      </c>
      <c r="M1138" s="84" t="s">
        <v>252</v>
      </c>
      <c r="N1138" s="84" t="s">
        <v>920</v>
      </c>
      <c r="O1138" s="129" t="s">
        <v>5593</v>
      </c>
      <c r="P1138" s="132" t="s">
        <v>5594</v>
      </c>
      <c r="Q1138" s="49" t="s">
        <v>75</v>
      </c>
      <c r="R1138" s="25" t="s">
        <v>91</v>
      </c>
      <c r="S1138" s="26">
        <v>19</v>
      </c>
      <c r="T1138" s="26">
        <v>49</v>
      </c>
      <c r="U1138" s="28" t="s">
        <v>5595</v>
      </c>
      <c r="V1138" s="66"/>
      <c r="W1138" s="106"/>
      <c r="X1138" s="106" t="s">
        <v>516</v>
      </c>
      <c r="Y1138" s="26" t="s">
        <v>76</v>
      </c>
      <c r="Z1138" s="75" t="s">
        <v>93</v>
      </c>
      <c r="AA1138" s="30" t="s">
        <v>76</v>
      </c>
    </row>
    <row r="1139" spans="1:27" ht="65.25" hidden="1" customHeight="1">
      <c r="A1139" s="88">
        <v>1129</v>
      </c>
      <c r="B1139" s="79" t="s">
        <v>5596</v>
      </c>
      <c r="C1139" s="148" t="s">
        <v>2146</v>
      </c>
      <c r="D1139" s="80" t="s">
        <v>83</v>
      </c>
      <c r="E1139" s="27" t="s">
        <v>5597</v>
      </c>
      <c r="F1139" s="80" t="s">
        <v>109</v>
      </c>
      <c r="G1139" s="81" t="s">
        <v>2148</v>
      </c>
      <c r="H1139" s="80" t="s">
        <v>5598</v>
      </c>
      <c r="I1139" s="92">
        <v>45726</v>
      </c>
      <c r="J1139" s="80" t="s">
        <v>3505</v>
      </c>
      <c r="K1139" s="80" t="s">
        <v>69</v>
      </c>
      <c r="L1139" s="84" t="s">
        <v>251</v>
      </c>
      <c r="M1139" s="84" t="s">
        <v>252</v>
      </c>
      <c r="N1139" s="84" t="s">
        <v>920</v>
      </c>
      <c r="O1139" s="129" t="s">
        <v>5599</v>
      </c>
      <c r="P1139" s="132" t="s">
        <v>5600</v>
      </c>
      <c r="Q1139" s="49" t="s">
        <v>75</v>
      </c>
      <c r="R1139" s="25" t="s">
        <v>91</v>
      </c>
      <c r="S1139" s="26">
        <v>18</v>
      </c>
      <c r="T1139" s="26">
        <v>48</v>
      </c>
      <c r="U1139" s="28" t="s">
        <v>5601</v>
      </c>
      <c r="V1139" s="66"/>
      <c r="W1139" s="106"/>
      <c r="X1139" s="106" t="s">
        <v>516</v>
      </c>
      <c r="Y1139" s="26" t="s">
        <v>76</v>
      </c>
      <c r="Z1139" s="75" t="s">
        <v>93</v>
      </c>
      <c r="AA1139" s="30" t="s">
        <v>76</v>
      </c>
    </row>
    <row r="1140" spans="1:27" ht="33.75" hidden="1" customHeight="1">
      <c r="A1140" s="88">
        <v>1130</v>
      </c>
      <c r="B1140" s="79" t="s">
        <v>5602</v>
      </c>
      <c r="C1140" s="148" t="s">
        <v>2146</v>
      </c>
      <c r="D1140" s="80" t="s">
        <v>83</v>
      </c>
      <c r="E1140" s="27" t="s">
        <v>5603</v>
      </c>
      <c r="F1140" s="80" t="s">
        <v>284</v>
      </c>
      <c r="G1140" s="81" t="s">
        <v>2148</v>
      </c>
      <c r="H1140" s="80" t="s">
        <v>5604</v>
      </c>
      <c r="I1140" s="92">
        <v>45726</v>
      </c>
      <c r="J1140" s="80" t="s">
        <v>3505</v>
      </c>
      <c r="K1140" s="80" t="s">
        <v>69</v>
      </c>
      <c r="L1140" s="84" t="s">
        <v>251</v>
      </c>
      <c r="M1140" s="84" t="s">
        <v>252</v>
      </c>
      <c r="N1140" s="84" t="s">
        <v>920</v>
      </c>
      <c r="O1140" s="129" t="s">
        <v>5605</v>
      </c>
      <c r="P1140" s="132" t="s">
        <v>5606</v>
      </c>
      <c r="Q1140" s="49" t="s">
        <v>75</v>
      </c>
      <c r="R1140" s="25" t="s">
        <v>91</v>
      </c>
      <c r="S1140" s="26">
        <v>21</v>
      </c>
      <c r="T1140" s="26">
        <v>55</v>
      </c>
      <c r="U1140" s="28" t="s">
        <v>5607</v>
      </c>
      <c r="V1140" s="66"/>
      <c r="W1140" s="106"/>
      <c r="X1140" s="106" t="s">
        <v>516</v>
      </c>
      <c r="Y1140" s="26" t="s">
        <v>76</v>
      </c>
      <c r="Z1140" s="75" t="s">
        <v>93</v>
      </c>
      <c r="AA1140" s="30" t="s">
        <v>76</v>
      </c>
    </row>
    <row r="1141" spans="1:27" ht="33.75" hidden="1" customHeight="1">
      <c r="A1141" s="88">
        <v>1131</v>
      </c>
      <c r="B1141" s="79" t="s">
        <v>5608</v>
      </c>
      <c r="C1141" s="148" t="s">
        <v>2146</v>
      </c>
      <c r="D1141" s="80" t="s">
        <v>83</v>
      </c>
      <c r="E1141" s="27" t="s">
        <v>5609</v>
      </c>
      <c r="F1141" s="80" t="s">
        <v>338</v>
      </c>
      <c r="G1141" s="81" t="s">
        <v>2148</v>
      </c>
      <c r="H1141" s="80" t="s">
        <v>5610</v>
      </c>
      <c r="I1141" s="92">
        <v>45726</v>
      </c>
      <c r="J1141" s="80" t="s">
        <v>3505</v>
      </c>
      <c r="K1141" s="80" t="s">
        <v>69</v>
      </c>
      <c r="L1141" s="84" t="s">
        <v>251</v>
      </c>
      <c r="M1141" s="84" t="s">
        <v>252</v>
      </c>
      <c r="N1141" s="84" t="s">
        <v>920</v>
      </c>
      <c r="O1141" s="129" t="s">
        <v>5611</v>
      </c>
      <c r="P1141" s="132" t="s">
        <v>5612</v>
      </c>
      <c r="Q1141" s="49" t="s">
        <v>75</v>
      </c>
      <c r="R1141" s="25" t="s">
        <v>91</v>
      </c>
      <c r="S1141" s="26">
        <v>20</v>
      </c>
      <c r="T1141" s="26">
        <v>54</v>
      </c>
      <c r="U1141" s="28" t="s">
        <v>5613</v>
      </c>
      <c r="V1141" s="66"/>
      <c r="W1141" s="106"/>
      <c r="X1141" s="106" t="s">
        <v>516</v>
      </c>
      <c r="Y1141" s="26" t="s">
        <v>76</v>
      </c>
      <c r="Z1141" s="75" t="s">
        <v>93</v>
      </c>
      <c r="AA1141" s="30" t="s">
        <v>76</v>
      </c>
    </row>
    <row r="1142" spans="1:27" ht="33.75" hidden="1" customHeight="1">
      <c r="A1142" s="88">
        <v>1132</v>
      </c>
      <c r="B1142" s="79" t="s">
        <v>5614</v>
      </c>
      <c r="C1142" s="148" t="s">
        <v>2146</v>
      </c>
      <c r="D1142" s="80" t="s">
        <v>83</v>
      </c>
      <c r="E1142" s="27" t="s">
        <v>5615</v>
      </c>
      <c r="F1142" s="80" t="s">
        <v>284</v>
      </c>
      <c r="G1142" s="81" t="s">
        <v>2148</v>
      </c>
      <c r="H1142" s="80" t="s">
        <v>5616</v>
      </c>
      <c r="I1142" s="92">
        <v>45726</v>
      </c>
      <c r="J1142" s="80" t="s">
        <v>3505</v>
      </c>
      <c r="K1142" s="80" t="s">
        <v>69</v>
      </c>
      <c r="L1142" s="84" t="s">
        <v>251</v>
      </c>
      <c r="M1142" s="84" t="s">
        <v>252</v>
      </c>
      <c r="N1142" s="84" t="s">
        <v>920</v>
      </c>
      <c r="O1142" s="129" t="s">
        <v>5617</v>
      </c>
      <c r="P1142" s="132" t="s">
        <v>5618</v>
      </c>
      <c r="Q1142" s="49" t="s">
        <v>91</v>
      </c>
      <c r="R1142" s="25"/>
      <c r="S1142" s="26">
        <v>10</v>
      </c>
      <c r="T1142" s="26"/>
      <c r="U1142" s="28" t="s">
        <v>5619</v>
      </c>
      <c r="V1142" s="66"/>
      <c r="W1142" s="106"/>
      <c r="X1142" s="106" t="s">
        <v>76</v>
      </c>
      <c r="Y1142" s="26" t="s">
        <v>76</v>
      </c>
      <c r="Z1142" s="75" t="s">
        <v>193</v>
      </c>
      <c r="AA1142" s="30" t="s">
        <v>76</v>
      </c>
    </row>
    <row r="1143" spans="1:27" ht="33.75" hidden="1" customHeight="1">
      <c r="A1143" s="88">
        <v>1133</v>
      </c>
      <c r="B1143" s="79" t="s">
        <v>5620</v>
      </c>
      <c r="C1143" s="148" t="s">
        <v>2146</v>
      </c>
      <c r="D1143" s="80" t="s">
        <v>83</v>
      </c>
      <c r="E1143" s="27" t="s">
        <v>5621</v>
      </c>
      <c r="F1143" s="80" t="s">
        <v>109</v>
      </c>
      <c r="G1143" s="81" t="s">
        <v>2148</v>
      </c>
      <c r="H1143" s="80" t="s">
        <v>5622</v>
      </c>
      <c r="I1143" s="92">
        <v>45726</v>
      </c>
      <c r="J1143" s="80" t="s">
        <v>3505</v>
      </c>
      <c r="K1143" s="80" t="s">
        <v>69</v>
      </c>
      <c r="L1143" s="84" t="s">
        <v>251</v>
      </c>
      <c r="M1143" s="84" t="s">
        <v>252</v>
      </c>
      <c r="N1143" s="84" t="s">
        <v>920</v>
      </c>
      <c r="O1143" s="129" t="s">
        <v>5623</v>
      </c>
      <c r="P1143" s="132" t="s">
        <v>5624</v>
      </c>
      <c r="Q1143" s="49" t="s">
        <v>91</v>
      </c>
      <c r="R1143" s="25"/>
      <c r="S1143" s="26">
        <v>13</v>
      </c>
      <c r="T1143" s="26"/>
      <c r="U1143" s="28" t="s">
        <v>5625</v>
      </c>
      <c r="V1143" s="66"/>
      <c r="W1143" s="106"/>
      <c r="X1143" s="106" t="s">
        <v>76</v>
      </c>
      <c r="Y1143" s="26" t="s">
        <v>76</v>
      </c>
      <c r="Z1143" s="75" t="s">
        <v>193</v>
      </c>
      <c r="AA1143" s="30" t="s">
        <v>76</v>
      </c>
    </row>
    <row r="1144" spans="1:27" ht="33.75" hidden="1" customHeight="1">
      <c r="A1144" s="88">
        <v>1134</v>
      </c>
      <c r="B1144" s="79" t="s">
        <v>5626</v>
      </c>
      <c r="C1144" s="148" t="s">
        <v>2146</v>
      </c>
      <c r="D1144" s="80" t="s">
        <v>83</v>
      </c>
      <c r="E1144" s="27" t="s">
        <v>5627</v>
      </c>
      <c r="F1144" s="80" t="s">
        <v>284</v>
      </c>
      <c r="G1144" s="81" t="s">
        <v>2148</v>
      </c>
      <c r="H1144" s="80" t="s">
        <v>5628</v>
      </c>
      <c r="I1144" s="92">
        <v>45726</v>
      </c>
      <c r="J1144" s="80" t="s">
        <v>3505</v>
      </c>
      <c r="K1144" s="80" t="s">
        <v>69</v>
      </c>
      <c r="L1144" s="84" t="s">
        <v>251</v>
      </c>
      <c r="M1144" s="84" t="s">
        <v>252</v>
      </c>
      <c r="N1144" s="84" t="s">
        <v>920</v>
      </c>
      <c r="O1144" s="129" t="s">
        <v>5629</v>
      </c>
      <c r="P1144" s="132" t="s">
        <v>5630</v>
      </c>
      <c r="Q1144" s="49" t="s">
        <v>75</v>
      </c>
      <c r="R1144" s="25" t="s">
        <v>91</v>
      </c>
      <c r="S1144" s="26">
        <v>18</v>
      </c>
      <c r="T1144" s="26">
        <v>34</v>
      </c>
      <c r="U1144" s="28" t="s">
        <v>5631</v>
      </c>
      <c r="V1144" s="66"/>
      <c r="W1144" s="106"/>
      <c r="X1144" s="106" t="s">
        <v>516</v>
      </c>
      <c r="Y1144" s="26" t="s">
        <v>76</v>
      </c>
      <c r="Z1144" s="75" t="s">
        <v>93</v>
      </c>
      <c r="AA1144" s="30" t="s">
        <v>76</v>
      </c>
    </row>
    <row r="1145" spans="1:27" ht="67.5" hidden="1" customHeight="1">
      <c r="A1145" s="88">
        <v>1135</v>
      </c>
      <c r="B1145" s="79" t="s">
        <v>5632</v>
      </c>
      <c r="C1145" s="148" t="s">
        <v>2146</v>
      </c>
      <c r="D1145" s="80" t="s">
        <v>83</v>
      </c>
      <c r="E1145" s="27" t="s">
        <v>5633</v>
      </c>
      <c r="F1145" s="80" t="s">
        <v>120</v>
      </c>
      <c r="G1145" s="81" t="s">
        <v>5634</v>
      </c>
      <c r="H1145" s="80" t="s">
        <v>2926</v>
      </c>
      <c r="I1145" s="92">
        <v>45727</v>
      </c>
      <c r="J1145" s="80" t="s">
        <v>3505</v>
      </c>
      <c r="K1145" s="80" t="s">
        <v>69</v>
      </c>
      <c r="L1145" s="84" t="s">
        <v>251</v>
      </c>
      <c r="M1145" s="84" t="s">
        <v>252</v>
      </c>
      <c r="N1145" s="84" t="s">
        <v>920</v>
      </c>
      <c r="O1145" s="129" t="s">
        <v>5635</v>
      </c>
      <c r="P1145" s="132" t="s">
        <v>5636</v>
      </c>
      <c r="Q1145" s="49" t="s">
        <v>75</v>
      </c>
      <c r="R1145" s="25" t="s">
        <v>91</v>
      </c>
      <c r="S1145" s="26">
        <v>19</v>
      </c>
      <c r="T1145" s="26">
        <v>61</v>
      </c>
      <c r="U1145" s="28" t="s">
        <v>5637</v>
      </c>
      <c r="V1145" s="66"/>
      <c r="W1145" s="106"/>
      <c r="X1145" s="106" t="s">
        <v>516</v>
      </c>
      <c r="Y1145" s="26" t="s">
        <v>76</v>
      </c>
      <c r="Z1145" s="75" t="s">
        <v>93</v>
      </c>
      <c r="AA1145" s="30" t="s">
        <v>76</v>
      </c>
    </row>
    <row r="1146" spans="1:27" ht="54" hidden="1" customHeight="1">
      <c r="A1146" s="88">
        <v>1136</v>
      </c>
      <c r="B1146" s="79" t="s">
        <v>5638</v>
      </c>
      <c r="C1146" s="148" t="s">
        <v>2146</v>
      </c>
      <c r="D1146" s="80" t="s">
        <v>83</v>
      </c>
      <c r="E1146" s="27" t="s">
        <v>5639</v>
      </c>
      <c r="F1146" s="80" t="s">
        <v>109</v>
      </c>
      <c r="G1146" s="81" t="s">
        <v>5640</v>
      </c>
      <c r="H1146" s="80" t="s">
        <v>5641</v>
      </c>
      <c r="I1146" s="92">
        <v>45717</v>
      </c>
      <c r="J1146" s="80" t="s">
        <v>3505</v>
      </c>
      <c r="K1146" s="80" t="s">
        <v>69</v>
      </c>
      <c r="L1146" s="84" t="s">
        <v>251</v>
      </c>
      <c r="M1146" s="84" t="s">
        <v>252</v>
      </c>
      <c r="N1146" s="84" t="s">
        <v>920</v>
      </c>
      <c r="O1146" s="129" t="s">
        <v>5642</v>
      </c>
      <c r="P1146" s="132" t="s">
        <v>5643</v>
      </c>
      <c r="Q1146" s="49" t="s">
        <v>75</v>
      </c>
      <c r="R1146" s="25" t="s">
        <v>91</v>
      </c>
      <c r="S1146" s="26">
        <v>23</v>
      </c>
      <c r="T1146" s="26">
        <v>57</v>
      </c>
      <c r="U1146" s="28" t="s">
        <v>5644</v>
      </c>
      <c r="V1146" s="66"/>
      <c r="W1146" s="106"/>
      <c r="X1146" s="106" t="s">
        <v>516</v>
      </c>
      <c r="Y1146" s="26" t="s">
        <v>76</v>
      </c>
      <c r="Z1146" s="75" t="s">
        <v>93</v>
      </c>
      <c r="AA1146" s="30" t="s">
        <v>76</v>
      </c>
    </row>
    <row r="1147" spans="1:27" ht="33.75" hidden="1" customHeight="1">
      <c r="A1147" s="88">
        <v>1137</v>
      </c>
      <c r="B1147" s="79" t="s">
        <v>5645</v>
      </c>
      <c r="C1147" s="148" t="s">
        <v>2146</v>
      </c>
      <c r="D1147" s="80" t="s">
        <v>83</v>
      </c>
      <c r="E1147" s="27" t="s">
        <v>5646</v>
      </c>
      <c r="F1147" s="80" t="s">
        <v>109</v>
      </c>
      <c r="G1147" s="81" t="s">
        <v>5640</v>
      </c>
      <c r="H1147" s="80" t="s">
        <v>5647</v>
      </c>
      <c r="I1147" s="92">
        <v>45727</v>
      </c>
      <c r="J1147" s="80" t="s">
        <v>3505</v>
      </c>
      <c r="K1147" s="80" t="s">
        <v>69</v>
      </c>
      <c r="L1147" s="84" t="s">
        <v>251</v>
      </c>
      <c r="M1147" s="84" t="s">
        <v>252</v>
      </c>
      <c r="N1147" s="84" t="s">
        <v>920</v>
      </c>
      <c r="O1147" s="129" t="s">
        <v>5648</v>
      </c>
      <c r="P1147" s="132" t="s">
        <v>5649</v>
      </c>
      <c r="Q1147" s="49" t="s">
        <v>91</v>
      </c>
      <c r="R1147" s="25"/>
      <c r="S1147" s="26">
        <v>12</v>
      </c>
      <c r="T1147" s="26"/>
      <c r="U1147" s="28" t="s">
        <v>5650</v>
      </c>
      <c r="V1147" s="66"/>
      <c r="W1147" s="106"/>
      <c r="X1147" s="106" t="s">
        <v>76</v>
      </c>
      <c r="Y1147" s="26" t="s">
        <v>76</v>
      </c>
      <c r="Z1147" s="75" t="s">
        <v>193</v>
      </c>
      <c r="AA1147" s="30" t="s">
        <v>76</v>
      </c>
    </row>
    <row r="1148" spans="1:27" ht="33.75" hidden="1" customHeight="1">
      <c r="A1148" s="88">
        <v>1138</v>
      </c>
      <c r="B1148" s="79" t="s">
        <v>5651</v>
      </c>
      <c r="C1148" s="148" t="s">
        <v>2146</v>
      </c>
      <c r="D1148" s="80" t="s">
        <v>83</v>
      </c>
      <c r="E1148" s="27" t="s">
        <v>5652</v>
      </c>
      <c r="F1148" s="80" t="s">
        <v>65</v>
      </c>
      <c r="G1148" s="81" t="s">
        <v>5640</v>
      </c>
      <c r="H1148" s="80" t="s">
        <v>5653</v>
      </c>
      <c r="I1148" s="92">
        <v>45727</v>
      </c>
      <c r="J1148" s="80" t="s">
        <v>3505</v>
      </c>
      <c r="K1148" s="80" t="s">
        <v>69</v>
      </c>
      <c r="L1148" s="84" t="s">
        <v>251</v>
      </c>
      <c r="M1148" s="84" t="s">
        <v>252</v>
      </c>
      <c r="N1148" s="84" t="s">
        <v>920</v>
      </c>
      <c r="O1148" s="129" t="s">
        <v>5654</v>
      </c>
      <c r="P1148" s="132" t="s">
        <v>5655</v>
      </c>
      <c r="Q1148" s="49" t="s">
        <v>75</v>
      </c>
      <c r="R1148" s="25" t="s">
        <v>504</v>
      </c>
      <c r="S1148" s="26">
        <v>22</v>
      </c>
      <c r="T1148" s="26"/>
      <c r="U1148" s="28" t="s">
        <v>5656</v>
      </c>
      <c r="V1148" s="66"/>
      <c r="W1148" s="106"/>
      <c r="X1148" s="106" t="s">
        <v>516</v>
      </c>
      <c r="Y1148" s="26" t="s">
        <v>76</v>
      </c>
      <c r="Z1148" s="75" t="s">
        <v>106</v>
      </c>
      <c r="AA1148" s="30" t="s">
        <v>76</v>
      </c>
    </row>
    <row r="1149" spans="1:27" ht="33.75" hidden="1" customHeight="1">
      <c r="A1149" s="88">
        <v>1139</v>
      </c>
      <c r="B1149" s="79" t="s">
        <v>5657</v>
      </c>
      <c r="C1149" s="148" t="s">
        <v>2146</v>
      </c>
      <c r="D1149" s="80" t="s">
        <v>83</v>
      </c>
      <c r="E1149" s="27" t="s">
        <v>5658</v>
      </c>
      <c r="F1149" s="80" t="s">
        <v>65</v>
      </c>
      <c r="G1149" s="81" t="s">
        <v>5640</v>
      </c>
      <c r="H1149" s="80" t="s">
        <v>5659</v>
      </c>
      <c r="I1149" s="92">
        <v>45727</v>
      </c>
      <c r="J1149" s="80" t="s">
        <v>3505</v>
      </c>
      <c r="K1149" s="80" t="s">
        <v>69</v>
      </c>
      <c r="L1149" s="84" t="s">
        <v>251</v>
      </c>
      <c r="M1149" s="84" t="s">
        <v>252</v>
      </c>
      <c r="N1149" s="84" t="s">
        <v>920</v>
      </c>
      <c r="O1149" s="129" t="s">
        <v>5660</v>
      </c>
      <c r="P1149" s="132" t="s">
        <v>5661</v>
      </c>
      <c r="Q1149" s="49" t="s">
        <v>75</v>
      </c>
      <c r="R1149" s="25" t="s">
        <v>91</v>
      </c>
      <c r="S1149" s="26">
        <v>19</v>
      </c>
      <c r="T1149" s="26">
        <v>49</v>
      </c>
      <c r="U1149" s="28" t="s">
        <v>5662</v>
      </c>
      <c r="V1149" s="66"/>
      <c r="W1149" s="106"/>
      <c r="X1149" s="106" t="s">
        <v>516</v>
      </c>
      <c r="Y1149" s="26" t="s">
        <v>76</v>
      </c>
      <c r="Z1149" s="75" t="s">
        <v>93</v>
      </c>
      <c r="AA1149" s="30" t="s">
        <v>76</v>
      </c>
    </row>
    <row r="1150" spans="1:27" ht="33.75" hidden="1" customHeight="1">
      <c r="A1150" s="88">
        <v>1140</v>
      </c>
      <c r="B1150" s="79" t="s">
        <v>5663</v>
      </c>
      <c r="C1150" s="148" t="s">
        <v>2146</v>
      </c>
      <c r="D1150" s="80" t="s">
        <v>83</v>
      </c>
      <c r="E1150" s="27" t="s">
        <v>5664</v>
      </c>
      <c r="F1150" s="80" t="s">
        <v>109</v>
      </c>
      <c r="G1150" s="81" t="s">
        <v>5640</v>
      </c>
      <c r="H1150" s="80" t="s">
        <v>5665</v>
      </c>
      <c r="I1150" s="92">
        <v>45727</v>
      </c>
      <c r="J1150" s="80" t="s">
        <v>3505</v>
      </c>
      <c r="K1150" s="80" t="s">
        <v>69</v>
      </c>
      <c r="L1150" s="84" t="s">
        <v>251</v>
      </c>
      <c r="M1150" s="84" t="s">
        <v>252</v>
      </c>
      <c r="N1150" s="84" t="s">
        <v>920</v>
      </c>
      <c r="O1150" s="129" t="s">
        <v>5666</v>
      </c>
      <c r="P1150" s="132" t="s">
        <v>5667</v>
      </c>
      <c r="Q1150" s="49" t="s">
        <v>91</v>
      </c>
      <c r="R1150" s="25"/>
      <c r="S1150" s="26">
        <v>17</v>
      </c>
      <c r="T1150" s="26"/>
      <c r="U1150" s="28" t="s">
        <v>5668</v>
      </c>
      <c r="V1150" s="66"/>
      <c r="W1150" s="106"/>
      <c r="X1150" s="106" t="s">
        <v>76</v>
      </c>
      <c r="Y1150" s="26" t="s">
        <v>76</v>
      </c>
      <c r="Z1150" s="75" t="s">
        <v>193</v>
      </c>
      <c r="AA1150" s="30" t="s">
        <v>76</v>
      </c>
    </row>
    <row r="1151" spans="1:27" ht="33.75" hidden="1" customHeight="1">
      <c r="A1151" s="88">
        <v>1141</v>
      </c>
      <c r="B1151" s="79" t="s">
        <v>5669</v>
      </c>
      <c r="C1151" s="148" t="s">
        <v>2146</v>
      </c>
      <c r="D1151" s="80" t="s">
        <v>83</v>
      </c>
      <c r="E1151" s="27" t="s">
        <v>5670</v>
      </c>
      <c r="F1151" s="80" t="s">
        <v>120</v>
      </c>
      <c r="G1151" s="81" t="s">
        <v>5640</v>
      </c>
      <c r="H1151" s="80" t="s">
        <v>5671</v>
      </c>
      <c r="I1151" s="92">
        <v>45727</v>
      </c>
      <c r="J1151" s="80" t="s">
        <v>3505</v>
      </c>
      <c r="K1151" s="80" t="s">
        <v>69</v>
      </c>
      <c r="L1151" s="84" t="s">
        <v>251</v>
      </c>
      <c r="M1151" s="84" t="s">
        <v>252</v>
      </c>
      <c r="N1151" s="84" t="s">
        <v>920</v>
      </c>
      <c r="O1151" s="129" t="s">
        <v>5672</v>
      </c>
      <c r="P1151" s="132" t="s">
        <v>5673</v>
      </c>
      <c r="Q1151" s="49" t="s">
        <v>75</v>
      </c>
      <c r="R1151" s="25" t="s">
        <v>91</v>
      </c>
      <c r="S1151" s="26">
        <v>20</v>
      </c>
      <c r="T1151" s="26">
        <v>48</v>
      </c>
      <c r="U1151" s="28" t="s">
        <v>5674</v>
      </c>
      <c r="V1151" s="66"/>
      <c r="W1151" s="106"/>
      <c r="X1151" s="106" t="s">
        <v>516</v>
      </c>
      <c r="Y1151" s="26" t="s">
        <v>76</v>
      </c>
      <c r="Z1151" s="75" t="s">
        <v>93</v>
      </c>
      <c r="AA1151" s="30" t="s">
        <v>76</v>
      </c>
    </row>
    <row r="1152" spans="1:27" ht="33.75" hidden="1" customHeight="1">
      <c r="A1152" s="88">
        <v>1142</v>
      </c>
      <c r="B1152" s="79" t="s">
        <v>5675</v>
      </c>
      <c r="C1152" s="148" t="s">
        <v>2146</v>
      </c>
      <c r="D1152" s="80" t="s">
        <v>83</v>
      </c>
      <c r="E1152" s="27" t="s">
        <v>5676</v>
      </c>
      <c r="F1152" s="80" t="s">
        <v>284</v>
      </c>
      <c r="G1152" s="81" t="s">
        <v>5640</v>
      </c>
      <c r="H1152" s="80" t="s">
        <v>5677</v>
      </c>
      <c r="I1152" s="92">
        <v>45727</v>
      </c>
      <c r="J1152" s="80" t="s">
        <v>3505</v>
      </c>
      <c r="K1152" s="80" t="s">
        <v>69</v>
      </c>
      <c r="L1152" s="84" t="s">
        <v>251</v>
      </c>
      <c r="M1152" s="84" t="s">
        <v>252</v>
      </c>
      <c r="N1152" s="84" t="s">
        <v>920</v>
      </c>
      <c r="O1152" s="129" t="s">
        <v>5678</v>
      </c>
      <c r="P1152" s="132" t="s">
        <v>5679</v>
      </c>
      <c r="Q1152" s="49" t="s">
        <v>75</v>
      </c>
      <c r="R1152" s="25" t="s">
        <v>91</v>
      </c>
      <c r="S1152" s="26">
        <v>18</v>
      </c>
      <c r="T1152" s="26">
        <v>52</v>
      </c>
      <c r="U1152" s="28" t="s">
        <v>5680</v>
      </c>
      <c r="V1152" s="66"/>
      <c r="W1152" s="106"/>
      <c r="X1152" s="106" t="s">
        <v>516</v>
      </c>
      <c r="Y1152" s="26" t="s">
        <v>76</v>
      </c>
      <c r="Z1152" s="75" t="s">
        <v>93</v>
      </c>
      <c r="AA1152" s="30" t="s">
        <v>76</v>
      </c>
    </row>
    <row r="1153" spans="1:27" ht="51" hidden="1" customHeight="1">
      <c r="A1153" s="88">
        <v>1143</v>
      </c>
      <c r="B1153" s="79" t="s">
        <v>5681</v>
      </c>
      <c r="C1153" s="148" t="s">
        <v>2146</v>
      </c>
      <c r="D1153" s="80" t="s">
        <v>83</v>
      </c>
      <c r="E1153" s="27" t="s">
        <v>5682</v>
      </c>
      <c r="F1153" s="80" t="s">
        <v>109</v>
      </c>
      <c r="G1153" s="81" t="s">
        <v>5640</v>
      </c>
      <c r="H1153" s="80" t="s">
        <v>5683</v>
      </c>
      <c r="I1153" s="92">
        <v>45727</v>
      </c>
      <c r="J1153" s="80" t="s">
        <v>3505</v>
      </c>
      <c r="K1153" s="80" t="s">
        <v>69</v>
      </c>
      <c r="L1153" s="84" t="s">
        <v>251</v>
      </c>
      <c r="M1153" s="84" t="s">
        <v>252</v>
      </c>
      <c r="N1153" s="84" t="s">
        <v>920</v>
      </c>
      <c r="O1153" s="129" t="s">
        <v>5684</v>
      </c>
      <c r="P1153" s="132" t="s">
        <v>5685</v>
      </c>
      <c r="Q1153" s="49" t="s">
        <v>75</v>
      </c>
      <c r="R1153" s="25" t="s">
        <v>91</v>
      </c>
      <c r="S1153" s="26">
        <v>22</v>
      </c>
      <c r="T1153" s="26">
        <v>68</v>
      </c>
      <c r="U1153" s="28" t="s">
        <v>5686</v>
      </c>
      <c r="V1153" s="66"/>
      <c r="W1153" s="106"/>
      <c r="X1153" s="106" t="s">
        <v>516</v>
      </c>
      <c r="Y1153" s="26" t="s">
        <v>76</v>
      </c>
      <c r="Z1153" s="75" t="s">
        <v>106</v>
      </c>
      <c r="AA1153" s="30" t="s">
        <v>76</v>
      </c>
    </row>
    <row r="1154" spans="1:27" ht="30.75" hidden="1" customHeight="1">
      <c r="A1154" s="88">
        <v>1144</v>
      </c>
      <c r="B1154" s="79" t="s">
        <v>5687</v>
      </c>
      <c r="C1154" s="148" t="s">
        <v>5688</v>
      </c>
      <c r="D1154" s="80" t="s">
        <v>83</v>
      </c>
      <c r="E1154" s="27" t="s">
        <v>5689</v>
      </c>
      <c r="F1154" s="80" t="s">
        <v>120</v>
      </c>
      <c r="G1154" s="81" t="s">
        <v>5690</v>
      </c>
      <c r="H1154" s="80" t="s">
        <v>5691</v>
      </c>
      <c r="I1154" s="92">
        <v>45727</v>
      </c>
      <c r="J1154" s="80" t="s">
        <v>3505</v>
      </c>
      <c r="K1154" s="80" t="s">
        <v>69</v>
      </c>
      <c r="L1154" s="84" t="s">
        <v>251</v>
      </c>
      <c r="M1154" s="84" t="s">
        <v>252</v>
      </c>
      <c r="N1154" s="84" t="s">
        <v>920</v>
      </c>
      <c r="O1154" s="129" t="s">
        <v>5692</v>
      </c>
      <c r="P1154" s="132" t="s">
        <v>5693</v>
      </c>
      <c r="Q1154" s="49" t="s">
        <v>91</v>
      </c>
      <c r="R1154" s="25"/>
      <c r="S1154" s="26">
        <v>14</v>
      </c>
      <c r="T1154" s="26"/>
      <c r="U1154" s="28" t="s">
        <v>5694</v>
      </c>
      <c r="V1154" s="66"/>
      <c r="W1154" s="106"/>
      <c r="X1154" s="106" t="s">
        <v>76</v>
      </c>
      <c r="Y1154" s="26" t="s">
        <v>76</v>
      </c>
      <c r="Z1154" s="75" t="s">
        <v>193</v>
      </c>
      <c r="AA1154" s="30" t="s">
        <v>76</v>
      </c>
    </row>
    <row r="1155" spans="1:27" ht="30.75" hidden="1" customHeight="1">
      <c r="A1155" s="88">
        <v>1145</v>
      </c>
      <c r="B1155" s="79" t="s">
        <v>5695</v>
      </c>
      <c r="C1155" s="148" t="s">
        <v>5688</v>
      </c>
      <c r="D1155" s="80" t="s">
        <v>83</v>
      </c>
      <c r="E1155" s="27" t="s">
        <v>5689</v>
      </c>
      <c r="F1155" s="80" t="s">
        <v>120</v>
      </c>
      <c r="G1155" s="81" t="s">
        <v>5690</v>
      </c>
      <c r="H1155" s="80" t="s">
        <v>5691</v>
      </c>
      <c r="I1155" s="92">
        <v>45727</v>
      </c>
      <c r="J1155" s="80" t="s">
        <v>3505</v>
      </c>
      <c r="K1155" s="80" t="s">
        <v>69</v>
      </c>
      <c r="L1155" s="84" t="s">
        <v>251</v>
      </c>
      <c r="M1155" s="84" t="s">
        <v>252</v>
      </c>
      <c r="N1155" s="84" t="s">
        <v>920</v>
      </c>
      <c r="O1155" s="129" t="s">
        <v>5696</v>
      </c>
      <c r="P1155" s="132" t="s">
        <v>5697</v>
      </c>
      <c r="Q1155" s="49" t="s">
        <v>91</v>
      </c>
      <c r="R1155" s="25"/>
      <c r="S1155" s="26">
        <v>13</v>
      </c>
      <c r="T1155" s="26"/>
      <c r="U1155" s="28" t="s">
        <v>5698</v>
      </c>
      <c r="V1155" s="66"/>
      <c r="W1155" s="106"/>
      <c r="X1155" s="106" t="s">
        <v>76</v>
      </c>
      <c r="Y1155" s="26" t="s">
        <v>76</v>
      </c>
      <c r="Z1155" s="75" t="s">
        <v>193</v>
      </c>
      <c r="AA1155" s="30" t="s">
        <v>76</v>
      </c>
    </row>
    <row r="1156" spans="1:27" ht="30.75" hidden="1" customHeight="1">
      <c r="A1156" s="88">
        <v>1146</v>
      </c>
      <c r="B1156" s="79" t="s">
        <v>5699</v>
      </c>
      <c r="C1156" s="148" t="s">
        <v>5688</v>
      </c>
      <c r="D1156" s="80" t="s">
        <v>83</v>
      </c>
      <c r="E1156" s="27" t="s">
        <v>5700</v>
      </c>
      <c r="F1156" s="80" t="s">
        <v>109</v>
      </c>
      <c r="G1156" s="81" t="s">
        <v>5690</v>
      </c>
      <c r="H1156" s="80" t="s">
        <v>1174</v>
      </c>
      <c r="I1156" s="92">
        <v>45727</v>
      </c>
      <c r="J1156" s="80" t="s">
        <v>3505</v>
      </c>
      <c r="K1156" s="80" t="s">
        <v>69</v>
      </c>
      <c r="L1156" s="84" t="s">
        <v>251</v>
      </c>
      <c r="M1156" s="84" t="s">
        <v>252</v>
      </c>
      <c r="N1156" s="84" t="s">
        <v>920</v>
      </c>
      <c r="O1156" s="129" t="s">
        <v>5701</v>
      </c>
      <c r="P1156" s="132" t="s">
        <v>5702</v>
      </c>
      <c r="Q1156" s="49" t="s">
        <v>75</v>
      </c>
      <c r="R1156" s="25" t="s">
        <v>91</v>
      </c>
      <c r="S1156" s="26">
        <v>18</v>
      </c>
      <c r="T1156" s="26">
        <v>46</v>
      </c>
      <c r="U1156" s="28" t="s">
        <v>5703</v>
      </c>
      <c r="V1156" s="66"/>
      <c r="W1156" s="106"/>
      <c r="X1156" s="106" t="s">
        <v>516</v>
      </c>
      <c r="Y1156" s="26" t="s">
        <v>76</v>
      </c>
      <c r="Z1156" s="75" t="s">
        <v>93</v>
      </c>
      <c r="AA1156" s="30" t="s">
        <v>76</v>
      </c>
    </row>
    <row r="1157" spans="1:27" ht="30.75" hidden="1" customHeight="1">
      <c r="A1157" s="88">
        <v>1147</v>
      </c>
      <c r="B1157" s="79" t="s">
        <v>5704</v>
      </c>
      <c r="C1157" s="148" t="s">
        <v>5688</v>
      </c>
      <c r="D1157" s="80" t="s">
        <v>83</v>
      </c>
      <c r="E1157" s="27" t="s">
        <v>5700</v>
      </c>
      <c r="F1157" s="80" t="s">
        <v>109</v>
      </c>
      <c r="G1157" s="81" t="s">
        <v>5690</v>
      </c>
      <c r="H1157" s="80" t="s">
        <v>1174</v>
      </c>
      <c r="I1157" s="92">
        <v>45727</v>
      </c>
      <c r="J1157" s="80" t="s">
        <v>3505</v>
      </c>
      <c r="K1157" s="80" t="s">
        <v>69</v>
      </c>
      <c r="L1157" s="84" t="s">
        <v>251</v>
      </c>
      <c r="M1157" s="84" t="s">
        <v>252</v>
      </c>
      <c r="N1157" s="84" t="s">
        <v>920</v>
      </c>
      <c r="O1157" s="129" t="s">
        <v>5705</v>
      </c>
      <c r="P1157" s="132" t="s">
        <v>5706</v>
      </c>
      <c r="Q1157" s="49" t="s">
        <v>75</v>
      </c>
      <c r="R1157" s="25" t="s">
        <v>91</v>
      </c>
      <c r="S1157" s="26">
        <v>20</v>
      </c>
      <c r="T1157" s="26">
        <v>52</v>
      </c>
      <c r="U1157" s="28" t="s">
        <v>5707</v>
      </c>
      <c r="V1157" s="66"/>
      <c r="W1157" s="106"/>
      <c r="X1157" s="106" t="s">
        <v>516</v>
      </c>
      <c r="Y1157" s="26" t="s">
        <v>76</v>
      </c>
      <c r="Z1157" s="75" t="s">
        <v>93</v>
      </c>
      <c r="AA1157" s="30" t="s">
        <v>76</v>
      </c>
    </row>
    <row r="1158" spans="1:27" ht="30.75" hidden="1" customHeight="1">
      <c r="A1158" s="88">
        <v>1148</v>
      </c>
      <c r="B1158" s="79" t="s">
        <v>5708</v>
      </c>
      <c r="C1158" s="148" t="s">
        <v>5688</v>
      </c>
      <c r="D1158" s="80" t="s">
        <v>83</v>
      </c>
      <c r="E1158" s="27" t="s">
        <v>5709</v>
      </c>
      <c r="F1158" s="80" t="s">
        <v>120</v>
      </c>
      <c r="G1158" s="81" t="s">
        <v>5690</v>
      </c>
      <c r="H1158" s="80" t="s">
        <v>5710</v>
      </c>
      <c r="I1158" s="92">
        <v>45727</v>
      </c>
      <c r="J1158" s="80" t="s">
        <v>3505</v>
      </c>
      <c r="K1158" s="80" t="s">
        <v>69</v>
      </c>
      <c r="L1158" s="84" t="s">
        <v>251</v>
      </c>
      <c r="M1158" s="84" t="s">
        <v>252</v>
      </c>
      <c r="N1158" s="84" t="s">
        <v>920</v>
      </c>
      <c r="O1158" s="129" t="s">
        <v>5711</v>
      </c>
      <c r="P1158" s="132" t="s">
        <v>5712</v>
      </c>
      <c r="Q1158" s="49" t="s">
        <v>75</v>
      </c>
      <c r="R1158" s="25" t="s">
        <v>91</v>
      </c>
      <c r="S1158" s="26">
        <v>19</v>
      </c>
      <c r="T1158" s="26">
        <v>51</v>
      </c>
      <c r="U1158" s="28" t="s">
        <v>5713</v>
      </c>
      <c r="V1158" s="66"/>
      <c r="W1158" s="106"/>
      <c r="X1158" s="106" t="s">
        <v>516</v>
      </c>
      <c r="Y1158" s="26" t="s">
        <v>76</v>
      </c>
      <c r="Z1158" s="75" t="s">
        <v>93</v>
      </c>
      <c r="AA1158" s="30" t="s">
        <v>76</v>
      </c>
    </row>
    <row r="1159" spans="1:27" ht="30.75" hidden="1" customHeight="1">
      <c r="A1159" s="88">
        <v>1149</v>
      </c>
      <c r="B1159" s="79" t="s">
        <v>5714</v>
      </c>
      <c r="C1159" s="148" t="s">
        <v>5688</v>
      </c>
      <c r="D1159" s="80" t="s">
        <v>83</v>
      </c>
      <c r="E1159" s="27" t="s">
        <v>5709</v>
      </c>
      <c r="F1159" s="80" t="s">
        <v>120</v>
      </c>
      <c r="G1159" s="81" t="s">
        <v>5690</v>
      </c>
      <c r="H1159" s="80" t="s">
        <v>5710</v>
      </c>
      <c r="I1159" s="92">
        <v>45727</v>
      </c>
      <c r="J1159" s="80" t="s">
        <v>3505</v>
      </c>
      <c r="K1159" s="80" t="s">
        <v>69</v>
      </c>
      <c r="L1159" s="84" t="s">
        <v>251</v>
      </c>
      <c r="M1159" s="84" t="s">
        <v>252</v>
      </c>
      <c r="N1159" s="84" t="s">
        <v>920</v>
      </c>
      <c r="O1159" s="129" t="s">
        <v>5715</v>
      </c>
      <c r="P1159" s="132" t="s">
        <v>5716</v>
      </c>
      <c r="Q1159" s="49" t="s">
        <v>91</v>
      </c>
      <c r="R1159" s="25"/>
      <c r="S1159" s="26">
        <v>16</v>
      </c>
      <c r="T1159" s="26">
        <v>44</v>
      </c>
      <c r="U1159" s="28" t="s">
        <v>5717</v>
      </c>
      <c r="V1159" s="66"/>
      <c r="W1159" s="106"/>
      <c r="X1159" s="106" t="s">
        <v>76</v>
      </c>
      <c r="Y1159" s="26" t="s">
        <v>76</v>
      </c>
      <c r="Z1159" s="75" t="s">
        <v>193</v>
      </c>
      <c r="AA1159" s="30" t="s">
        <v>76</v>
      </c>
    </row>
    <row r="1160" spans="1:27" ht="30.75" hidden="1" customHeight="1">
      <c r="A1160" s="88">
        <v>1150</v>
      </c>
      <c r="B1160" s="79" t="s">
        <v>5718</v>
      </c>
      <c r="C1160" s="148" t="s">
        <v>5688</v>
      </c>
      <c r="D1160" s="80" t="s">
        <v>83</v>
      </c>
      <c r="E1160" s="27" t="s">
        <v>5719</v>
      </c>
      <c r="F1160" s="80" t="s">
        <v>109</v>
      </c>
      <c r="G1160" s="81" t="s">
        <v>5690</v>
      </c>
      <c r="H1160" s="80" t="s">
        <v>5720</v>
      </c>
      <c r="I1160" s="92">
        <v>45727</v>
      </c>
      <c r="J1160" s="80" t="s">
        <v>3505</v>
      </c>
      <c r="K1160" s="80" t="s">
        <v>69</v>
      </c>
      <c r="L1160" s="84" t="s">
        <v>251</v>
      </c>
      <c r="M1160" s="84" t="s">
        <v>252</v>
      </c>
      <c r="N1160" s="84" t="s">
        <v>920</v>
      </c>
      <c r="O1160" s="129" t="s">
        <v>5721</v>
      </c>
      <c r="P1160" s="132" t="s">
        <v>5722</v>
      </c>
      <c r="Q1160" s="49" t="s">
        <v>91</v>
      </c>
      <c r="R1160" s="25"/>
      <c r="S1160" s="26">
        <v>15</v>
      </c>
      <c r="T1160" s="26"/>
      <c r="U1160" s="28" t="s">
        <v>5723</v>
      </c>
      <c r="V1160" s="66"/>
      <c r="W1160" s="106"/>
      <c r="X1160" s="106" t="s">
        <v>76</v>
      </c>
      <c r="Y1160" s="26" t="s">
        <v>76</v>
      </c>
      <c r="Z1160" s="75" t="s">
        <v>193</v>
      </c>
      <c r="AA1160" s="30" t="s">
        <v>76</v>
      </c>
    </row>
    <row r="1161" spans="1:27" ht="30.75" hidden="1" customHeight="1">
      <c r="A1161" s="88">
        <v>1151</v>
      </c>
      <c r="B1161" s="79" t="s">
        <v>5724</v>
      </c>
      <c r="C1161" s="148" t="s">
        <v>5688</v>
      </c>
      <c r="D1161" s="80" t="s">
        <v>83</v>
      </c>
      <c r="E1161" s="27" t="s">
        <v>5725</v>
      </c>
      <c r="F1161" s="80" t="s">
        <v>109</v>
      </c>
      <c r="G1161" s="81" t="s">
        <v>5690</v>
      </c>
      <c r="H1161" s="80" t="s">
        <v>5726</v>
      </c>
      <c r="I1161" s="92">
        <v>45727</v>
      </c>
      <c r="J1161" s="80" t="s">
        <v>3505</v>
      </c>
      <c r="K1161" s="80" t="s">
        <v>69</v>
      </c>
      <c r="L1161" s="84" t="s">
        <v>251</v>
      </c>
      <c r="M1161" s="84" t="s">
        <v>252</v>
      </c>
      <c r="N1161" s="84" t="s">
        <v>920</v>
      </c>
      <c r="O1161" s="129" t="s">
        <v>5727</v>
      </c>
      <c r="P1161" s="132" t="s">
        <v>5728</v>
      </c>
      <c r="Q1161" s="49" t="s">
        <v>91</v>
      </c>
      <c r="R1161" s="25"/>
      <c r="S1161" s="26">
        <v>13</v>
      </c>
      <c r="T1161" s="26"/>
      <c r="U1161" s="28" t="s">
        <v>5729</v>
      </c>
      <c r="V1161" s="66"/>
      <c r="W1161" s="106"/>
      <c r="X1161" s="106" t="s">
        <v>76</v>
      </c>
      <c r="Y1161" s="26" t="s">
        <v>76</v>
      </c>
      <c r="Z1161" s="75" t="s">
        <v>193</v>
      </c>
      <c r="AA1161" s="30" t="s">
        <v>76</v>
      </c>
    </row>
    <row r="1162" spans="1:27" ht="30.75" hidden="1" customHeight="1">
      <c r="A1162" s="88">
        <v>1152</v>
      </c>
      <c r="B1162" s="79" t="s">
        <v>5730</v>
      </c>
      <c r="C1162" s="148" t="s">
        <v>10</v>
      </c>
      <c r="D1162" s="80" t="s">
        <v>63</v>
      </c>
      <c r="E1162" s="27" t="s">
        <v>5731</v>
      </c>
      <c r="F1162" s="80" t="s">
        <v>120</v>
      </c>
      <c r="G1162" s="81" t="s">
        <v>3198</v>
      </c>
      <c r="H1162" s="80" t="s">
        <v>5732</v>
      </c>
      <c r="I1162" s="92">
        <v>45728</v>
      </c>
      <c r="J1162" s="80" t="s">
        <v>4066</v>
      </c>
      <c r="K1162" s="80" t="s">
        <v>1654</v>
      </c>
      <c r="L1162" s="84" t="s">
        <v>10</v>
      </c>
      <c r="M1162" s="84" t="s">
        <v>252</v>
      </c>
      <c r="N1162" s="84" t="s">
        <v>920</v>
      </c>
      <c r="O1162" s="308" t="s">
        <v>5733</v>
      </c>
      <c r="P1162" s="132" t="s">
        <v>5734</v>
      </c>
      <c r="Q1162" s="49" t="s">
        <v>91</v>
      </c>
      <c r="R1162" s="25"/>
      <c r="S1162" s="26">
        <v>12</v>
      </c>
      <c r="T1162" s="26"/>
      <c r="U1162" s="28" t="s">
        <v>5735</v>
      </c>
      <c r="V1162" s="66"/>
      <c r="W1162" s="106"/>
      <c r="X1162" s="106" t="s">
        <v>76</v>
      </c>
      <c r="Y1162" s="26" t="s">
        <v>76</v>
      </c>
      <c r="Z1162" s="75" t="s">
        <v>193</v>
      </c>
      <c r="AA1162" s="30" t="s">
        <v>76</v>
      </c>
    </row>
    <row r="1163" spans="1:27" ht="49.5" hidden="1" customHeight="1">
      <c r="A1163" s="88">
        <v>1153</v>
      </c>
      <c r="B1163" s="79" t="s">
        <v>5736</v>
      </c>
      <c r="C1163" s="148" t="s">
        <v>10</v>
      </c>
      <c r="D1163" s="80" t="s">
        <v>63</v>
      </c>
      <c r="E1163" s="27" t="s">
        <v>5731</v>
      </c>
      <c r="F1163" s="80" t="s">
        <v>120</v>
      </c>
      <c r="G1163" s="81" t="s">
        <v>3198</v>
      </c>
      <c r="H1163" s="80" t="s">
        <v>5732</v>
      </c>
      <c r="I1163" s="92">
        <v>45728</v>
      </c>
      <c r="J1163" s="80" t="s">
        <v>4066</v>
      </c>
      <c r="K1163" s="80" t="s">
        <v>1654</v>
      </c>
      <c r="L1163" s="84" t="s">
        <v>10</v>
      </c>
      <c r="M1163" s="84" t="s">
        <v>252</v>
      </c>
      <c r="N1163" s="84" t="s">
        <v>920</v>
      </c>
      <c r="O1163" s="308" t="s">
        <v>5737</v>
      </c>
      <c r="P1163" s="132" t="s">
        <v>5738</v>
      </c>
      <c r="Q1163" s="49" t="s">
        <v>75</v>
      </c>
      <c r="R1163" s="25" t="s">
        <v>91</v>
      </c>
      <c r="S1163" s="26">
        <v>18</v>
      </c>
      <c r="T1163" s="26">
        <v>43</v>
      </c>
      <c r="U1163" s="28" t="s">
        <v>5739</v>
      </c>
      <c r="V1163" s="66"/>
      <c r="W1163" s="106"/>
      <c r="X1163" s="106" t="s">
        <v>516</v>
      </c>
      <c r="Y1163" s="26" t="s">
        <v>76</v>
      </c>
      <c r="Z1163" s="75" t="s">
        <v>93</v>
      </c>
      <c r="AA1163" s="30" t="s">
        <v>76</v>
      </c>
    </row>
    <row r="1164" spans="1:27" ht="51.75" hidden="1" customHeight="1">
      <c r="A1164" s="88">
        <v>1154</v>
      </c>
      <c r="B1164" s="79" t="s">
        <v>5740</v>
      </c>
      <c r="C1164" s="148" t="s">
        <v>10</v>
      </c>
      <c r="D1164" s="80" t="s">
        <v>63</v>
      </c>
      <c r="E1164" s="27" t="s">
        <v>5731</v>
      </c>
      <c r="F1164" s="80" t="s">
        <v>120</v>
      </c>
      <c r="G1164" s="81" t="s">
        <v>3198</v>
      </c>
      <c r="H1164" s="80" t="s">
        <v>5732</v>
      </c>
      <c r="I1164" s="92">
        <v>45728</v>
      </c>
      <c r="J1164" s="80" t="s">
        <v>4066</v>
      </c>
      <c r="K1164" s="80" t="s">
        <v>1654</v>
      </c>
      <c r="L1164" s="84" t="s">
        <v>10</v>
      </c>
      <c r="M1164" s="84" t="s">
        <v>252</v>
      </c>
      <c r="N1164" s="84" t="s">
        <v>920</v>
      </c>
      <c r="O1164" s="308" t="s">
        <v>5741</v>
      </c>
      <c r="P1164" s="132" t="s">
        <v>5742</v>
      </c>
      <c r="Q1164" s="49" t="s">
        <v>75</v>
      </c>
      <c r="R1164" s="25" t="s">
        <v>91</v>
      </c>
      <c r="S1164" s="26">
        <v>23</v>
      </c>
      <c r="T1164" s="26">
        <v>46</v>
      </c>
      <c r="U1164" s="28" t="s">
        <v>5743</v>
      </c>
      <c r="V1164" s="66"/>
      <c r="W1164" s="106"/>
      <c r="X1164" s="106" t="s">
        <v>516</v>
      </c>
      <c r="Y1164" s="26" t="s">
        <v>76</v>
      </c>
      <c r="Z1164" s="75" t="s">
        <v>93</v>
      </c>
      <c r="AA1164" s="30" t="s">
        <v>76</v>
      </c>
    </row>
    <row r="1165" spans="1:27" ht="50.25" hidden="1" customHeight="1">
      <c r="A1165" s="88">
        <v>1155</v>
      </c>
      <c r="B1165" s="79" t="s">
        <v>5744</v>
      </c>
      <c r="C1165" s="148" t="s">
        <v>10</v>
      </c>
      <c r="D1165" s="80" t="s">
        <v>63</v>
      </c>
      <c r="E1165" s="27" t="s">
        <v>5731</v>
      </c>
      <c r="F1165" s="80" t="s">
        <v>120</v>
      </c>
      <c r="G1165" s="81" t="s">
        <v>3198</v>
      </c>
      <c r="H1165" s="80" t="s">
        <v>5732</v>
      </c>
      <c r="I1165" s="92">
        <v>45728</v>
      </c>
      <c r="J1165" s="80" t="s">
        <v>4066</v>
      </c>
      <c r="K1165" s="80" t="s">
        <v>1654</v>
      </c>
      <c r="L1165" s="84" t="s">
        <v>10</v>
      </c>
      <c r="M1165" s="84" t="s">
        <v>252</v>
      </c>
      <c r="N1165" s="84" t="s">
        <v>920</v>
      </c>
      <c r="O1165" s="308" t="s">
        <v>5745</v>
      </c>
      <c r="P1165" s="132" t="s">
        <v>5746</v>
      </c>
      <c r="Q1165" s="49" t="s">
        <v>75</v>
      </c>
      <c r="R1165" s="25" t="s">
        <v>91</v>
      </c>
      <c r="S1165" s="26">
        <v>25</v>
      </c>
      <c r="T1165" s="26">
        <v>52</v>
      </c>
      <c r="U1165" s="28" t="s">
        <v>5747</v>
      </c>
      <c r="V1165" s="66"/>
      <c r="W1165" s="106"/>
      <c r="X1165" s="106" t="s">
        <v>516</v>
      </c>
      <c r="Y1165" s="26" t="s">
        <v>76</v>
      </c>
      <c r="Z1165" s="75" t="s">
        <v>93</v>
      </c>
      <c r="AA1165" s="30" t="s">
        <v>76</v>
      </c>
    </row>
    <row r="1166" spans="1:27" ht="29.25" hidden="1" customHeight="1">
      <c r="A1166" s="88">
        <v>1156</v>
      </c>
      <c r="B1166" s="79" t="s">
        <v>5748</v>
      </c>
      <c r="C1166" s="148" t="s">
        <v>8</v>
      </c>
      <c r="D1166" s="80" t="s">
        <v>63</v>
      </c>
      <c r="E1166" s="27" t="s">
        <v>3208</v>
      </c>
      <c r="F1166" s="80" t="s">
        <v>65</v>
      </c>
      <c r="G1166" s="81" t="s">
        <v>2762</v>
      </c>
      <c r="H1166" s="80" t="s">
        <v>3209</v>
      </c>
      <c r="I1166" s="92">
        <v>45729</v>
      </c>
      <c r="J1166" s="80" t="s">
        <v>3565</v>
      </c>
      <c r="K1166" s="80" t="s">
        <v>299</v>
      </c>
      <c r="L1166" s="84" t="s">
        <v>189</v>
      </c>
      <c r="M1166" s="84" t="s">
        <v>252</v>
      </c>
      <c r="N1166" s="84" t="s">
        <v>72</v>
      </c>
      <c r="O1166" s="129" t="s">
        <v>5749</v>
      </c>
      <c r="P1166" s="132" t="s">
        <v>5750</v>
      </c>
      <c r="Q1166" s="49" t="s">
        <v>75</v>
      </c>
      <c r="R1166" s="25" t="s">
        <v>91</v>
      </c>
      <c r="S1166" s="26">
        <v>18</v>
      </c>
      <c r="T1166" s="26">
        <v>59</v>
      </c>
      <c r="U1166" s="28" t="s">
        <v>5751</v>
      </c>
      <c r="V1166" s="66"/>
      <c r="W1166" s="106"/>
      <c r="X1166" s="106" t="s">
        <v>516</v>
      </c>
      <c r="Y1166" s="26" t="s">
        <v>76</v>
      </c>
      <c r="Z1166" s="93" t="s">
        <v>93</v>
      </c>
      <c r="AA1166" s="30" t="s">
        <v>76</v>
      </c>
    </row>
    <row r="1167" spans="1:27" ht="29.25" hidden="1" customHeight="1">
      <c r="A1167" s="88">
        <v>1157</v>
      </c>
      <c r="B1167" s="79" t="s">
        <v>5752</v>
      </c>
      <c r="C1167" s="148" t="s">
        <v>8</v>
      </c>
      <c r="D1167" s="80" t="s">
        <v>63</v>
      </c>
      <c r="E1167" s="27" t="s">
        <v>5753</v>
      </c>
      <c r="F1167" s="80" t="s">
        <v>65</v>
      </c>
      <c r="G1167" s="81" t="s">
        <v>1419</v>
      </c>
      <c r="H1167" s="80" t="s">
        <v>1174</v>
      </c>
      <c r="I1167" s="92">
        <v>45729</v>
      </c>
      <c r="J1167" s="80" t="s">
        <v>3505</v>
      </c>
      <c r="K1167" s="80" t="s">
        <v>69</v>
      </c>
      <c r="L1167" s="84" t="s">
        <v>100</v>
      </c>
      <c r="M1167" s="84" t="s">
        <v>252</v>
      </c>
      <c r="N1167" s="84" t="s">
        <v>72</v>
      </c>
      <c r="O1167" s="129" t="s">
        <v>5754</v>
      </c>
      <c r="P1167" s="132" t="s">
        <v>5755</v>
      </c>
      <c r="Q1167" s="49" t="s">
        <v>75</v>
      </c>
      <c r="R1167" s="25" t="s">
        <v>91</v>
      </c>
      <c r="S1167" s="26">
        <v>18</v>
      </c>
      <c r="T1167" s="26">
        <v>50</v>
      </c>
      <c r="U1167" s="28" t="s">
        <v>5756</v>
      </c>
      <c r="V1167" s="66"/>
      <c r="W1167" s="106"/>
      <c r="X1167" s="106" t="s">
        <v>516</v>
      </c>
      <c r="Y1167" s="26" t="s">
        <v>76</v>
      </c>
      <c r="Z1167" s="75" t="s">
        <v>93</v>
      </c>
      <c r="AA1167" s="30" t="s">
        <v>76</v>
      </c>
    </row>
    <row r="1168" spans="1:27" ht="29.25" hidden="1" customHeight="1">
      <c r="A1168" s="88">
        <v>1158</v>
      </c>
      <c r="B1168" s="79" t="s">
        <v>5757</v>
      </c>
      <c r="C1168" s="148" t="s">
        <v>5211</v>
      </c>
      <c r="D1168" s="80" t="s">
        <v>83</v>
      </c>
      <c r="E1168" s="27" t="s">
        <v>5212</v>
      </c>
      <c r="F1168" s="80" t="s">
        <v>109</v>
      </c>
      <c r="G1168" s="81" t="s">
        <v>85</v>
      </c>
      <c r="H1168" s="80" t="s">
        <v>299</v>
      </c>
      <c r="I1168" s="92">
        <v>45729</v>
      </c>
      <c r="J1168" s="80" t="s">
        <v>3505</v>
      </c>
      <c r="K1168" s="80" t="s">
        <v>5213</v>
      </c>
      <c r="L1168" s="84" t="s">
        <v>251</v>
      </c>
      <c r="M1168" s="84" t="s">
        <v>252</v>
      </c>
      <c r="N1168" s="84" t="s">
        <v>920</v>
      </c>
      <c r="O1168" s="129" t="s">
        <v>5758</v>
      </c>
      <c r="P1168" s="132" t="s">
        <v>5759</v>
      </c>
      <c r="Q1168" s="49" t="s">
        <v>75</v>
      </c>
      <c r="R1168" s="25" t="s">
        <v>91</v>
      </c>
      <c r="S1168" s="26">
        <v>18</v>
      </c>
      <c r="T1168" s="26">
        <v>42</v>
      </c>
      <c r="U1168" s="28" t="s">
        <v>5760</v>
      </c>
      <c r="V1168" s="66"/>
      <c r="W1168" s="106"/>
      <c r="X1168" s="106" t="s">
        <v>516</v>
      </c>
      <c r="Y1168" s="26" t="s">
        <v>76</v>
      </c>
      <c r="Z1168" s="93" t="s">
        <v>106</v>
      </c>
      <c r="AA1168" s="30" t="s">
        <v>76</v>
      </c>
    </row>
    <row r="1169" spans="1:27" ht="29.25" hidden="1" customHeight="1">
      <c r="A1169" s="88">
        <v>1159</v>
      </c>
      <c r="B1169" s="79" t="s">
        <v>5761</v>
      </c>
      <c r="C1169" s="148" t="s">
        <v>8</v>
      </c>
      <c r="D1169" s="80" t="s">
        <v>63</v>
      </c>
      <c r="E1169" s="27" t="s">
        <v>2272</v>
      </c>
      <c r="F1169" s="80" t="s">
        <v>65</v>
      </c>
      <c r="G1169" s="81" t="s">
        <v>66</v>
      </c>
      <c r="H1169" s="80" t="s">
        <v>1812</v>
      </c>
      <c r="I1169" s="92">
        <v>45729</v>
      </c>
      <c r="J1169" s="80" t="s">
        <v>3505</v>
      </c>
      <c r="K1169" s="80" t="s">
        <v>69</v>
      </c>
      <c r="L1169" s="84" t="s">
        <v>100</v>
      </c>
      <c r="M1169" s="84" t="s">
        <v>252</v>
      </c>
      <c r="N1169" s="84" t="s">
        <v>72</v>
      </c>
      <c r="O1169" s="129" t="s">
        <v>5762</v>
      </c>
      <c r="P1169" s="132" t="s">
        <v>5763</v>
      </c>
      <c r="Q1169" s="49" t="s">
        <v>75</v>
      </c>
      <c r="R1169" s="25" t="s">
        <v>91</v>
      </c>
      <c r="S1169" s="26">
        <v>18</v>
      </c>
      <c r="T1169" s="26">
        <v>50</v>
      </c>
      <c r="U1169" s="28" t="s">
        <v>5764</v>
      </c>
      <c r="V1169" s="66"/>
      <c r="W1169" s="106"/>
      <c r="X1169" s="106" t="s">
        <v>516</v>
      </c>
      <c r="Y1169" s="26" t="s">
        <v>76</v>
      </c>
      <c r="Z1169" s="75" t="s">
        <v>93</v>
      </c>
      <c r="AA1169" s="30" t="s">
        <v>76</v>
      </c>
    </row>
    <row r="1170" spans="1:27" ht="29.25" hidden="1" customHeight="1">
      <c r="A1170" s="88">
        <v>1160</v>
      </c>
      <c r="B1170" s="79" t="s">
        <v>5765</v>
      </c>
      <c r="C1170" s="148" t="s">
        <v>8</v>
      </c>
      <c r="D1170" s="80" t="s">
        <v>63</v>
      </c>
      <c r="E1170" s="27" t="s">
        <v>2152</v>
      </c>
      <c r="F1170" s="80" t="s">
        <v>65</v>
      </c>
      <c r="G1170" s="81" t="s">
        <v>1047</v>
      </c>
      <c r="H1170" s="80" t="s">
        <v>2153</v>
      </c>
      <c r="I1170" s="92">
        <v>45729</v>
      </c>
      <c r="J1170" s="80" t="s">
        <v>5766</v>
      </c>
      <c r="K1170" s="80" t="s">
        <v>112</v>
      </c>
      <c r="L1170" s="84" t="s">
        <v>113</v>
      </c>
      <c r="M1170" s="84" t="s">
        <v>853</v>
      </c>
      <c r="N1170" s="84" t="s">
        <v>72</v>
      </c>
      <c r="O1170" s="129" t="s">
        <v>5767</v>
      </c>
      <c r="P1170" s="132" t="s">
        <v>5768</v>
      </c>
      <c r="Q1170" s="49" t="s">
        <v>75</v>
      </c>
      <c r="R1170" s="25" t="s">
        <v>91</v>
      </c>
      <c r="S1170" s="26">
        <v>22</v>
      </c>
      <c r="T1170" s="26">
        <v>63</v>
      </c>
      <c r="U1170" s="28" t="s">
        <v>5769</v>
      </c>
      <c r="V1170" s="66"/>
      <c r="W1170" s="106"/>
      <c r="X1170" s="106" t="s">
        <v>516</v>
      </c>
      <c r="Y1170" s="26" t="s">
        <v>76</v>
      </c>
      <c r="Z1170" s="75" t="s">
        <v>93</v>
      </c>
      <c r="AA1170" s="30" t="s">
        <v>76</v>
      </c>
    </row>
    <row r="1171" spans="1:27" ht="29.25" hidden="1" customHeight="1">
      <c r="A1171" s="88">
        <v>1161</v>
      </c>
      <c r="B1171" s="79" t="s">
        <v>5770</v>
      </c>
      <c r="C1171" s="148" t="s">
        <v>399</v>
      </c>
      <c r="D1171" s="80" t="s">
        <v>83</v>
      </c>
      <c r="E1171" s="27" t="s">
        <v>5771</v>
      </c>
      <c r="F1171" s="80" t="s">
        <v>120</v>
      </c>
      <c r="G1171" s="81" t="s">
        <v>2362</v>
      </c>
      <c r="H1171" s="80" t="s">
        <v>5772</v>
      </c>
      <c r="I1171" s="92">
        <v>45730</v>
      </c>
      <c r="J1171" s="80" t="s">
        <v>3505</v>
      </c>
      <c r="K1171" s="80" t="s">
        <v>69</v>
      </c>
      <c r="L1171" s="84" t="s">
        <v>251</v>
      </c>
      <c r="M1171" s="84" t="s">
        <v>252</v>
      </c>
      <c r="N1171" s="84" t="s">
        <v>72</v>
      </c>
      <c r="O1171" s="129" t="s">
        <v>5773</v>
      </c>
      <c r="P1171" s="132" t="s">
        <v>5774</v>
      </c>
      <c r="Q1171" s="49" t="s">
        <v>75</v>
      </c>
      <c r="R1171" s="25" t="s">
        <v>91</v>
      </c>
      <c r="S1171" s="26">
        <v>21</v>
      </c>
      <c r="T1171" s="26">
        <v>57</v>
      </c>
      <c r="U1171" s="28" t="s">
        <v>5775</v>
      </c>
      <c r="V1171" s="66"/>
      <c r="W1171" s="106"/>
      <c r="X1171" s="106" t="s">
        <v>516</v>
      </c>
      <c r="Y1171" s="26" t="s">
        <v>76</v>
      </c>
      <c r="Z1171" s="75" t="s">
        <v>106</v>
      </c>
      <c r="AA1171" s="30" t="s">
        <v>76</v>
      </c>
    </row>
    <row r="1172" spans="1:27" ht="29.25" hidden="1" customHeight="1">
      <c r="A1172" s="88">
        <v>1162</v>
      </c>
      <c r="B1172" s="79" t="s">
        <v>5776</v>
      </c>
      <c r="C1172" s="148" t="s">
        <v>399</v>
      </c>
      <c r="D1172" s="80" t="s">
        <v>83</v>
      </c>
      <c r="E1172" s="27" t="s">
        <v>5777</v>
      </c>
      <c r="F1172" s="80" t="s">
        <v>109</v>
      </c>
      <c r="G1172" s="81" t="s">
        <v>2362</v>
      </c>
      <c r="H1172" s="80" t="s">
        <v>3024</v>
      </c>
      <c r="I1172" s="92">
        <v>45730</v>
      </c>
      <c r="J1172" s="80" t="s">
        <v>3505</v>
      </c>
      <c r="K1172" s="80" t="s">
        <v>69</v>
      </c>
      <c r="L1172" s="84" t="s">
        <v>251</v>
      </c>
      <c r="M1172" s="84" t="s">
        <v>252</v>
      </c>
      <c r="N1172" s="84" t="s">
        <v>72</v>
      </c>
      <c r="O1172" s="129" t="s">
        <v>5778</v>
      </c>
      <c r="P1172" s="132" t="s">
        <v>5779</v>
      </c>
      <c r="Q1172" s="49" t="s">
        <v>75</v>
      </c>
      <c r="R1172" s="25" t="s">
        <v>91</v>
      </c>
      <c r="S1172" s="26">
        <v>22</v>
      </c>
      <c r="T1172" s="26">
        <v>62</v>
      </c>
      <c r="U1172" s="28" t="s">
        <v>5780</v>
      </c>
      <c r="V1172" s="66"/>
      <c r="W1172" s="106"/>
      <c r="X1172" s="106" t="s">
        <v>516</v>
      </c>
      <c r="Y1172" s="26" t="s">
        <v>76</v>
      </c>
      <c r="Z1172" s="75" t="s">
        <v>93</v>
      </c>
      <c r="AA1172" s="30" t="s">
        <v>76</v>
      </c>
    </row>
    <row r="1173" spans="1:27" ht="29.25" hidden="1" customHeight="1">
      <c r="A1173" s="88">
        <v>1163</v>
      </c>
      <c r="B1173" s="79" t="s">
        <v>5781</v>
      </c>
      <c r="C1173" s="148" t="s">
        <v>399</v>
      </c>
      <c r="D1173" s="80" t="s">
        <v>83</v>
      </c>
      <c r="E1173" s="27" t="s">
        <v>3147</v>
      </c>
      <c r="F1173" s="80" t="s">
        <v>109</v>
      </c>
      <c r="G1173" s="81" t="s">
        <v>2362</v>
      </c>
      <c r="H1173" s="80" t="s">
        <v>3148</v>
      </c>
      <c r="I1173" s="92">
        <v>45730</v>
      </c>
      <c r="J1173" s="80" t="s">
        <v>3505</v>
      </c>
      <c r="K1173" s="80" t="s">
        <v>69</v>
      </c>
      <c r="L1173" s="84" t="s">
        <v>251</v>
      </c>
      <c r="M1173" s="84" t="s">
        <v>252</v>
      </c>
      <c r="N1173" s="84" t="s">
        <v>72</v>
      </c>
      <c r="O1173" s="129" t="s">
        <v>5782</v>
      </c>
      <c r="P1173" s="132" t="s">
        <v>5783</v>
      </c>
      <c r="Q1173" s="49" t="s">
        <v>91</v>
      </c>
      <c r="R1173" s="25"/>
      <c r="S1173" s="26">
        <v>17</v>
      </c>
      <c r="T1173" s="26"/>
      <c r="U1173" s="28" t="s">
        <v>5784</v>
      </c>
      <c r="V1173" s="66"/>
      <c r="W1173" s="106"/>
      <c r="X1173" s="106" t="s">
        <v>76</v>
      </c>
      <c r="Y1173" s="26" t="s">
        <v>76</v>
      </c>
      <c r="Z1173" s="75" t="s">
        <v>193</v>
      </c>
      <c r="AA1173" s="30" t="s">
        <v>76</v>
      </c>
    </row>
    <row r="1174" spans="1:27" ht="29.25" hidden="1" customHeight="1">
      <c r="A1174" s="88">
        <v>1164</v>
      </c>
      <c r="B1174" s="79" t="s">
        <v>5785</v>
      </c>
      <c r="C1174" s="148" t="s">
        <v>399</v>
      </c>
      <c r="D1174" s="80" t="s">
        <v>83</v>
      </c>
      <c r="E1174" s="27" t="s">
        <v>5786</v>
      </c>
      <c r="F1174" s="80" t="s">
        <v>338</v>
      </c>
      <c r="G1174" s="81" t="s">
        <v>2362</v>
      </c>
      <c r="H1174" s="80" t="s">
        <v>5787</v>
      </c>
      <c r="I1174" s="92">
        <v>45730</v>
      </c>
      <c r="J1174" s="80" t="s">
        <v>3505</v>
      </c>
      <c r="K1174" s="80" t="s">
        <v>69</v>
      </c>
      <c r="L1174" s="84" t="s">
        <v>251</v>
      </c>
      <c r="M1174" s="84" t="s">
        <v>252</v>
      </c>
      <c r="N1174" s="84" t="s">
        <v>72</v>
      </c>
      <c r="O1174" s="129" t="s">
        <v>5788</v>
      </c>
      <c r="P1174" s="132" t="s">
        <v>5789</v>
      </c>
      <c r="Q1174" s="49" t="s">
        <v>75</v>
      </c>
      <c r="R1174" s="25" t="s">
        <v>75</v>
      </c>
      <c r="S1174" s="26">
        <v>26</v>
      </c>
      <c r="T1174" s="26">
        <v>86</v>
      </c>
      <c r="U1174" s="28" t="s">
        <v>5790</v>
      </c>
      <c r="V1174" s="66"/>
      <c r="W1174" s="106" t="s">
        <v>1511</v>
      </c>
      <c r="X1174" s="106" t="s">
        <v>516</v>
      </c>
      <c r="Y1174" s="26" t="s">
        <v>76</v>
      </c>
      <c r="Z1174" s="75" t="s">
        <v>106</v>
      </c>
      <c r="AA1174" s="30" t="s">
        <v>76</v>
      </c>
    </row>
    <row r="1175" spans="1:27" ht="29.25" hidden="1" customHeight="1">
      <c r="A1175" s="88">
        <v>1165</v>
      </c>
      <c r="B1175" s="79" t="s">
        <v>5791</v>
      </c>
      <c r="C1175" s="148" t="s">
        <v>399</v>
      </c>
      <c r="D1175" s="80" t="s">
        <v>83</v>
      </c>
      <c r="E1175" s="27" t="s">
        <v>5792</v>
      </c>
      <c r="F1175" s="80" t="s">
        <v>120</v>
      </c>
      <c r="G1175" s="81" t="s">
        <v>2362</v>
      </c>
      <c r="H1175" s="80" t="s">
        <v>5793</v>
      </c>
      <c r="I1175" s="92">
        <v>45730</v>
      </c>
      <c r="J1175" s="80" t="s">
        <v>3505</v>
      </c>
      <c r="K1175" s="80" t="s">
        <v>69</v>
      </c>
      <c r="L1175" s="84" t="s">
        <v>251</v>
      </c>
      <c r="M1175" s="84" t="s">
        <v>252</v>
      </c>
      <c r="N1175" s="84" t="s">
        <v>72</v>
      </c>
      <c r="O1175" s="129" t="s">
        <v>5794</v>
      </c>
      <c r="P1175" s="132" t="s">
        <v>5795</v>
      </c>
      <c r="Q1175" s="49" t="s">
        <v>75</v>
      </c>
      <c r="R1175" s="25" t="s">
        <v>504</v>
      </c>
      <c r="S1175" s="26">
        <v>20</v>
      </c>
      <c r="T1175" s="26"/>
      <c r="U1175" s="28" t="s">
        <v>5796</v>
      </c>
      <c r="V1175" s="66"/>
      <c r="W1175" s="106"/>
      <c r="X1175" s="106" t="s">
        <v>516</v>
      </c>
      <c r="Y1175" s="26" t="s">
        <v>76</v>
      </c>
      <c r="Z1175" s="75" t="s">
        <v>106</v>
      </c>
      <c r="AA1175" s="30" t="s">
        <v>76</v>
      </c>
    </row>
    <row r="1176" spans="1:27" ht="49.5" hidden="1">
      <c r="A1176" s="88">
        <v>1166</v>
      </c>
      <c r="B1176" s="79" t="s">
        <v>5797</v>
      </c>
      <c r="C1176" s="148" t="s">
        <v>399</v>
      </c>
      <c r="D1176" s="80" t="s">
        <v>83</v>
      </c>
      <c r="E1176" s="27" t="s">
        <v>5798</v>
      </c>
      <c r="F1176" s="80" t="s">
        <v>65</v>
      </c>
      <c r="G1176" s="81" t="s">
        <v>2362</v>
      </c>
      <c r="H1176" s="80" t="s">
        <v>5799</v>
      </c>
      <c r="I1176" s="92">
        <v>45730</v>
      </c>
      <c r="J1176" s="80" t="s">
        <v>3505</v>
      </c>
      <c r="K1176" s="80" t="s">
        <v>69</v>
      </c>
      <c r="L1176" s="84" t="s">
        <v>251</v>
      </c>
      <c r="M1176" s="84" t="s">
        <v>252</v>
      </c>
      <c r="N1176" s="84" t="s">
        <v>72</v>
      </c>
      <c r="O1176" s="129" t="s">
        <v>5800</v>
      </c>
      <c r="P1176" s="132" t="s">
        <v>5801</v>
      </c>
      <c r="Q1176" s="49" t="s">
        <v>75</v>
      </c>
      <c r="R1176" s="25" t="s">
        <v>91</v>
      </c>
      <c r="S1176" s="26">
        <v>18</v>
      </c>
      <c r="T1176" s="26">
        <v>54</v>
      </c>
      <c r="U1176" s="28" t="s">
        <v>5802</v>
      </c>
      <c r="V1176" s="66"/>
      <c r="W1176" s="106"/>
      <c r="X1176" s="106" t="s">
        <v>516</v>
      </c>
      <c r="Y1176" s="26" t="s">
        <v>76</v>
      </c>
      <c r="Z1176" s="75" t="s">
        <v>93</v>
      </c>
      <c r="AA1176" s="30" t="s">
        <v>76</v>
      </c>
    </row>
    <row r="1177" spans="1:27" ht="29.25" hidden="1" customHeight="1">
      <c r="A1177" s="88">
        <v>1167</v>
      </c>
      <c r="B1177" s="79" t="s">
        <v>5803</v>
      </c>
      <c r="C1177" s="148" t="s">
        <v>399</v>
      </c>
      <c r="D1177" s="80" t="s">
        <v>83</v>
      </c>
      <c r="E1177" s="27" t="s">
        <v>5804</v>
      </c>
      <c r="F1177" s="80" t="s">
        <v>120</v>
      </c>
      <c r="G1177" s="81" t="s">
        <v>2362</v>
      </c>
      <c r="H1177" s="80" t="s">
        <v>5805</v>
      </c>
      <c r="I1177" s="92">
        <v>45730</v>
      </c>
      <c r="J1177" s="80" t="s">
        <v>3505</v>
      </c>
      <c r="K1177" s="80" t="s">
        <v>69</v>
      </c>
      <c r="L1177" s="84" t="s">
        <v>251</v>
      </c>
      <c r="M1177" s="84" t="s">
        <v>252</v>
      </c>
      <c r="N1177" s="84" t="s">
        <v>72</v>
      </c>
      <c r="O1177" s="129" t="s">
        <v>5806</v>
      </c>
      <c r="P1177" s="132" t="s">
        <v>5807</v>
      </c>
      <c r="Q1177" s="49" t="s">
        <v>91</v>
      </c>
      <c r="R1177" s="25"/>
      <c r="S1177" s="26">
        <v>17</v>
      </c>
      <c r="T1177" s="26"/>
      <c r="U1177" s="28" t="s">
        <v>5808</v>
      </c>
      <c r="V1177" s="66"/>
      <c r="W1177" s="106"/>
      <c r="X1177" s="106" t="s">
        <v>76</v>
      </c>
      <c r="Y1177" s="26" t="s">
        <v>76</v>
      </c>
      <c r="Z1177" s="75" t="s">
        <v>193</v>
      </c>
      <c r="AA1177" s="30" t="s">
        <v>76</v>
      </c>
    </row>
    <row r="1178" spans="1:27" ht="39.75" hidden="1" customHeight="1">
      <c r="A1178" s="88">
        <v>1168</v>
      </c>
      <c r="B1178" s="79" t="s">
        <v>5809</v>
      </c>
      <c r="C1178" s="148" t="s">
        <v>399</v>
      </c>
      <c r="D1178" s="80" t="s">
        <v>83</v>
      </c>
      <c r="E1178" s="27" t="s">
        <v>5804</v>
      </c>
      <c r="F1178" s="80" t="s">
        <v>120</v>
      </c>
      <c r="G1178" s="81" t="s">
        <v>2362</v>
      </c>
      <c r="H1178" s="80" t="s">
        <v>5805</v>
      </c>
      <c r="I1178" s="92">
        <v>45730</v>
      </c>
      <c r="J1178" s="80" t="s">
        <v>3505</v>
      </c>
      <c r="K1178" s="80" t="s">
        <v>69</v>
      </c>
      <c r="L1178" s="84" t="s">
        <v>251</v>
      </c>
      <c r="M1178" s="84" t="s">
        <v>252</v>
      </c>
      <c r="N1178" s="84" t="s">
        <v>72</v>
      </c>
      <c r="O1178" s="129" t="s">
        <v>5810</v>
      </c>
      <c r="P1178" s="132" t="s">
        <v>5811</v>
      </c>
      <c r="Q1178" s="49" t="s">
        <v>75</v>
      </c>
      <c r="R1178" s="25" t="s">
        <v>91</v>
      </c>
      <c r="S1178" s="26">
        <v>20</v>
      </c>
      <c r="T1178" s="26">
        <v>58</v>
      </c>
      <c r="U1178" s="28" t="s">
        <v>5802</v>
      </c>
      <c r="V1178" s="66"/>
      <c r="W1178" s="106"/>
      <c r="X1178" s="106" t="s">
        <v>516</v>
      </c>
      <c r="Y1178" s="26" t="s">
        <v>76</v>
      </c>
      <c r="Z1178" s="75" t="s">
        <v>93</v>
      </c>
      <c r="AA1178" s="30" t="s">
        <v>76</v>
      </c>
    </row>
    <row r="1179" spans="1:27" ht="29.25" hidden="1" customHeight="1">
      <c r="A1179" s="88">
        <v>1169</v>
      </c>
      <c r="B1179" s="79" t="s">
        <v>5812</v>
      </c>
      <c r="C1179" s="148" t="s">
        <v>399</v>
      </c>
      <c r="D1179" s="80" t="s">
        <v>83</v>
      </c>
      <c r="E1179" s="27" t="s">
        <v>5804</v>
      </c>
      <c r="F1179" s="80" t="s">
        <v>120</v>
      </c>
      <c r="G1179" s="81" t="s">
        <v>2362</v>
      </c>
      <c r="H1179" s="80" t="s">
        <v>5805</v>
      </c>
      <c r="I1179" s="92">
        <v>45730</v>
      </c>
      <c r="J1179" s="80" t="s">
        <v>3505</v>
      </c>
      <c r="K1179" s="80" t="s">
        <v>69</v>
      </c>
      <c r="L1179" s="84" t="s">
        <v>251</v>
      </c>
      <c r="M1179" s="84" t="s">
        <v>252</v>
      </c>
      <c r="N1179" s="84" t="s">
        <v>72</v>
      </c>
      <c r="O1179" s="129" t="s">
        <v>5813</v>
      </c>
      <c r="P1179" s="132" t="s">
        <v>5814</v>
      </c>
      <c r="Q1179" s="49" t="s">
        <v>91</v>
      </c>
      <c r="R1179" s="25"/>
      <c r="S1179" s="26">
        <v>16</v>
      </c>
      <c r="T1179" s="26"/>
      <c r="U1179" s="28" t="s">
        <v>5815</v>
      </c>
      <c r="V1179" s="66"/>
      <c r="W1179" s="106"/>
      <c r="X1179" s="106" t="s">
        <v>76</v>
      </c>
      <c r="Y1179" s="26" t="s">
        <v>76</v>
      </c>
      <c r="Z1179" s="75" t="s">
        <v>193</v>
      </c>
      <c r="AA1179" s="30" t="s">
        <v>76</v>
      </c>
    </row>
    <row r="1180" spans="1:27" ht="29.25" hidden="1" customHeight="1">
      <c r="A1180" s="88">
        <v>1170</v>
      </c>
      <c r="B1180" s="79" t="s">
        <v>5816</v>
      </c>
      <c r="C1180" s="148" t="s">
        <v>8</v>
      </c>
      <c r="D1180" s="80" t="s">
        <v>63</v>
      </c>
      <c r="E1180" s="27" t="s">
        <v>2677</v>
      </c>
      <c r="F1180" s="80" t="s">
        <v>120</v>
      </c>
      <c r="G1180" s="81" t="s">
        <v>651</v>
      </c>
      <c r="H1180" s="80" t="s">
        <v>2678</v>
      </c>
      <c r="I1180" s="92">
        <v>45731</v>
      </c>
      <c r="J1180" s="80" t="s">
        <v>3517</v>
      </c>
      <c r="K1180" s="80" t="s">
        <v>299</v>
      </c>
      <c r="L1180" s="84" t="s">
        <v>189</v>
      </c>
      <c r="M1180" s="84" t="s">
        <v>101</v>
      </c>
      <c r="N1180" s="84" t="s">
        <v>72</v>
      </c>
      <c r="O1180" s="129" t="s">
        <v>5817</v>
      </c>
      <c r="P1180" s="132" t="s">
        <v>5818</v>
      </c>
      <c r="Q1180" s="49" t="s">
        <v>75</v>
      </c>
      <c r="R1180" s="25" t="s">
        <v>91</v>
      </c>
      <c r="S1180" s="26">
        <v>22</v>
      </c>
      <c r="T1180" s="26">
        <v>73</v>
      </c>
      <c r="U1180" s="28" t="s">
        <v>3384</v>
      </c>
      <c r="V1180" s="66"/>
      <c r="W1180" s="106"/>
      <c r="X1180" s="106" t="s">
        <v>516</v>
      </c>
      <c r="Y1180" s="26"/>
      <c r="Z1180" s="93" t="s">
        <v>93</v>
      </c>
      <c r="AA1180" s="30" t="s">
        <v>76</v>
      </c>
    </row>
    <row r="1181" spans="1:27" ht="109.5" hidden="1" customHeight="1">
      <c r="A1181" s="88">
        <v>1171</v>
      </c>
      <c r="B1181" s="79" t="s">
        <v>5819</v>
      </c>
      <c r="C1181" s="148" t="s">
        <v>10</v>
      </c>
      <c r="D1181" s="80" t="s">
        <v>63</v>
      </c>
      <c r="E1181" s="27" t="s">
        <v>3854</v>
      </c>
      <c r="F1181" s="80" t="s">
        <v>120</v>
      </c>
      <c r="G1181" s="81" t="s">
        <v>3855</v>
      </c>
      <c r="H1181" s="80" t="s">
        <v>3856</v>
      </c>
      <c r="I1181" s="92">
        <v>45733</v>
      </c>
      <c r="J1181" s="80" t="s">
        <v>3505</v>
      </c>
      <c r="K1181" s="80" t="s">
        <v>69</v>
      </c>
      <c r="L1181" s="84" t="s">
        <v>251</v>
      </c>
      <c r="M1181" s="84" t="s">
        <v>252</v>
      </c>
      <c r="N1181" s="84" t="s">
        <v>72</v>
      </c>
      <c r="O1181" s="308" t="s">
        <v>5820</v>
      </c>
      <c r="P1181" s="132" t="s">
        <v>5821</v>
      </c>
      <c r="Q1181" s="49" t="s">
        <v>75</v>
      </c>
      <c r="R1181" s="25" t="s">
        <v>91</v>
      </c>
      <c r="S1181" s="26">
        <v>24</v>
      </c>
      <c r="T1181" s="26">
        <v>64</v>
      </c>
      <c r="U1181" s="28" t="s">
        <v>5822</v>
      </c>
      <c r="V1181" s="66"/>
      <c r="W1181" s="106"/>
      <c r="X1181" s="106" t="s">
        <v>516</v>
      </c>
      <c r="Y1181" s="26" t="s">
        <v>76</v>
      </c>
      <c r="Z1181" s="75" t="s">
        <v>93</v>
      </c>
      <c r="AA1181" s="30" t="s">
        <v>76</v>
      </c>
    </row>
    <row r="1182" spans="1:27" ht="57" hidden="1" customHeight="1">
      <c r="A1182" s="88">
        <v>1172</v>
      </c>
      <c r="B1182" s="79" t="s">
        <v>5823</v>
      </c>
      <c r="C1182" s="148" t="s">
        <v>8</v>
      </c>
      <c r="D1182" s="80" t="s">
        <v>63</v>
      </c>
      <c r="E1182" s="27" t="s">
        <v>4034</v>
      </c>
      <c r="F1182" s="80" t="s">
        <v>338</v>
      </c>
      <c r="G1182" s="81" t="s">
        <v>1132</v>
      </c>
      <c r="H1182" s="80" t="s">
        <v>4035</v>
      </c>
      <c r="I1182" s="92">
        <v>45733</v>
      </c>
      <c r="J1182" s="80" t="s">
        <v>3505</v>
      </c>
      <c r="K1182" s="80" t="s">
        <v>69</v>
      </c>
      <c r="L1182" s="84" t="s">
        <v>251</v>
      </c>
      <c r="M1182" s="84" t="s">
        <v>252</v>
      </c>
      <c r="N1182" s="84" t="s">
        <v>72</v>
      </c>
      <c r="O1182" s="129" t="s">
        <v>5824</v>
      </c>
      <c r="P1182" s="132" t="s">
        <v>5825</v>
      </c>
      <c r="Q1182" s="49" t="s">
        <v>91</v>
      </c>
      <c r="R1182" s="25"/>
      <c r="S1182" s="26">
        <v>15</v>
      </c>
      <c r="T1182" s="26"/>
      <c r="U1182" s="28" t="s">
        <v>5826</v>
      </c>
      <c r="V1182" s="66"/>
      <c r="W1182" s="106"/>
      <c r="X1182" s="106" t="s">
        <v>76</v>
      </c>
      <c r="Y1182" s="26" t="s">
        <v>76</v>
      </c>
      <c r="Z1182" s="75" t="s">
        <v>193</v>
      </c>
      <c r="AA1182" s="30" t="s">
        <v>76</v>
      </c>
    </row>
    <row r="1183" spans="1:27" ht="23.25" hidden="1" customHeight="1">
      <c r="A1183" s="88">
        <v>1173</v>
      </c>
      <c r="B1183" s="79" t="s">
        <v>5827</v>
      </c>
      <c r="C1183" s="148" t="s">
        <v>2146</v>
      </c>
      <c r="D1183" s="80" t="s">
        <v>83</v>
      </c>
      <c r="E1183" s="27" t="s">
        <v>5597</v>
      </c>
      <c r="F1183" s="80" t="s">
        <v>109</v>
      </c>
      <c r="G1183" s="81" t="s">
        <v>2148</v>
      </c>
      <c r="H1183" s="80" t="s">
        <v>5598</v>
      </c>
      <c r="I1183" s="92">
        <v>45734</v>
      </c>
      <c r="J1183" s="80" t="s">
        <v>3505</v>
      </c>
      <c r="K1183" s="80" t="s">
        <v>69</v>
      </c>
      <c r="L1183" s="84" t="s">
        <v>251</v>
      </c>
      <c r="M1183" s="84" t="s">
        <v>252</v>
      </c>
      <c r="N1183" s="84" t="s">
        <v>72</v>
      </c>
      <c r="O1183" s="129" t="s">
        <v>5828</v>
      </c>
      <c r="P1183" s="132" t="s">
        <v>5829</v>
      </c>
      <c r="Q1183" s="49" t="s">
        <v>75</v>
      </c>
      <c r="R1183" s="25" t="s">
        <v>504</v>
      </c>
      <c r="S1183" s="26">
        <v>22</v>
      </c>
      <c r="T1183" s="26"/>
      <c r="U1183" s="28" t="s">
        <v>5830</v>
      </c>
      <c r="V1183" s="66"/>
      <c r="W1183" s="106"/>
      <c r="X1183" s="106" t="s">
        <v>516</v>
      </c>
      <c r="Y1183" s="26" t="s">
        <v>76</v>
      </c>
      <c r="Z1183" s="75" t="s">
        <v>106</v>
      </c>
      <c r="AA1183" s="30" t="s">
        <v>76</v>
      </c>
    </row>
    <row r="1184" spans="1:27" ht="23.25" hidden="1" customHeight="1">
      <c r="A1184" s="88">
        <v>1174</v>
      </c>
      <c r="B1184" s="79" t="s">
        <v>5831</v>
      </c>
      <c r="C1184" s="148" t="s">
        <v>10</v>
      </c>
      <c r="D1184" s="80" t="s">
        <v>63</v>
      </c>
      <c r="E1184" s="27" t="s">
        <v>5832</v>
      </c>
      <c r="F1184" s="80" t="s">
        <v>109</v>
      </c>
      <c r="G1184" s="81" t="s">
        <v>3103</v>
      </c>
      <c r="H1184" s="80" t="s">
        <v>5833</v>
      </c>
      <c r="I1184" s="92">
        <v>45734</v>
      </c>
      <c r="J1184" s="80" t="s">
        <v>4066</v>
      </c>
      <c r="K1184" s="80" t="s">
        <v>1654</v>
      </c>
      <c r="L1184" s="84" t="s">
        <v>10</v>
      </c>
      <c r="M1184" s="84" t="s">
        <v>252</v>
      </c>
      <c r="N1184" s="84" t="s">
        <v>72</v>
      </c>
      <c r="O1184" s="308" t="s">
        <v>5834</v>
      </c>
      <c r="P1184" s="132" t="s">
        <v>5835</v>
      </c>
      <c r="Q1184" s="49" t="s">
        <v>75</v>
      </c>
      <c r="R1184" s="25" t="s">
        <v>91</v>
      </c>
      <c r="S1184" s="26">
        <v>26</v>
      </c>
      <c r="T1184" s="26">
        <v>57</v>
      </c>
      <c r="U1184" s="28" t="s">
        <v>5836</v>
      </c>
      <c r="V1184" s="66"/>
      <c r="W1184" s="106"/>
      <c r="X1184" s="106" t="s">
        <v>516</v>
      </c>
      <c r="Y1184" s="26" t="s">
        <v>76</v>
      </c>
      <c r="Z1184" s="75" t="s">
        <v>93</v>
      </c>
      <c r="AA1184" s="30" t="s">
        <v>76</v>
      </c>
    </row>
    <row r="1185" spans="1:27" ht="23.25" hidden="1" customHeight="1">
      <c r="A1185" s="88">
        <v>1175</v>
      </c>
      <c r="B1185" s="79" t="s">
        <v>5837</v>
      </c>
      <c r="C1185" s="148" t="s">
        <v>8</v>
      </c>
      <c r="D1185" s="80" t="s">
        <v>63</v>
      </c>
      <c r="E1185" s="27" t="s">
        <v>3395</v>
      </c>
      <c r="F1185" s="80" t="s">
        <v>109</v>
      </c>
      <c r="G1185" s="81" t="s">
        <v>154</v>
      </c>
      <c r="H1185" s="80" t="s">
        <v>3396</v>
      </c>
      <c r="I1185" s="92">
        <v>45734</v>
      </c>
      <c r="J1185" s="80" t="s">
        <v>3505</v>
      </c>
      <c r="K1185" s="80" t="s">
        <v>69</v>
      </c>
      <c r="L1185" s="84" t="s">
        <v>251</v>
      </c>
      <c r="M1185" s="84" t="s">
        <v>252</v>
      </c>
      <c r="N1185" s="84" t="s">
        <v>72</v>
      </c>
      <c r="O1185" s="129" t="s">
        <v>5838</v>
      </c>
      <c r="P1185" s="132" t="s">
        <v>5839</v>
      </c>
      <c r="Q1185" s="49" t="s">
        <v>75</v>
      </c>
      <c r="R1185" s="25" t="s">
        <v>91</v>
      </c>
      <c r="S1185" s="26">
        <v>18</v>
      </c>
      <c r="T1185" s="26">
        <v>50</v>
      </c>
      <c r="U1185" s="28" t="s">
        <v>5840</v>
      </c>
      <c r="V1185" s="66"/>
      <c r="W1185" s="106"/>
      <c r="X1185" s="106" t="s">
        <v>516</v>
      </c>
      <c r="Y1185" s="26" t="s">
        <v>76</v>
      </c>
      <c r="Z1185" s="75" t="s">
        <v>93</v>
      </c>
      <c r="AA1185" s="30" t="s">
        <v>76</v>
      </c>
    </row>
    <row r="1186" spans="1:27" ht="34.5" hidden="1" customHeight="1">
      <c r="A1186" s="88">
        <v>1176</v>
      </c>
      <c r="B1186" s="79" t="s">
        <v>5841</v>
      </c>
      <c r="C1186" s="148" t="s">
        <v>10</v>
      </c>
      <c r="D1186" s="80" t="s">
        <v>63</v>
      </c>
      <c r="E1186" s="27" t="s">
        <v>5842</v>
      </c>
      <c r="F1186" s="80" t="s">
        <v>109</v>
      </c>
      <c r="G1186" s="81" t="s">
        <v>5843</v>
      </c>
      <c r="H1186" s="80" t="s">
        <v>5844</v>
      </c>
      <c r="I1186" s="92">
        <v>45735</v>
      </c>
      <c r="J1186" s="80" t="s">
        <v>3505</v>
      </c>
      <c r="K1186" s="80" t="s">
        <v>69</v>
      </c>
      <c r="L1186" s="84" t="s">
        <v>251</v>
      </c>
      <c r="M1186" s="84" t="s">
        <v>252</v>
      </c>
      <c r="N1186" s="84" t="s">
        <v>72</v>
      </c>
      <c r="O1186" s="308" t="s">
        <v>5845</v>
      </c>
      <c r="P1186" s="132" t="s">
        <v>5846</v>
      </c>
      <c r="Q1186" s="49" t="s">
        <v>75</v>
      </c>
      <c r="R1186" s="25" t="s">
        <v>91</v>
      </c>
      <c r="S1186" s="26">
        <v>19</v>
      </c>
      <c r="T1186" s="26">
        <v>47</v>
      </c>
      <c r="U1186" s="28" t="s">
        <v>5847</v>
      </c>
      <c r="V1186" s="66"/>
      <c r="W1186" s="106"/>
      <c r="X1186" s="106" t="s">
        <v>516</v>
      </c>
      <c r="Y1186" s="26" t="s">
        <v>76</v>
      </c>
      <c r="Z1186" s="75" t="s">
        <v>93</v>
      </c>
      <c r="AA1186" s="30" t="s">
        <v>76</v>
      </c>
    </row>
    <row r="1187" spans="1:27" ht="43.5" hidden="1" customHeight="1">
      <c r="A1187" s="88">
        <v>1177</v>
      </c>
      <c r="B1187" s="79" t="s">
        <v>5848</v>
      </c>
      <c r="C1187" s="148" t="s">
        <v>8</v>
      </c>
      <c r="D1187" s="80" t="s">
        <v>63</v>
      </c>
      <c r="E1187" s="27" t="s">
        <v>5753</v>
      </c>
      <c r="F1187" s="80" t="s">
        <v>65</v>
      </c>
      <c r="G1187" s="81" t="s">
        <v>1419</v>
      </c>
      <c r="H1187" s="80" t="s">
        <v>1174</v>
      </c>
      <c r="I1187" s="92">
        <v>45737</v>
      </c>
      <c r="J1187" s="80" t="s">
        <v>3505</v>
      </c>
      <c r="K1187" s="80" t="s">
        <v>69</v>
      </c>
      <c r="L1187" s="84" t="s">
        <v>251</v>
      </c>
      <c r="M1187" s="84" t="s">
        <v>252</v>
      </c>
      <c r="N1187" s="84" t="s">
        <v>72</v>
      </c>
      <c r="O1187" s="129" t="s">
        <v>5849</v>
      </c>
      <c r="P1187" s="132" t="s">
        <v>5850</v>
      </c>
      <c r="Q1187" s="49" t="s">
        <v>91</v>
      </c>
      <c r="R1187" s="25"/>
      <c r="S1187" s="26">
        <v>16</v>
      </c>
      <c r="T1187" s="26"/>
      <c r="U1187" s="28" t="s">
        <v>5851</v>
      </c>
      <c r="V1187" s="66"/>
      <c r="W1187" s="106"/>
      <c r="X1187" s="106" t="s">
        <v>76</v>
      </c>
      <c r="Y1187" s="26" t="s">
        <v>76</v>
      </c>
      <c r="Z1187" s="75" t="s">
        <v>193</v>
      </c>
      <c r="AA1187" s="30" t="s">
        <v>76</v>
      </c>
    </row>
    <row r="1188" spans="1:27" ht="23.25" hidden="1" customHeight="1">
      <c r="A1188" s="88">
        <v>1178</v>
      </c>
      <c r="B1188" s="79" t="s">
        <v>5852</v>
      </c>
      <c r="C1188" s="148" t="s">
        <v>8</v>
      </c>
      <c r="D1188" s="80" t="s">
        <v>63</v>
      </c>
      <c r="E1188" s="27" t="s">
        <v>2636</v>
      </c>
      <c r="F1188" s="80" t="s">
        <v>120</v>
      </c>
      <c r="G1188" s="81" t="s">
        <v>995</v>
      </c>
      <c r="H1188" s="80" t="s">
        <v>2637</v>
      </c>
      <c r="I1188" s="92">
        <v>45738</v>
      </c>
      <c r="J1188" s="80" t="s">
        <v>3526</v>
      </c>
      <c r="K1188" s="80" t="s">
        <v>299</v>
      </c>
      <c r="L1188" s="84" t="s">
        <v>189</v>
      </c>
      <c r="M1188" s="84" t="s">
        <v>114</v>
      </c>
      <c r="N1188" s="84" t="s">
        <v>72</v>
      </c>
      <c r="O1188" s="129" t="s">
        <v>5853</v>
      </c>
      <c r="P1188" s="132" t="s">
        <v>5854</v>
      </c>
      <c r="Q1188" s="49" t="s">
        <v>91</v>
      </c>
      <c r="R1188" s="25"/>
      <c r="S1188" s="26">
        <v>18</v>
      </c>
      <c r="T1188" s="26">
        <v>65</v>
      </c>
      <c r="U1188" s="28" t="s">
        <v>5855</v>
      </c>
      <c r="V1188" s="66"/>
      <c r="W1188" s="106"/>
      <c r="X1188" s="106" t="s">
        <v>76</v>
      </c>
      <c r="Y1188" s="26" t="s">
        <v>76</v>
      </c>
      <c r="Z1188" s="75" t="s">
        <v>193</v>
      </c>
      <c r="AA1188" s="30" t="s">
        <v>76</v>
      </c>
    </row>
    <row r="1189" spans="1:27" ht="39.75" customHeight="1">
      <c r="A1189" s="88">
        <v>1180</v>
      </c>
      <c r="B1189" s="79" t="s">
        <v>5856</v>
      </c>
      <c r="C1189" s="148" t="s">
        <v>9</v>
      </c>
      <c r="D1189" s="80" t="s">
        <v>83</v>
      </c>
      <c r="E1189" s="27" t="s">
        <v>4861</v>
      </c>
      <c r="F1189" s="80" t="s">
        <v>120</v>
      </c>
      <c r="G1189" s="81" t="s">
        <v>4819</v>
      </c>
      <c r="H1189" s="80" t="s">
        <v>4862</v>
      </c>
      <c r="I1189" s="92">
        <v>45741</v>
      </c>
      <c r="J1189" s="80" t="s">
        <v>4385</v>
      </c>
      <c r="K1189" s="80" t="s">
        <v>4386</v>
      </c>
      <c r="L1189" s="84" t="s">
        <v>4387</v>
      </c>
      <c r="M1189" s="84" t="s">
        <v>252</v>
      </c>
      <c r="N1189" s="84" t="s">
        <v>72</v>
      </c>
      <c r="O1189" s="129" t="s">
        <v>5857</v>
      </c>
      <c r="P1189" s="150" t="s">
        <v>5858</v>
      </c>
      <c r="Q1189" s="49" t="s">
        <v>75</v>
      </c>
      <c r="R1189" s="25" t="s">
        <v>91</v>
      </c>
      <c r="S1189" s="26">
        <v>18</v>
      </c>
      <c r="T1189" s="26">
        <v>69</v>
      </c>
      <c r="U1189" s="28" t="s">
        <v>5859</v>
      </c>
      <c r="V1189" s="66" t="s">
        <v>75</v>
      </c>
      <c r="W1189" s="106"/>
      <c r="X1189" s="106" t="s">
        <v>516</v>
      </c>
      <c r="Y1189" s="26" t="s">
        <v>76</v>
      </c>
      <c r="Z1189" s="75" t="s">
        <v>93</v>
      </c>
      <c r="AA1189" s="30" t="s">
        <v>76</v>
      </c>
    </row>
    <row r="1190" spans="1:27" ht="49.5" hidden="1">
      <c r="A1190" s="88">
        <v>1181</v>
      </c>
      <c r="B1190" s="79" t="s">
        <v>5860</v>
      </c>
      <c r="C1190" s="148" t="s">
        <v>2146</v>
      </c>
      <c r="D1190" s="80" t="s">
        <v>83</v>
      </c>
      <c r="E1190" s="27" t="s">
        <v>5597</v>
      </c>
      <c r="F1190" s="80" t="s">
        <v>109</v>
      </c>
      <c r="G1190" s="81" t="s">
        <v>2148</v>
      </c>
      <c r="H1190" s="80" t="s">
        <v>5598</v>
      </c>
      <c r="I1190" s="92">
        <v>45741</v>
      </c>
      <c r="J1190" s="80" t="s">
        <v>3505</v>
      </c>
      <c r="K1190" s="80" t="s">
        <v>69</v>
      </c>
      <c r="L1190" s="84" t="s">
        <v>251</v>
      </c>
      <c r="M1190" s="84" t="s">
        <v>252</v>
      </c>
      <c r="N1190" s="84" t="s">
        <v>253</v>
      </c>
      <c r="O1190" s="129" t="s">
        <v>5861</v>
      </c>
      <c r="P1190" s="132" t="s">
        <v>5862</v>
      </c>
      <c r="Q1190" s="49" t="s">
        <v>75</v>
      </c>
      <c r="R1190" s="25" t="s">
        <v>91</v>
      </c>
      <c r="S1190" s="26">
        <v>24</v>
      </c>
      <c r="T1190" s="26" t="s">
        <v>313</v>
      </c>
      <c r="U1190" s="28" t="s">
        <v>5863</v>
      </c>
      <c r="V1190" s="66"/>
      <c r="W1190" s="106"/>
      <c r="X1190" s="106" t="s">
        <v>516</v>
      </c>
      <c r="Y1190" s="26" t="s">
        <v>76</v>
      </c>
      <c r="Z1190" s="75" t="s">
        <v>106</v>
      </c>
      <c r="AA1190" s="30" t="s">
        <v>76</v>
      </c>
    </row>
    <row r="1191" spans="1:27" ht="39.75" hidden="1" customHeight="1">
      <c r="A1191" s="88">
        <v>1182</v>
      </c>
      <c r="B1191" s="79" t="s">
        <v>5864</v>
      </c>
      <c r="C1191" s="148" t="s">
        <v>10</v>
      </c>
      <c r="D1191" s="80" t="s">
        <v>63</v>
      </c>
      <c r="E1191" s="27" t="s">
        <v>3102</v>
      </c>
      <c r="F1191" s="80" t="s">
        <v>120</v>
      </c>
      <c r="G1191" s="81" t="s">
        <v>3103</v>
      </c>
      <c r="H1191" s="80" t="s">
        <v>3104</v>
      </c>
      <c r="I1191" s="92">
        <v>45741</v>
      </c>
      <c r="J1191" s="80" t="s">
        <v>4066</v>
      </c>
      <c r="K1191" s="80" t="s">
        <v>1654</v>
      </c>
      <c r="L1191" s="84" t="s">
        <v>10</v>
      </c>
      <c r="M1191" s="84" t="s">
        <v>252</v>
      </c>
      <c r="N1191" s="84" t="s">
        <v>72</v>
      </c>
      <c r="O1191" s="308" t="s">
        <v>5865</v>
      </c>
      <c r="P1191" s="132" t="s">
        <v>5866</v>
      </c>
      <c r="Q1191" s="49" t="s">
        <v>75</v>
      </c>
      <c r="R1191" s="25" t="s">
        <v>91</v>
      </c>
      <c r="S1191" s="26">
        <v>24</v>
      </c>
      <c r="T1191" s="26">
        <v>48</v>
      </c>
      <c r="U1191" s="28" t="s">
        <v>5867</v>
      </c>
      <c r="V1191" s="66"/>
      <c r="W1191" s="106"/>
      <c r="X1191" s="106" t="s">
        <v>516</v>
      </c>
      <c r="Y1191" s="26" t="s">
        <v>76</v>
      </c>
      <c r="Z1191" s="75" t="s">
        <v>93</v>
      </c>
      <c r="AA1191" s="30" t="s">
        <v>76</v>
      </c>
    </row>
    <row r="1192" spans="1:27" ht="39.75" hidden="1" customHeight="1">
      <c r="A1192" s="88">
        <v>1179</v>
      </c>
      <c r="B1192" s="79" t="s">
        <v>5868</v>
      </c>
      <c r="C1192" s="148" t="s">
        <v>5211</v>
      </c>
      <c r="D1192" s="80" t="s">
        <v>83</v>
      </c>
      <c r="E1192" s="27" t="s">
        <v>5212</v>
      </c>
      <c r="F1192" s="80" t="s">
        <v>109</v>
      </c>
      <c r="G1192" s="81" t="s">
        <v>85</v>
      </c>
      <c r="H1192" s="80" t="s">
        <v>299</v>
      </c>
      <c r="I1192" s="92">
        <v>45738</v>
      </c>
      <c r="J1192" s="80" t="s">
        <v>3565</v>
      </c>
      <c r="K1192" s="80" t="s">
        <v>5213</v>
      </c>
      <c r="L1192" s="84" t="s">
        <v>189</v>
      </c>
      <c r="M1192" s="84" t="s">
        <v>252</v>
      </c>
      <c r="N1192" s="84" t="s">
        <v>72</v>
      </c>
      <c r="O1192" s="129" t="s">
        <v>5869</v>
      </c>
      <c r="P1192" s="132"/>
      <c r="Q1192" s="49" t="s">
        <v>75</v>
      </c>
      <c r="R1192" s="25" t="s">
        <v>504</v>
      </c>
      <c r="S1192" s="26">
        <v>22</v>
      </c>
      <c r="T1192" s="26"/>
      <c r="U1192" s="28" t="s">
        <v>5870</v>
      </c>
      <c r="V1192" s="66"/>
      <c r="W1192" s="106"/>
      <c r="X1192" s="106" t="s">
        <v>516</v>
      </c>
      <c r="Y1192" s="26" t="s">
        <v>76</v>
      </c>
      <c r="Z1192" s="93" t="s">
        <v>106</v>
      </c>
      <c r="AA1192" s="30" t="s">
        <v>76</v>
      </c>
    </row>
    <row r="1193" spans="1:27" ht="39.75" hidden="1" customHeight="1">
      <c r="A1193" s="88">
        <v>1183</v>
      </c>
      <c r="B1193" s="79" t="s">
        <v>5871</v>
      </c>
      <c r="C1193" s="148" t="s">
        <v>5211</v>
      </c>
      <c r="D1193" s="80" t="s">
        <v>83</v>
      </c>
      <c r="E1193" s="27" t="s">
        <v>5872</v>
      </c>
      <c r="F1193" s="80" t="s">
        <v>109</v>
      </c>
      <c r="G1193" s="81" t="s">
        <v>85</v>
      </c>
      <c r="H1193" s="80" t="s">
        <v>4386</v>
      </c>
      <c r="I1193" s="92">
        <v>45741</v>
      </c>
      <c r="J1193" s="80" t="s">
        <v>4385</v>
      </c>
      <c r="K1193" s="80" t="s">
        <v>5213</v>
      </c>
      <c r="L1193" s="84" t="s">
        <v>4387</v>
      </c>
      <c r="M1193" s="84" t="s">
        <v>252</v>
      </c>
      <c r="N1193" s="84" t="s">
        <v>1191</v>
      </c>
      <c r="O1193" s="129" t="s">
        <v>5873</v>
      </c>
      <c r="P1193" s="132" t="s">
        <v>5874</v>
      </c>
      <c r="Q1193" s="49" t="s">
        <v>75</v>
      </c>
      <c r="R1193" s="25" t="s">
        <v>91</v>
      </c>
      <c r="S1193" s="26">
        <v>18</v>
      </c>
      <c r="T1193" s="26">
        <v>48</v>
      </c>
      <c r="U1193" s="28" t="s">
        <v>5875</v>
      </c>
      <c r="V1193" s="66"/>
      <c r="W1193" s="106"/>
      <c r="X1193" s="106" t="s">
        <v>516</v>
      </c>
      <c r="Y1193" s="26" t="s">
        <v>76</v>
      </c>
      <c r="Z1193" s="93" t="s">
        <v>106</v>
      </c>
      <c r="AA1193" s="30" t="s">
        <v>76</v>
      </c>
    </row>
    <row r="1194" spans="1:27" ht="60" hidden="1" customHeight="1">
      <c r="A1194" s="88">
        <v>1184</v>
      </c>
      <c r="B1194" s="79" t="s">
        <v>5876</v>
      </c>
      <c r="C1194" s="148" t="s">
        <v>5211</v>
      </c>
      <c r="D1194" s="80" t="s">
        <v>83</v>
      </c>
      <c r="E1194" s="27" t="s">
        <v>5877</v>
      </c>
      <c r="F1194" s="80" t="s">
        <v>65</v>
      </c>
      <c r="G1194" s="81" t="s">
        <v>85</v>
      </c>
      <c r="H1194" s="80" t="s">
        <v>112</v>
      </c>
      <c r="I1194" s="92">
        <v>45741</v>
      </c>
      <c r="J1194" s="80" t="s">
        <v>3810</v>
      </c>
      <c r="K1194" s="80" t="s">
        <v>112</v>
      </c>
      <c r="L1194" s="84" t="s">
        <v>113</v>
      </c>
      <c r="M1194" s="84" t="s">
        <v>221</v>
      </c>
      <c r="N1194" s="84" t="s">
        <v>72</v>
      </c>
      <c r="O1194" s="129" t="s">
        <v>5878</v>
      </c>
      <c r="P1194" s="132" t="s">
        <v>5879</v>
      </c>
      <c r="Q1194" s="49" t="s">
        <v>75</v>
      </c>
      <c r="R1194" s="25" t="s">
        <v>75</v>
      </c>
      <c r="S1194" s="26">
        <v>24</v>
      </c>
      <c r="T1194" s="26">
        <v>78</v>
      </c>
      <c r="U1194" s="28" t="s">
        <v>5880</v>
      </c>
      <c r="V1194" s="66" t="s">
        <v>75</v>
      </c>
      <c r="W1194" s="106" t="s">
        <v>425</v>
      </c>
      <c r="X1194" s="106" t="s">
        <v>516</v>
      </c>
      <c r="Y1194" s="106" t="s">
        <v>516</v>
      </c>
      <c r="Z1194" s="75" t="s">
        <v>79</v>
      </c>
      <c r="AA1194" s="30" t="s">
        <v>76</v>
      </c>
    </row>
    <row r="1195" spans="1:27" ht="60" hidden="1" customHeight="1">
      <c r="A1195" s="88">
        <v>1185</v>
      </c>
      <c r="B1195" s="79" t="s">
        <v>5881</v>
      </c>
      <c r="C1195" s="148" t="s">
        <v>10</v>
      </c>
      <c r="D1195" s="80" t="s">
        <v>63</v>
      </c>
      <c r="E1195" s="27" t="s">
        <v>5882</v>
      </c>
      <c r="F1195" s="80" t="s">
        <v>120</v>
      </c>
      <c r="G1195" s="81" t="s">
        <v>5843</v>
      </c>
      <c r="H1195" s="80" t="s">
        <v>5883</v>
      </c>
      <c r="I1195" s="92">
        <v>45742</v>
      </c>
      <c r="J1195" s="80" t="s">
        <v>4066</v>
      </c>
      <c r="K1195" s="80" t="s">
        <v>3373</v>
      </c>
      <c r="L1195" s="84" t="s">
        <v>10</v>
      </c>
      <c r="M1195" s="84" t="s">
        <v>252</v>
      </c>
      <c r="N1195" s="84" t="s">
        <v>253</v>
      </c>
      <c r="O1195" s="308" t="s">
        <v>5884</v>
      </c>
      <c r="P1195" s="132" t="s">
        <v>5885</v>
      </c>
      <c r="Q1195" s="49" t="s">
        <v>75</v>
      </c>
      <c r="R1195" s="25" t="s">
        <v>91</v>
      </c>
      <c r="S1195" s="26">
        <v>25</v>
      </c>
      <c r="T1195" s="26" t="s">
        <v>313</v>
      </c>
      <c r="U1195" s="28" t="s">
        <v>5886</v>
      </c>
      <c r="V1195" s="66"/>
      <c r="W1195" s="106"/>
      <c r="X1195" s="106" t="s">
        <v>516</v>
      </c>
      <c r="Y1195" s="26" t="s">
        <v>76</v>
      </c>
      <c r="Z1195" s="75" t="s">
        <v>106</v>
      </c>
      <c r="AA1195" s="30" t="s">
        <v>76</v>
      </c>
    </row>
    <row r="1196" spans="1:27" ht="60" hidden="1" customHeight="1">
      <c r="A1196" s="88">
        <v>1186</v>
      </c>
      <c r="B1196" s="79" t="s">
        <v>5887</v>
      </c>
      <c r="C1196" s="148" t="s">
        <v>8</v>
      </c>
      <c r="D1196" s="80" t="s">
        <v>63</v>
      </c>
      <c r="E1196" s="27" t="s">
        <v>2521</v>
      </c>
      <c r="F1196" s="80" t="s">
        <v>120</v>
      </c>
      <c r="G1196" s="81" t="s">
        <v>1562</v>
      </c>
      <c r="H1196" s="80" t="s">
        <v>2522</v>
      </c>
      <c r="I1196" s="92">
        <v>45742</v>
      </c>
      <c r="J1196" s="80" t="s">
        <v>3512</v>
      </c>
      <c r="K1196" s="80" t="s">
        <v>299</v>
      </c>
      <c r="L1196" s="84" t="s">
        <v>189</v>
      </c>
      <c r="M1196" s="84" t="s">
        <v>221</v>
      </c>
      <c r="N1196" s="84" t="s">
        <v>72</v>
      </c>
      <c r="O1196" s="129" t="s">
        <v>5888</v>
      </c>
      <c r="P1196" s="132" t="s">
        <v>5889</v>
      </c>
      <c r="Q1196" s="49" t="s">
        <v>75</v>
      </c>
      <c r="R1196" s="25" t="s">
        <v>91</v>
      </c>
      <c r="S1196" s="26">
        <v>19</v>
      </c>
      <c r="T1196" s="26">
        <v>68</v>
      </c>
      <c r="U1196" s="28" t="s">
        <v>5890</v>
      </c>
      <c r="V1196" s="66"/>
      <c r="W1196" s="106"/>
      <c r="X1196" s="106" t="s">
        <v>516</v>
      </c>
      <c r="Y1196" s="26" t="s">
        <v>76</v>
      </c>
      <c r="Z1196" s="93" t="s">
        <v>93</v>
      </c>
      <c r="AA1196" s="30" t="s">
        <v>76</v>
      </c>
    </row>
    <row r="1197" spans="1:27" ht="60" hidden="1" customHeight="1">
      <c r="A1197" s="88">
        <v>1187</v>
      </c>
      <c r="B1197" s="79" t="s">
        <v>5891</v>
      </c>
      <c r="C1197" s="148" t="s">
        <v>10</v>
      </c>
      <c r="D1197" s="80" t="s">
        <v>63</v>
      </c>
      <c r="E1197" s="27" t="s">
        <v>5892</v>
      </c>
      <c r="F1197" s="80" t="s">
        <v>65</v>
      </c>
      <c r="G1197" s="81" t="s">
        <v>5893</v>
      </c>
      <c r="H1197" s="80" t="s">
        <v>5894</v>
      </c>
      <c r="I1197" s="92">
        <v>45742</v>
      </c>
      <c r="J1197" s="80" t="s">
        <v>4066</v>
      </c>
      <c r="K1197" s="80" t="s">
        <v>3373</v>
      </c>
      <c r="L1197" s="84" t="s">
        <v>10</v>
      </c>
      <c r="M1197" s="84" t="s">
        <v>252</v>
      </c>
      <c r="N1197" s="84" t="s">
        <v>72</v>
      </c>
      <c r="O1197" s="308" t="s">
        <v>5895</v>
      </c>
      <c r="P1197" s="132" t="s">
        <v>5896</v>
      </c>
      <c r="Q1197" s="49" t="s">
        <v>75</v>
      </c>
      <c r="R1197" s="25" t="s">
        <v>91</v>
      </c>
      <c r="S1197" s="26">
        <v>26</v>
      </c>
      <c r="T1197" s="26">
        <v>46</v>
      </c>
      <c r="U1197" s="28" t="s">
        <v>5897</v>
      </c>
      <c r="V1197" s="66"/>
      <c r="W1197" s="106"/>
      <c r="X1197" s="106" t="s">
        <v>516</v>
      </c>
      <c r="Y1197" s="26" t="s">
        <v>76</v>
      </c>
      <c r="Z1197" s="75" t="s">
        <v>93</v>
      </c>
      <c r="AA1197" s="30" t="s">
        <v>76</v>
      </c>
    </row>
    <row r="1198" spans="1:27" ht="43.5" hidden="1" customHeight="1">
      <c r="A1198" s="88">
        <v>1188</v>
      </c>
      <c r="B1198" s="79" t="s">
        <v>5898</v>
      </c>
      <c r="C1198" s="148" t="s">
        <v>8</v>
      </c>
      <c r="D1198" s="80" t="s">
        <v>63</v>
      </c>
      <c r="E1198" s="27" t="s">
        <v>3289</v>
      </c>
      <c r="F1198" s="80" t="s">
        <v>109</v>
      </c>
      <c r="G1198" s="81" t="s">
        <v>1132</v>
      </c>
      <c r="H1198" s="80" t="s">
        <v>3290</v>
      </c>
      <c r="I1198" s="92">
        <v>45743</v>
      </c>
      <c r="J1198" s="80" t="s">
        <v>3565</v>
      </c>
      <c r="K1198" s="80" t="s">
        <v>299</v>
      </c>
      <c r="L1198" s="84" t="s">
        <v>189</v>
      </c>
      <c r="M1198" s="84" t="s">
        <v>252</v>
      </c>
      <c r="N1198" s="84" t="s">
        <v>72</v>
      </c>
      <c r="O1198" s="129" t="s">
        <v>5899</v>
      </c>
      <c r="P1198" s="132" t="s">
        <v>5900</v>
      </c>
      <c r="Q1198" s="49" t="s">
        <v>75</v>
      </c>
      <c r="R1198" s="25" t="s">
        <v>91</v>
      </c>
      <c r="S1198" s="26">
        <v>20</v>
      </c>
      <c r="T1198" s="26">
        <v>72</v>
      </c>
      <c r="U1198" s="28" t="s">
        <v>5901</v>
      </c>
      <c r="V1198" s="66"/>
      <c r="W1198" s="106"/>
      <c r="X1198" s="106" t="s">
        <v>516</v>
      </c>
      <c r="Y1198" s="26" t="s">
        <v>76</v>
      </c>
      <c r="Z1198" s="93" t="s">
        <v>93</v>
      </c>
      <c r="AA1198" s="30" t="s">
        <v>76</v>
      </c>
    </row>
    <row r="1199" spans="1:27" ht="43.5" hidden="1" customHeight="1">
      <c r="A1199" s="88">
        <v>1189</v>
      </c>
      <c r="B1199" s="79" t="s">
        <v>5902</v>
      </c>
      <c r="C1199" s="148" t="s">
        <v>8</v>
      </c>
      <c r="D1199" s="80" t="s">
        <v>83</v>
      </c>
      <c r="E1199" s="27" t="s">
        <v>231</v>
      </c>
      <c r="F1199" s="80" t="s">
        <v>65</v>
      </c>
      <c r="G1199" s="81" t="s">
        <v>96</v>
      </c>
      <c r="H1199" s="80" t="s">
        <v>232</v>
      </c>
      <c r="I1199" s="92">
        <v>45743</v>
      </c>
      <c r="J1199" s="80" t="s">
        <v>3565</v>
      </c>
      <c r="K1199" s="80" t="s">
        <v>146</v>
      </c>
      <c r="L1199" s="84" t="s">
        <v>189</v>
      </c>
      <c r="M1199" s="84" t="s">
        <v>252</v>
      </c>
      <c r="N1199" s="84" t="s">
        <v>72</v>
      </c>
      <c r="O1199" s="129" t="s">
        <v>5903</v>
      </c>
      <c r="P1199" s="132" t="s">
        <v>5904</v>
      </c>
      <c r="Q1199" s="49" t="s">
        <v>75</v>
      </c>
      <c r="R1199" s="25" t="s">
        <v>91</v>
      </c>
      <c r="S1199" s="26">
        <v>18</v>
      </c>
      <c r="T1199" s="26">
        <v>60</v>
      </c>
      <c r="U1199" s="28" t="s">
        <v>5905</v>
      </c>
      <c r="V1199" s="66"/>
      <c r="W1199" s="106"/>
      <c r="X1199" s="106" t="s">
        <v>516</v>
      </c>
      <c r="Y1199" s="26" t="s">
        <v>76</v>
      </c>
      <c r="Z1199" s="75" t="s">
        <v>93</v>
      </c>
      <c r="AA1199" s="30" t="s">
        <v>76</v>
      </c>
    </row>
    <row r="1200" spans="1:27" ht="43.5" hidden="1" customHeight="1">
      <c r="A1200" s="88">
        <v>1190</v>
      </c>
      <c r="B1200" s="79" t="s">
        <v>5906</v>
      </c>
      <c r="C1200" s="148" t="s">
        <v>2146</v>
      </c>
      <c r="D1200" s="80" t="s">
        <v>83</v>
      </c>
      <c r="E1200" s="27" t="s">
        <v>5907</v>
      </c>
      <c r="F1200" s="80" t="e">
        <v>#N/A</v>
      </c>
      <c r="G1200" s="81" t="s">
        <v>5908</v>
      </c>
      <c r="H1200" s="80" t="s">
        <v>5909</v>
      </c>
      <c r="I1200" s="92">
        <v>45743</v>
      </c>
      <c r="J1200" s="80" t="s">
        <v>3505</v>
      </c>
      <c r="K1200" s="80" t="s">
        <v>69</v>
      </c>
      <c r="L1200" s="84" t="s">
        <v>251</v>
      </c>
      <c r="M1200" s="84" t="s">
        <v>252</v>
      </c>
      <c r="N1200" s="84" t="s">
        <v>72</v>
      </c>
      <c r="O1200" s="129" t="s">
        <v>5910</v>
      </c>
      <c r="P1200" s="132" t="s">
        <v>5911</v>
      </c>
      <c r="Q1200" s="49" t="s">
        <v>75</v>
      </c>
      <c r="R1200" s="25" t="s">
        <v>91</v>
      </c>
      <c r="S1200" s="26">
        <v>19</v>
      </c>
      <c r="T1200" s="26">
        <v>53</v>
      </c>
      <c r="U1200" s="28" t="s">
        <v>5912</v>
      </c>
      <c r="V1200" s="66"/>
      <c r="W1200" s="106"/>
      <c r="X1200" s="106" t="s">
        <v>516</v>
      </c>
      <c r="Y1200" s="26" t="s">
        <v>76</v>
      </c>
      <c r="Z1200" s="75" t="s">
        <v>93</v>
      </c>
      <c r="AA1200" s="30" t="s">
        <v>76</v>
      </c>
    </row>
    <row r="1201" spans="1:27" ht="51.75" hidden="1" customHeight="1">
      <c r="A1201" s="88">
        <v>1191</v>
      </c>
      <c r="B1201" s="79" t="s">
        <v>5913</v>
      </c>
      <c r="C1201" s="148" t="s">
        <v>2146</v>
      </c>
      <c r="D1201" s="80" t="s">
        <v>83</v>
      </c>
      <c r="E1201" s="27" t="s">
        <v>5914</v>
      </c>
      <c r="F1201" s="80" t="s">
        <v>338</v>
      </c>
      <c r="G1201" s="81" t="s">
        <v>5908</v>
      </c>
      <c r="H1201" s="80" t="s">
        <v>5915</v>
      </c>
      <c r="I1201" s="92">
        <v>45743</v>
      </c>
      <c r="J1201" s="80" t="s">
        <v>3505</v>
      </c>
      <c r="K1201" s="80" t="s">
        <v>69</v>
      </c>
      <c r="L1201" s="84" t="s">
        <v>251</v>
      </c>
      <c r="M1201" s="84" t="s">
        <v>252</v>
      </c>
      <c r="N1201" s="84" t="s">
        <v>72</v>
      </c>
      <c r="O1201" s="129" t="s">
        <v>5916</v>
      </c>
      <c r="P1201" s="132" t="s">
        <v>5917</v>
      </c>
      <c r="Q1201" s="49" t="s">
        <v>75</v>
      </c>
      <c r="R1201" s="25" t="s">
        <v>91</v>
      </c>
      <c r="S1201" s="26">
        <v>19</v>
      </c>
      <c r="T1201" s="26">
        <v>53</v>
      </c>
      <c r="U1201" s="28" t="s">
        <v>5918</v>
      </c>
      <c r="V1201" s="66"/>
      <c r="W1201" s="106"/>
      <c r="X1201" s="106" t="s">
        <v>516</v>
      </c>
      <c r="Y1201" s="26" t="s">
        <v>76</v>
      </c>
      <c r="Z1201" s="75" t="s">
        <v>93</v>
      </c>
      <c r="AA1201" s="30" t="s">
        <v>76</v>
      </c>
    </row>
    <row r="1202" spans="1:27" ht="53.25" hidden="1" customHeight="1">
      <c r="A1202" s="88">
        <v>1192</v>
      </c>
      <c r="B1202" s="79" t="s">
        <v>5919</v>
      </c>
      <c r="C1202" s="148" t="s">
        <v>2146</v>
      </c>
      <c r="D1202" s="80" t="s">
        <v>83</v>
      </c>
      <c r="E1202" s="27" t="s">
        <v>5914</v>
      </c>
      <c r="F1202" s="80" t="s">
        <v>338</v>
      </c>
      <c r="G1202" s="81" t="s">
        <v>5908</v>
      </c>
      <c r="H1202" s="80" t="s">
        <v>5915</v>
      </c>
      <c r="I1202" s="92">
        <v>45743</v>
      </c>
      <c r="J1202" s="80" t="s">
        <v>3505</v>
      </c>
      <c r="K1202" s="80" t="s">
        <v>69</v>
      </c>
      <c r="L1202" s="84" t="s">
        <v>251</v>
      </c>
      <c r="M1202" s="84" t="s">
        <v>252</v>
      </c>
      <c r="N1202" s="84" t="s">
        <v>72</v>
      </c>
      <c r="O1202" s="129" t="s">
        <v>5920</v>
      </c>
      <c r="P1202" s="132" t="s">
        <v>5921</v>
      </c>
      <c r="Q1202" s="49" t="s">
        <v>91</v>
      </c>
      <c r="R1202" s="25"/>
      <c r="S1202" s="26">
        <v>16</v>
      </c>
      <c r="T1202" s="26"/>
      <c r="U1202" s="28" t="s">
        <v>5922</v>
      </c>
      <c r="V1202" s="66"/>
      <c r="W1202" s="106"/>
      <c r="X1202" s="106" t="s">
        <v>76</v>
      </c>
      <c r="Y1202" s="26" t="s">
        <v>76</v>
      </c>
      <c r="Z1202" s="75" t="s">
        <v>193</v>
      </c>
      <c r="AA1202" s="30" t="s">
        <v>76</v>
      </c>
    </row>
    <row r="1203" spans="1:27" ht="69" hidden="1" customHeight="1">
      <c r="A1203" s="88">
        <v>1193</v>
      </c>
      <c r="B1203" s="79" t="s">
        <v>5923</v>
      </c>
      <c r="C1203" s="148" t="s">
        <v>2146</v>
      </c>
      <c r="D1203" s="80" t="s">
        <v>83</v>
      </c>
      <c r="E1203" s="27" t="s">
        <v>5924</v>
      </c>
      <c r="F1203" s="80" t="s">
        <v>120</v>
      </c>
      <c r="G1203" s="81" t="s">
        <v>5908</v>
      </c>
      <c r="H1203" s="80" t="s">
        <v>5925</v>
      </c>
      <c r="I1203" s="92">
        <v>45743</v>
      </c>
      <c r="J1203" s="80" t="s">
        <v>3505</v>
      </c>
      <c r="K1203" s="80" t="s">
        <v>69</v>
      </c>
      <c r="L1203" s="84" t="s">
        <v>251</v>
      </c>
      <c r="M1203" s="84" t="s">
        <v>252</v>
      </c>
      <c r="N1203" s="84" t="s">
        <v>920</v>
      </c>
      <c r="O1203" s="129" t="s">
        <v>5926</v>
      </c>
      <c r="P1203" s="132" t="s">
        <v>5927</v>
      </c>
      <c r="Q1203" s="49" t="s">
        <v>91</v>
      </c>
      <c r="R1203" s="25"/>
      <c r="S1203" s="26">
        <v>16</v>
      </c>
      <c r="T1203" s="26"/>
      <c r="U1203" s="28" t="s">
        <v>5928</v>
      </c>
      <c r="V1203" s="66"/>
      <c r="W1203" s="106"/>
      <c r="X1203" s="106" t="s">
        <v>76</v>
      </c>
      <c r="Y1203" s="26" t="s">
        <v>76</v>
      </c>
      <c r="Z1203" s="75" t="s">
        <v>193</v>
      </c>
      <c r="AA1203" s="30" t="s">
        <v>76</v>
      </c>
    </row>
    <row r="1204" spans="1:27" ht="43.5" hidden="1" customHeight="1">
      <c r="A1204" s="88">
        <v>1194</v>
      </c>
      <c r="B1204" s="79" t="s">
        <v>5929</v>
      </c>
      <c r="C1204" s="148" t="s">
        <v>2146</v>
      </c>
      <c r="D1204" s="80" t="s">
        <v>83</v>
      </c>
      <c r="E1204" s="27" t="s">
        <v>5924</v>
      </c>
      <c r="F1204" s="80" t="s">
        <v>120</v>
      </c>
      <c r="G1204" s="81" t="s">
        <v>5908</v>
      </c>
      <c r="H1204" s="80" t="s">
        <v>5925</v>
      </c>
      <c r="I1204" s="92">
        <v>45743</v>
      </c>
      <c r="J1204" s="80" t="s">
        <v>3505</v>
      </c>
      <c r="K1204" s="80" t="s">
        <v>69</v>
      </c>
      <c r="L1204" s="84" t="s">
        <v>251</v>
      </c>
      <c r="M1204" s="84" t="s">
        <v>252</v>
      </c>
      <c r="N1204" s="84" t="s">
        <v>920</v>
      </c>
      <c r="O1204" s="129" t="s">
        <v>5930</v>
      </c>
      <c r="P1204" s="132" t="s">
        <v>5931</v>
      </c>
      <c r="Q1204" s="49" t="s">
        <v>75</v>
      </c>
      <c r="R1204" s="25" t="s">
        <v>91</v>
      </c>
      <c r="S1204" s="26">
        <v>19</v>
      </c>
      <c r="T1204" s="26">
        <v>59</v>
      </c>
      <c r="U1204" s="28" t="s">
        <v>5912</v>
      </c>
      <c r="V1204" s="66"/>
      <c r="W1204" s="106"/>
      <c r="X1204" s="106" t="s">
        <v>516</v>
      </c>
      <c r="Y1204" s="26" t="s">
        <v>76</v>
      </c>
      <c r="Z1204" s="75" t="s">
        <v>93</v>
      </c>
      <c r="AA1204" s="30" t="s">
        <v>76</v>
      </c>
    </row>
    <row r="1205" spans="1:27" ht="43.5" hidden="1" customHeight="1">
      <c r="A1205" s="88">
        <v>1195</v>
      </c>
      <c r="B1205" s="79" t="s">
        <v>5932</v>
      </c>
      <c r="C1205" s="148" t="s">
        <v>2146</v>
      </c>
      <c r="D1205" s="80" t="s">
        <v>83</v>
      </c>
      <c r="E1205" s="27" t="s">
        <v>5924</v>
      </c>
      <c r="F1205" s="80" t="s">
        <v>120</v>
      </c>
      <c r="G1205" s="81" t="s">
        <v>5908</v>
      </c>
      <c r="H1205" s="80" t="s">
        <v>5925</v>
      </c>
      <c r="I1205" s="92">
        <v>45743</v>
      </c>
      <c r="J1205" s="80" t="s">
        <v>3505</v>
      </c>
      <c r="K1205" s="80" t="s">
        <v>69</v>
      </c>
      <c r="L1205" s="84" t="s">
        <v>251</v>
      </c>
      <c r="M1205" s="84" t="s">
        <v>252</v>
      </c>
      <c r="N1205" s="84" t="s">
        <v>72</v>
      </c>
      <c r="O1205" s="129" t="s">
        <v>5933</v>
      </c>
      <c r="P1205" s="132" t="s">
        <v>5934</v>
      </c>
      <c r="Q1205" s="49" t="s">
        <v>91</v>
      </c>
      <c r="R1205" s="25"/>
      <c r="S1205" s="26">
        <v>16</v>
      </c>
      <c r="T1205" s="26"/>
      <c r="U1205" s="28" t="s">
        <v>5935</v>
      </c>
      <c r="V1205" s="66"/>
      <c r="W1205" s="106"/>
      <c r="X1205" s="106" t="s">
        <v>76</v>
      </c>
      <c r="Y1205" s="26" t="s">
        <v>76</v>
      </c>
      <c r="Z1205" s="75" t="s">
        <v>193</v>
      </c>
      <c r="AA1205" s="30" t="s">
        <v>76</v>
      </c>
    </row>
    <row r="1206" spans="1:27" ht="43.5" hidden="1" customHeight="1">
      <c r="A1206" s="88">
        <v>1196</v>
      </c>
      <c r="B1206" s="79" t="s">
        <v>5936</v>
      </c>
      <c r="C1206" s="148" t="s">
        <v>2146</v>
      </c>
      <c r="D1206" s="80" t="s">
        <v>83</v>
      </c>
      <c r="E1206" s="27" t="s">
        <v>5937</v>
      </c>
      <c r="F1206" s="80" t="s">
        <v>65</v>
      </c>
      <c r="G1206" s="81" t="s">
        <v>5908</v>
      </c>
      <c r="H1206" s="80" t="s">
        <v>5938</v>
      </c>
      <c r="I1206" s="92">
        <v>45743</v>
      </c>
      <c r="J1206" s="80" t="s">
        <v>3505</v>
      </c>
      <c r="K1206" s="80" t="s">
        <v>69</v>
      </c>
      <c r="L1206" s="84" t="s">
        <v>251</v>
      </c>
      <c r="M1206" s="84" t="s">
        <v>252</v>
      </c>
      <c r="N1206" s="84" t="s">
        <v>920</v>
      </c>
      <c r="O1206" s="129" t="s">
        <v>5939</v>
      </c>
      <c r="P1206" s="132" t="s">
        <v>5940</v>
      </c>
      <c r="Q1206" s="49" t="s">
        <v>91</v>
      </c>
      <c r="R1206" s="25"/>
      <c r="S1206" s="26">
        <v>15</v>
      </c>
      <c r="T1206" s="26"/>
      <c r="U1206" s="28" t="s">
        <v>5941</v>
      </c>
      <c r="V1206" s="66"/>
      <c r="W1206" s="106"/>
      <c r="X1206" s="106" t="s">
        <v>76</v>
      </c>
      <c r="Y1206" s="26" t="s">
        <v>76</v>
      </c>
      <c r="Z1206" s="75" t="s">
        <v>193</v>
      </c>
      <c r="AA1206" s="30" t="s">
        <v>76</v>
      </c>
    </row>
    <row r="1207" spans="1:27" ht="43.5" hidden="1" customHeight="1">
      <c r="A1207" s="88">
        <v>1197</v>
      </c>
      <c r="B1207" s="79" t="s">
        <v>5942</v>
      </c>
      <c r="C1207" s="148" t="s">
        <v>2146</v>
      </c>
      <c r="D1207" s="80" t="s">
        <v>83</v>
      </c>
      <c r="E1207" s="27" t="s">
        <v>5937</v>
      </c>
      <c r="F1207" s="80" t="s">
        <v>65</v>
      </c>
      <c r="G1207" s="81" t="s">
        <v>5908</v>
      </c>
      <c r="H1207" s="80" t="s">
        <v>5938</v>
      </c>
      <c r="I1207" s="92">
        <v>45743</v>
      </c>
      <c r="J1207" s="80" t="s">
        <v>3505</v>
      </c>
      <c r="K1207" s="80" t="s">
        <v>69</v>
      </c>
      <c r="L1207" s="84" t="s">
        <v>251</v>
      </c>
      <c r="M1207" s="84" t="s">
        <v>252</v>
      </c>
      <c r="N1207" s="84" t="s">
        <v>920</v>
      </c>
      <c r="O1207" s="129" t="s">
        <v>5943</v>
      </c>
      <c r="P1207" s="132" t="s">
        <v>5944</v>
      </c>
      <c r="Q1207" s="49" t="s">
        <v>91</v>
      </c>
      <c r="R1207" s="25"/>
      <c r="S1207" s="26">
        <v>16</v>
      </c>
      <c r="T1207" s="26"/>
      <c r="U1207" s="28" t="s">
        <v>5945</v>
      </c>
      <c r="V1207" s="66"/>
      <c r="W1207" s="106"/>
      <c r="X1207" s="106" t="s">
        <v>76</v>
      </c>
      <c r="Y1207" s="26" t="s">
        <v>76</v>
      </c>
      <c r="Z1207" s="75" t="s">
        <v>193</v>
      </c>
      <c r="AA1207" s="30" t="s">
        <v>76</v>
      </c>
    </row>
    <row r="1208" spans="1:27" ht="43.5" hidden="1" customHeight="1">
      <c r="A1208" s="88">
        <v>1198</v>
      </c>
      <c r="B1208" s="79" t="s">
        <v>5946</v>
      </c>
      <c r="C1208" s="148" t="s">
        <v>2146</v>
      </c>
      <c r="D1208" s="80" t="s">
        <v>83</v>
      </c>
      <c r="E1208" s="27" t="s">
        <v>5937</v>
      </c>
      <c r="F1208" s="80" t="s">
        <v>65</v>
      </c>
      <c r="G1208" s="81" t="s">
        <v>5908</v>
      </c>
      <c r="H1208" s="80" t="s">
        <v>5938</v>
      </c>
      <c r="I1208" s="92">
        <v>45743</v>
      </c>
      <c r="J1208" s="80" t="s">
        <v>3505</v>
      </c>
      <c r="K1208" s="80" t="s">
        <v>69</v>
      </c>
      <c r="L1208" s="84" t="s">
        <v>251</v>
      </c>
      <c r="M1208" s="84" t="s">
        <v>252</v>
      </c>
      <c r="N1208" s="84" t="s">
        <v>920</v>
      </c>
      <c r="O1208" s="129" t="s">
        <v>5947</v>
      </c>
      <c r="P1208" s="132" t="s">
        <v>5948</v>
      </c>
      <c r="Q1208" s="49" t="s">
        <v>91</v>
      </c>
      <c r="R1208" s="25"/>
      <c r="S1208" s="26">
        <v>17</v>
      </c>
      <c r="T1208" s="26"/>
      <c r="U1208" s="28" t="s">
        <v>5949</v>
      </c>
      <c r="V1208" s="66"/>
      <c r="W1208" s="106"/>
      <c r="X1208" s="106" t="s">
        <v>76</v>
      </c>
      <c r="Y1208" s="26" t="s">
        <v>76</v>
      </c>
      <c r="Z1208" s="75" t="s">
        <v>193</v>
      </c>
      <c r="AA1208" s="30" t="s">
        <v>76</v>
      </c>
    </row>
    <row r="1209" spans="1:27" ht="43.5" hidden="1" customHeight="1">
      <c r="A1209" s="88">
        <v>1199</v>
      </c>
      <c r="B1209" s="79" t="s">
        <v>5950</v>
      </c>
      <c r="C1209" s="148" t="s">
        <v>2146</v>
      </c>
      <c r="D1209" s="80" t="s">
        <v>83</v>
      </c>
      <c r="E1209" s="27" t="s">
        <v>5937</v>
      </c>
      <c r="F1209" s="80" t="s">
        <v>65</v>
      </c>
      <c r="G1209" s="81" t="s">
        <v>5908</v>
      </c>
      <c r="H1209" s="80" t="s">
        <v>5938</v>
      </c>
      <c r="I1209" s="92">
        <v>45743</v>
      </c>
      <c r="J1209" s="80" t="s">
        <v>3505</v>
      </c>
      <c r="K1209" s="80" t="s">
        <v>69</v>
      </c>
      <c r="L1209" s="84" t="s">
        <v>251</v>
      </c>
      <c r="M1209" s="84" t="s">
        <v>252</v>
      </c>
      <c r="N1209" s="84" t="s">
        <v>920</v>
      </c>
      <c r="O1209" s="129" t="s">
        <v>5951</v>
      </c>
      <c r="P1209" s="132" t="s">
        <v>5952</v>
      </c>
      <c r="Q1209" s="49" t="s">
        <v>75</v>
      </c>
      <c r="R1209" s="25" t="s">
        <v>91</v>
      </c>
      <c r="S1209" s="26">
        <v>19</v>
      </c>
      <c r="T1209" s="26">
        <v>55</v>
      </c>
      <c r="U1209" s="28" t="s">
        <v>5953</v>
      </c>
      <c r="V1209" s="66"/>
      <c r="W1209" s="106"/>
      <c r="X1209" s="106" t="s">
        <v>516</v>
      </c>
      <c r="Y1209" s="26" t="s">
        <v>76</v>
      </c>
      <c r="Z1209" s="75" t="s">
        <v>93</v>
      </c>
      <c r="AA1209" s="30" t="s">
        <v>76</v>
      </c>
    </row>
    <row r="1210" spans="1:27" ht="43.5" hidden="1" customHeight="1">
      <c r="A1210" s="88">
        <v>1200</v>
      </c>
      <c r="B1210" s="79" t="s">
        <v>5954</v>
      </c>
      <c r="C1210" s="148" t="s">
        <v>2146</v>
      </c>
      <c r="D1210" s="80" t="s">
        <v>83</v>
      </c>
      <c r="E1210" s="27" t="s">
        <v>5937</v>
      </c>
      <c r="F1210" s="80" t="s">
        <v>65</v>
      </c>
      <c r="G1210" s="81" t="s">
        <v>5908</v>
      </c>
      <c r="H1210" s="80" t="s">
        <v>5938</v>
      </c>
      <c r="I1210" s="92">
        <v>45743</v>
      </c>
      <c r="J1210" s="80" t="s">
        <v>3505</v>
      </c>
      <c r="K1210" s="80" t="s">
        <v>69</v>
      </c>
      <c r="L1210" s="84" t="s">
        <v>251</v>
      </c>
      <c r="M1210" s="84" t="s">
        <v>252</v>
      </c>
      <c r="N1210" s="84" t="s">
        <v>920</v>
      </c>
      <c r="O1210" s="129" t="s">
        <v>5955</v>
      </c>
      <c r="P1210" s="132" t="s">
        <v>5956</v>
      </c>
      <c r="Q1210" s="49" t="s">
        <v>91</v>
      </c>
      <c r="R1210" s="25"/>
      <c r="S1210" s="26">
        <v>16</v>
      </c>
      <c r="T1210" s="26"/>
      <c r="U1210" s="28" t="s">
        <v>5957</v>
      </c>
      <c r="V1210" s="66"/>
      <c r="W1210" s="106"/>
      <c r="X1210" s="106" t="s">
        <v>76</v>
      </c>
      <c r="Y1210" s="26" t="s">
        <v>76</v>
      </c>
      <c r="Z1210" s="75" t="s">
        <v>193</v>
      </c>
      <c r="AA1210" s="30" t="s">
        <v>76</v>
      </c>
    </row>
    <row r="1211" spans="1:27" ht="43.5" hidden="1" customHeight="1">
      <c r="A1211" s="88">
        <v>1201</v>
      </c>
      <c r="B1211" s="79" t="s">
        <v>5958</v>
      </c>
      <c r="C1211" s="148" t="s">
        <v>2146</v>
      </c>
      <c r="D1211" s="80" t="s">
        <v>83</v>
      </c>
      <c r="E1211" s="27" t="s">
        <v>5959</v>
      </c>
      <c r="F1211" s="80" t="s">
        <v>65</v>
      </c>
      <c r="G1211" s="81" t="s">
        <v>5908</v>
      </c>
      <c r="H1211" s="80" t="s">
        <v>5960</v>
      </c>
      <c r="I1211" s="92">
        <v>45743</v>
      </c>
      <c r="J1211" s="80" t="s">
        <v>3505</v>
      </c>
      <c r="K1211" s="80" t="s">
        <v>69</v>
      </c>
      <c r="L1211" s="84" t="s">
        <v>251</v>
      </c>
      <c r="M1211" s="84" t="s">
        <v>252</v>
      </c>
      <c r="N1211" s="84" t="s">
        <v>920</v>
      </c>
      <c r="O1211" s="129" t="s">
        <v>5961</v>
      </c>
      <c r="P1211" s="132" t="s">
        <v>5962</v>
      </c>
      <c r="Q1211" s="49" t="s">
        <v>91</v>
      </c>
      <c r="R1211" s="25"/>
      <c r="S1211" s="26">
        <v>13</v>
      </c>
      <c r="T1211" s="26"/>
      <c r="U1211" s="28" t="s">
        <v>5912</v>
      </c>
      <c r="V1211" s="66"/>
      <c r="W1211" s="106"/>
      <c r="X1211" s="106" t="s">
        <v>76</v>
      </c>
      <c r="Y1211" s="26" t="s">
        <v>76</v>
      </c>
      <c r="Z1211" s="75" t="s">
        <v>193</v>
      </c>
      <c r="AA1211" s="30" t="s">
        <v>76</v>
      </c>
    </row>
    <row r="1212" spans="1:27" ht="43.5" hidden="1" customHeight="1">
      <c r="A1212" s="88">
        <v>1202</v>
      </c>
      <c r="B1212" s="79" t="s">
        <v>5963</v>
      </c>
      <c r="C1212" s="148" t="s">
        <v>2146</v>
      </c>
      <c r="D1212" s="80" t="s">
        <v>83</v>
      </c>
      <c r="E1212" s="27" t="s">
        <v>5959</v>
      </c>
      <c r="F1212" s="80" t="s">
        <v>65</v>
      </c>
      <c r="G1212" s="81" t="s">
        <v>5908</v>
      </c>
      <c r="H1212" s="80" t="s">
        <v>5960</v>
      </c>
      <c r="I1212" s="92">
        <v>45743</v>
      </c>
      <c r="J1212" s="80" t="s">
        <v>3505</v>
      </c>
      <c r="K1212" s="80" t="s">
        <v>69</v>
      </c>
      <c r="L1212" s="84" t="s">
        <v>251</v>
      </c>
      <c r="M1212" s="84" t="s">
        <v>252</v>
      </c>
      <c r="N1212" s="84" t="s">
        <v>920</v>
      </c>
      <c r="O1212" s="129" t="s">
        <v>5964</v>
      </c>
      <c r="P1212" s="132" t="s">
        <v>5965</v>
      </c>
      <c r="Q1212" s="49" t="s">
        <v>75</v>
      </c>
      <c r="R1212" s="25" t="s">
        <v>91</v>
      </c>
      <c r="S1212" s="26">
        <v>18</v>
      </c>
      <c r="T1212" s="26">
        <v>60</v>
      </c>
      <c r="U1212" s="28" t="s">
        <v>5966</v>
      </c>
      <c r="V1212" s="66"/>
      <c r="W1212" s="106"/>
      <c r="X1212" s="106" t="s">
        <v>516</v>
      </c>
      <c r="Y1212" s="26" t="s">
        <v>76</v>
      </c>
      <c r="Z1212" s="75" t="s">
        <v>93</v>
      </c>
      <c r="AA1212" s="30" t="s">
        <v>76</v>
      </c>
    </row>
    <row r="1213" spans="1:27" ht="43.5" hidden="1" customHeight="1">
      <c r="A1213" s="88">
        <v>1203</v>
      </c>
      <c r="B1213" s="79" t="s">
        <v>5967</v>
      </c>
      <c r="C1213" s="148" t="s">
        <v>2146</v>
      </c>
      <c r="D1213" s="80" t="s">
        <v>83</v>
      </c>
      <c r="E1213" s="27" t="s">
        <v>5968</v>
      </c>
      <c r="F1213" s="80" t="s">
        <v>284</v>
      </c>
      <c r="G1213" s="81" t="s">
        <v>5908</v>
      </c>
      <c r="H1213" s="80" t="s">
        <v>5969</v>
      </c>
      <c r="I1213" s="92">
        <v>45743</v>
      </c>
      <c r="J1213" s="80" t="s">
        <v>3505</v>
      </c>
      <c r="K1213" s="80" t="s">
        <v>69</v>
      </c>
      <c r="L1213" s="84" t="s">
        <v>251</v>
      </c>
      <c r="M1213" s="84" t="s">
        <v>252</v>
      </c>
      <c r="N1213" s="84" t="s">
        <v>920</v>
      </c>
      <c r="O1213" s="129" t="s">
        <v>5970</v>
      </c>
      <c r="P1213" s="132" t="s">
        <v>5971</v>
      </c>
      <c r="Q1213" s="49" t="s">
        <v>75</v>
      </c>
      <c r="R1213" s="25" t="s">
        <v>91</v>
      </c>
      <c r="S1213" s="26">
        <v>20</v>
      </c>
      <c r="T1213" s="26">
        <v>56</v>
      </c>
      <c r="U1213" s="28" t="s">
        <v>5972</v>
      </c>
      <c r="V1213" s="66"/>
      <c r="W1213" s="106"/>
      <c r="X1213" s="106" t="s">
        <v>516</v>
      </c>
      <c r="Y1213" s="26" t="s">
        <v>76</v>
      </c>
      <c r="Z1213" s="75" t="s">
        <v>93</v>
      </c>
      <c r="AA1213" s="30" t="s">
        <v>76</v>
      </c>
    </row>
    <row r="1214" spans="1:27" ht="64.5" hidden="1" customHeight="1">
      <c r="A1214" s="88">
        <v>1204</v>
      </c>
      <c r="B1214" s="79" t="s">
        <v>5973</v>
      </c>
      <c r="C1214" s="148" t="s">
        <v>10</v>
      </c>
      <c r="D1214" s="80" t="s">
        <v>63</v>
      </c>
      <c r="E1214" s="27" t="s">
        <v>5974</v>
      </c>
      <c r="F1214" s="80" t="s">
        <v>109</v>
      </c>
      <c r="G1214" s="81" t="s">
        <v>5843</v>
      </c>
      <c r="H1214" s="80" t="s">
        <v>5975</v>
      </c>
      <c r="I1214" s="92">
        <v>45744</v>
      </c>
      <c r="J1214" s="80" t="s">
        <v>4066</v>
      </c>
      <c r="K1214" s="80" t="s">
        <v>3373</v>
      </c>
      <c r="L1214" s="84" t="s">
        <v>10</v>
      </c>
      <c r="M1214" s="84" t="s">
        <v>252</v>
      </c>
      <c r="N1214" s="84" t="s">
        <v>72</v>
      </c>
      <c r="O1214" s="308" t="s">
        <v>5976</v>
      </c>
      <c r="P1214" s="132" t="s">
        <v>5977</v>
      </c>
      <c r="Q1214" s="49" t="s">
        <v>75</v>
      </c>
      <c r="R1214" s="25" t="s">
        <v>91</v>
      </c>
      <c r="S1214" s="26">
        <v>25</v>
      </c>
      <c r="T1214" s="26">
        <v>52</v>
      </c>
      <c r="U1214" s="28" t="s">
        <v>5978</v>
      </c>
      <c r="V1214" s="66"/>
      <c r="W1214" s="106"/>
      <c r="X1214" s="106" t="s">
        <v>516</v>
      </c>
      <c r="Y1214" s="26" t="s">
        <v>76</v>
      </c>
      <c r="Z1214" s="75" t="s">
        <v>93</v>
      </c>
      <c r="AA1214" s="30" t="s">
        <v>76</v>
      </c>
    </row>
    <row r="1215" spans="1:27" ht="43.5" hidden="1" customHeight="1">
      <c r="A1215" s="88">
        <v>1205</v>
      </c>
      <c r="B1215" s="79" t="s">
        <v>5979</v>
      </c>
      <c r="C1215" s="148" t="s">
        <v>8</v>
      </c>
      <c r="D1215" s="80" t="s">
        <v>63</v>
      </c>
      <c r="E1215" s="27" t="s">
        <v>2409</v>
      </c>
      <c r="F1215" s="80" t="s">
        <v>109</v>
      </c>
      <c r="G1215" s="81" t="s">
        <v>1413</v>
      </c>
      <c r="H1215" s="80" t="s">
        <v>2410</v>
      </c>
      <c r="I1215" s="92">
        <v>45744</v>
      </c>
      <c r="J1215" s="80" t="s">
        <v>3565</v>
      </c>
      <c r="K1215" s="80" t="s">
        <v>299</v>
      </c>
      <c r="L1215" s="84" t="s">
        <v>189</v>
      </c>
      <c r="M1215" s="84" t="s">
        <v>252</v>
      </c>
      <c r="N1215" s="84" t="s">
        <v>72</v>
      </c>
      <c r="O1215" s="129" t="s">
        <v>5980</v>
      </c>
      <c r="P1215" s="132" t="s">
        <v>5981</v>
      </c>
      <c r="Q1215" s="49" t="s">
        <v>75</v>
      </c>
      <c r="R1215" s="25" t="s">
        <v>91</v>
      </c>
      <c r="S1215" s="26">
        <v>19</v>
      </c>
      <c r="T1215" s="26">
        <v>66</v>
      </c>
      <c r="U1215" s="28" t="s">
        <v>5982</v>
      </c>
      <c r="V1215" s="66"/>
      <c r="W1215" s="106"/>
      <c r="X1215" s="106" t="s">
        <v>516</v>
      </c>
      <c r="Y1215" s="26" t="s">
        <v>76</v>
      </c>
      <c r="Z1215" s="93" t="s">
        <v>93</v>
      </c>
      <c r="AA1215" s="30" t="s">
        <v>76</v>
      </c>
    </row>
    <row r="1216" spans="1:27" ht="43.5" hidden="1" customHeight="1">
      <c r="A1216" s="88">
        <v>1206</v>
      </c>
      <c r="B1216" s="79" t="s">
        <v>5983</v>
      </c>
      <c r="C1216" s="148" t="s">
        <v>10</v>
      </c>
      <c r="D1216" s="80" t="s">
        <v>83</v>
      </c>
      <c r="E1216" s="27" t="s">
        <v>4107</v>
      </c>
      <c r="F1216" s="80" t="s">
        <v>109</v>
      </c>
      <c r="G1216" s="81" t="s">
        <v>3370</v>
      </c>
      <c r="H1216" s="80" t="s">
        <v>4108</v>
      </c>
      <c r="I1216" s="92">
        <v>45744</v>
      </c>
      <c r="J1216" s="80" t="s">
        <v>3565</v>
      </c>
      <c r="K1216" s="80" t="s">
        <v>3373</v>
      </c>
      <c r="L1216" s="84" t="s">
        <v>189</v>
      </c>
      <c r="M1216" s="84" t="s">
        <v>252</v>
      </c>
      <c r="N1216" s="84" t="s">
        <v>72</v>
      </c>
      <c r="O1216" s="308" t="s">
        <v>5984</v>
      </c>
      <c r="P1216" s="132" t="s">
        <v>5985</v>
      </c>
      <c r="Q1216" s="49" t="s">
        <v>75</v>
      </c>
      <c r="R1216" s="25" t="s">
        <v>75</v>
      </c>
      <c r="S1216" s="26">
        <v>22</v>
      </c>
      <c r="T1216" s="26">
        <v>74</v>
      </c>
      <c r="U1216" s="28" t="s">
        <v>5986</v>
      </c>
      <c r="V1216" s="66" t="s">
        <v>75</v>
      </c>
      <c r="W1216" s="106" t="s">
        <v>5448</v>
      </c>
      <c r="X1216" s="106" t="s">
        <v>516</v>
      </c>
      <c r="Y1216" s="26" t="s">
        <v>3375</v>
      </c>
      <c r="Z1216" s="75" t="s">
        <v>106</v>
      </c>
      <c r="AA1216" s="30" t="s">
        <v>76</v>
      </c>
    </row>
    <row r="1217" spans="1:27" ht="43.5" hidden="1" customHeight="1">
      <c r="A1217" s="88">
        <v>1207</v>
      </c>
      <c r="B1217" s="79" t="s">
        <v>5987</v>
      </c>
      <c r="C1217" s="148" t="s">
        <v>5211</v>
      </c>
      <c r="D1217" s="80" t="s">
        <v>83</v>
      </c>
      <c r="E1217" s="27" t="s">
        <v>5212</v>
      </c>
      <c r="F1217" s="80" t="s">
        <v>109</v>
      </c>
      <c r="G1217" s="81" t="s">
        <v>85</v>
      </c>
      <c r="H1217" s="80" t="s">
        <v>299</v>
      </c>
      <c r="I1217" s="92">
        <v>45745</v>
      </c>
      <c r="J1217" s="80" t="s">
        <v>3565</v>
      </c>
      <c r="K1217" s="80" t="s">
        <v>5213</v>
      </c>
      <c r="L1217" s="84" t="s">
        <v>189</v>
      </c>
      <c r="M1217" s="84" t="s">
        <v>252</v>
      </c>
      <c r="N1217" s="84" t="s">
        <v>72</v>
      </c>
      <c r="O1217" s="129" t="s">
        <v>5988</v>
      </c>
      <c r="P1217" s="132" t="s">
        <v>5989</v>
      </c>
      <c r="Q1217" s="49" t="s">
        <v>75</v>
      </c>
      <c r="R1217" s="25" t="s">
        <v>91</v>
      </c>
      <c r="S1217" s="26">
        <v>18</v>
      </c>
      <c r="T1217" s="26">
        <v>51</v>
      </c>
      <c r="U1217" s="28" t="s">
        <v>5990</v>
      </c>
      <c r="V1217" s="66"/>
      <c r="W1217" s="106"/>
      <c r="X1217" s="106" t="s">
        <v>516</v>
      </c>
      <c r="Y1217" s="26" t="s">
        <v>76</v>
      </c>
      <c r="Z1217" s="93" t="s">
        <v>106</v>
      </c>
      <c r="AA1217" s="30" t="s">
        <v>76</v>
      </c>
    </row>
    <row r="1218" spans="1:27" ht="43.5" hidden="1" customHeight="1">
      <c r="A1218" s="88">
        <v>1208</v>
      </c>
      <c r="B1218" s="79" t="s">
        <v>5991</v>
      </c>
      <c r="C1218" s="148" t="s">
        <v>8</v>
      </c>
      <c r="D1218" s="80" t="s">
        <v>63</v>
      </c>
      <c r="E1218" s="27" t="s">
        <v>3362</v>
      </c>
      <c r="F1218" s="80" t="s">
        <v>338</v>
      </c>
      <c r="G1218" s="81" t="s">
        <v>995</v>
      </c>
      <c r="H1218" s="80" t="s">
        <v>3363</v>
      </c>
      <c r="I1218" s="92">
        <v>45745</v>
      </c>
      <c r="J1218" s="80" t="s">
        <v>145</v>
      </c>
      <c r="K1218" s="80" t="s">
        <v>146</v>
      </c>
      <c r="L1218" s="84" t="s">
        <v>147</v>
      </c>
      <c r="M1218" s="84" t="s">
        <v>148</v>
      </c>
      <c r="N1218" s="84" t="s">
        <v>72</v>
      </c>
      <c r="O1218" s="129" t="s">
        <v>5992</v>
      </c>
      <c r="P1218" s="132" t="s">
        <v>5993</v>
      </c>
      <c r="Q1218" s="49" t="s">
        <v>75</v>
      </c>
      <c r="R1218" s="25" t="s">
        <v>91</v>
      </c>
      <c r="S1218" s="26">
        <v>18</v>
      </c>
      <c r="T1218" s="26">
        <v>60</v>
      </c>
      <c r="U1218" s="28" t="s">
        <v>3628</v>
      </c>
      <c r="V1218" s="66"/>
      <c r="W1218" s="106"/>
      <c r="X1218" s="106" t="s">
        <v>516</v>
      </c>
      <c r="Y1218" s="26" t="s">
        <v>76</v>
      </c>
      <c r="Z1218" s="75" t="s">
        <v>93</v>
      </c>
      <c r="AA1218" s="30" t="s">
        <v>76</v>
      </c>
    </row>
    <row r="1219" spans="1:27" ht="43.5" hidden="1" customHeight="1">
      <c r="A1219" s="88">
        <v>1209</v>
      </c>
      <c r="B1219" s="79" t="s">
        <v>5994</v>
      </c>
      <c r="C1219" s="148" t="s">
        <v>10</v>
      </c>
      <c r="D1219" s="80" t="s">
        <v>83</v>
      </c>
      <c r="E1219" s="27" t="s">
        <v>4288</v>
      </c>
      <c r="F1219" s="80" t="s">
        <v>120</v>
      </c>
      <c r="G1219" s="81" t="s">
        <v>4282</v>
      </c>
      <c r="H1219" s="80" t="s">
        <v>4289</v>
      </c>
      <c r="I1219" s="92">
        <v>45747</v>
      </c>
      <c r="J1219" s="80" t="s">
        <v>3517</v>
      </c>
      <c r="K1219" s="80" t="s">
        <v>198</v>
      </c>
      <c r="L1219" s="84" t="s">
        <v>189</v>
      </c>
      <c r="M1219" s="84" t="s">
        <v>101</v>
      </c>
      <c r="N1219" s="84" t="s">
        <v>72</v>
      </c>
      <c r="O1219" s="308" t="s">
        <v>5995</v>
      </c>
      <c r="P1219" s="132" t="s">
        <v>5996</v>
      </c>
      <c r="Q1219" s="49" t="s">
        <v>75</v>
      </c>
      <c r="R1219" s="25" t="s">
        <v>91</v>
      </c>
      <c r="S1219" s="26">
        <v>18</v>
      </c>
      <c r="T1219" s="26">
        <v>54</v>
      </c>
      <c r="U1219" s="28" t="s">
        <v>5997</v>
      </c>
      <c r="V1219" s="66"/>
      <c r="W1219" s="106"/>
      <c r="X1219" s="106" t="s">
        <v>516</v>
      </c>
      <c r="Y1219" s="106" t="s">
        <v>76</v>
      </c>
      <c r="Z1219" s="75" t="s">
        <v>106</v>
      </c>
      <c r="AA1219" s="30" t="s">
        <v>76</v>
      </c>
    </row>
    <row r="1220" spans="1:27" ht="43.5" hidden="1" customHeight="1">
      <c r="A1220" s="88">
        <v>1210</v>
      </c>
      <c r="B1220" s="79" t="s">
        <v>5998</v>
      </c>
      <c r="C1220" s="148" t="s">
        <v>10</v>
      </c>
      <c r="D1220" s="80" t="s">
        <v>63</v>
      </c>
      <c r="E1220" s="27" t="s">
        <v>5070</v>
      </c>
      <c r="F1220" s="80" t="s">
        <v>109</v>
      </c>
      <c r="G1220" s="81" t="s">
        <v>1826</v>
      </c>
      <c r="H1220" s="80" t="s">
        <v>1827</v>
      </c>
      <c r="I1220" s="92">
        <v>45747</v>
      </c>
      <c r="J1220" s="80" t="s">
        <v>4066</v>
      </c>
      <c r="K1220" s="80" t="s">
        <v>1654</v>
      </c>
      <c r="L1220" s="84" t="s">
        <v>10</v>
      </c>
      <c r="M1220" s="84" t="s">
        <v>252</v>
      </c>
      <c r="N1220" s="84" t="s">
        <v>72</v>
      </c>
      <c r="O1220" s="308" t="s">
        <v>5999</v>
      </c>
      <c r="P1220" s="132" t="s">
        <v>6000</v>
      </c>
      <c r="Q1220" s="49" t="s">
        <v>75</v>
      </c>
      <c r="R1220" s="25" t="s">
        <v>91</v>
      </c>
      <c r="S1220" s="26">
        <v>22</v>
      </c>
      <c r="T1220" s="26">
        <v>44</v>
      </c>
      <c r="U1220" s="28" t="s">
        <v>6001</v>
      </c>
      <c r="V1220" s="66"/>
      <c r="W1220" s="106"/>
      <c r="X1220" s="106" t="s">
        <v>516</v>
      </c>
      <c r="Y1220" s="26" t="s">
        <v>76</v>
      </c>
      <c r="Z1220" s="75" t="s">
        <v>93</v>
      </c>
      <c r="AA1220" s="30" t="s">
        <v>76</v>
      </c>
    </row>
    <row r="1221" spans="1:27" ht="43.5" hidden="1" customHeight="1">
      <c r="A1221" s="88">
        <v>1211</v>
      </c>
      <c r="B1221" s="79" t="s">
        <v>6002</v>
      </c>
      <c r="C1221" s="148" t="s">
        <v>794</v>
      </c>
      <c r="D1221" s="80" t="s">
        <v>83</v>
      </c>
      <c r="E1221" s="27" t="s">
        <v>5443</v>
      </c>
      <c r="F1221" s="80" t="s">
        <v>109</v>
      </c>
      <c r="G1221" s="81" t="s">
        <v>796</v>
      </c>
      <c r="H1221" s="80" t="s">
        <v>5444</v>
      </c>
      <c r="I1221" s="92">
        <v>45747</v>
      </c>
      <c r="J1221" s="80" t="s">
        <v>3505</v>
      </c>
      <c r="K1221" s="80" t="s">
        <v>69</v>
      </c>
      <c r="L1221" s="84" t="s">
        <v>251</v>
      </c>
      <c r="M1221" s="84" t="s">
        <v>595</v>
      </c>
      <c r="N1221" s="84" t="s">
        <v>72</v>
      </c>
      <c r="O1221" s="129" t="s">
        <v>6003</v>
      </c>
      <c r="P1221" s="132" t="s">
        <v>6004</v>
      </c>
      <c r="Q1221" s="49" t="s">
        <v>75</v>
      </c>
      <c r="R1221" s="25" t="s">
        <v>75</v>
      </c>
      <c r="S1221" s="26">
        <v>24</v>
      </c>
      <c r="T1221" s="75">
        <v>84</v>
      </c>
      <c r="U1221" s="144" t="s">
        <v>6005</v>
      </c>
      <c r="V1221" s="66" t="s">
        <v>75</v>
      </c>
      <c r="W1221" s="106" t="s">
        <v>5448</v>
      </c>
      <c r="X1221" s="106" t="s">
        <v>516</v>
      </c>
      <c r="Y1221" s="26" t="s">
        <v>3375</v>
      </c>
      <c r="Z1221" s="75" t="s">
        <v>79</v>
      </c>
      <c r="AA1221" s="30" t="s">
        <v>76</v>
      </c>
    </row>
    <row r="1222" spans="1:27" ht="43.5" hidden="1" customHeight="1">
      <c r="A1222" s="88">
        <v>1212</v>
      </c>
      <c r="B1222" s="79" t="s">
        <v>6006</v>
      </c>
      <c r="C1222" s="148" t="s">
        <v>8</v>
      </c>
      <c r="D1222" s="80" t="s">
        <v>63</v>
      </c>
      <c r="E1222" s="27" t="s">
        <v>4748</v>
      </c>
      <c r="F1222" s="80" t="s">
        <v>65</v>
      </c>
      <c r="G1222" s="81" t="s">
        <v>277</v>
      </c>
      <c r="H1222" s="80" t="s">
        <v>4749</v>
      </c>
      <c r="I1222" s="154">
        <v>45748</v>
      </c>
      <c r="J1222" s="80" t="s">
        <v>3494</v>
      </c>
      <c r="K1222" s="80" t="s">
        <v>198</v>
      </c>
      <c r="L1222" s="84" t="s">
        <v>199</v>
      </c>
      <c r="M1222" s="84" t="s">
        <v>200</v>
      </c>
      <c r="N1222" s="84" t="s">
        <v>72</v>
      </c>
      <c r="O1222" s="129" t="s">
        <v>6007</v>
      </c>
      <c r="P1222" s="132" t="s">
        <v>6008</v>
      </c>
      <c r="Q1222" s="49" t="s">
        <v>75</v>
      </c>
      <c r="R1222" s="25" t="s">
        <v>504</v>
      </c>
      <c r="S1222" s="26">
        <v>18</v>
      </c>
      <c r="T1222" s="28"/>
      <c r="U1222" s="184" t="s">
        <v>6009</v>
      </c>
      <c r="V1222" s="66"/>
      <c r="W1222" s="106"/>
      <c r="X1222" s="106" t="s">
        <v>3375</v>
      </c>
      <c r="Y1222" s="106" t="s">
        <v>76</v>
      </c>
      <c r="Z1222" s="75"/>
      <c r="AA1222" s="30" t="s">
        <v>76</v>
      </c>
    </row>
    <row r="1223" spans="1:27" ht="43.5" hidden="1" customHeight="1">
      <c r="A1223" s="88">
        <v>1213</v>
      </c>
      <c r="B1223" s="79" t="s">
        <v>6010</v>
      </c>
      <c r="C1223" s="148" t="s">
        <v>10</v>
      </c>
      <c r="D1223" s="80" t="s">
        <v>63</v>
      </c>
      <c r="E1223" s="27" t="s">
        <v>6011</v>
      </c>
      <c r="F1223" s="80" t="s">
        <v>338</v>
      </c>
      <c r="G1223" s="81" t="s">
        <v>6012</v>
      </c>
      <c r="H1223" s="80" t="s">
        <v>6013</v>
      </c>
      <c r="I1223" s="92">
        <v>45748</v>
      </c>
      <c r="J1223" s="80" t="s">
        <v>3505</v>
      </c>
      <c r="K1223" s="80" t="s">
        <v>69</v>
      </c>
      <c r="L1223" s="84" t="s">
        <v>100</v>
      </c>
      <c r="M1223" s="84" t="s">
        <v>252</v>
      </c>
      <c r="N1223" s="84" t="s">
        <v>72</v>
      </c>
      <c r="O1223" s="308" t="s">
        <v>6014</v>
      </c>
      <c r="P1223" s="132" t="s">
        <v>6015</v>
      </c>
      <c r="Q1223" s="49" t="s">
        <v>75</v>
      </c>
      <c r="R1223" s="25" t="s">
        <v>91</v>
      </c>
      <c r="S1223" s="26">
        <v>18</v>
      </c>
      <c r="T1223" s="26">
        <v>50</v>
      </c>
      <c r="U1223" s="28" t="s">
        <v>6016</v>
      </c>
      <c r="V1223" s="66"/>
      <c r="W1223" s="106"/>
      <c r="X1223" s="106" t="s">
        <v>3375</v>
      </c>
      <c r="Y1223" s="26" t="s">
        <v>76</v>
      </c>
      <c r="Z1223" s="75" t="s">
        <v>93</v>
      </c>
      <c r="AA1223" s="30" t="s">
        <v>76</v>
      </c>
    </row>
    <row r="1224" spans="1:27" ht="45.75" hidden="1" customHeight="1">
      <c r="A1224" s="88">
        <v>1214</v>
      </c>
      <c r="B1224" s="79" t="s">
        <v>6017</v>
      </c>
      <c r="C1224" s="148" t="s">
        <v>8</v>
      </c>
      <c r="D1224" s="80" t="s">
        <v>63</v>
      </c>
      <c r="E1224" s="27" t="s">
        <v>6018</v>
      </c>
      <c r="F1224" s="80" t="s">
        <v>109</v>
      </c>
      <c r="G1224" s="81" t="s">
        <v>277</v>
      </c>
      <c r="H1224" s="80" t="s">
        <v>6019</v>
      </c>
      <c r="I1224" s="92">
        <v>45749</v>
      </c>
      <c r="J1224" s="80" t="s">
        <v>3565</v>
      </c>
      <c r="K1224" s="80" t="s">
        <v>299</v>
      </c>
      <c r="L1224" s="84" t="s">
        <v>189</v>
      </c>
      <c r="M1224" s="84" t="s">
        <v>252</v>
      </c>
      <c r="N1224" s="84" t="s">
        <v>72</v>
      </c>
      <c r="O1224" s="129" t="s">
        <v>6020</v>
      </c>
      <c r="P1224" s="132" t="s">
        <v>6021</v>
      </c>
      <c r="Q1224" s="49" t="s">
        <v>75</v>
      </c>
      <c r="R1224" s="196" t="s">
        <v>91</v>
      </c>
      <c r="S1224" s="26">
        <v>20</v>
      </c>
      <c r="T1224" s="198">
        <v>71</v>
      </c>
      <c r="U1224" s="28" t="s">
        <v>6022</v>
      </c>
      <c r="V1224" s="66"/>
      <c r="W1224" s="106"/>
      <c r="X1224" s="106" t="s">
        <v>3375</v>
      </c>
      <c r="Y1224" s="26" t="s">
        <v>76</v>
      </c>
      <c r="Z1224" s="75" t="s">
        <v>106</v>
      </c>
      <c r="AA1224" s="30" t="s">
        <v>76</v>
      </c>
    </row>
    <row r="1225" spans="1:27" ht="45.75" hidden="1" customHeight="1">
      <c r="A1225" s="88">
        <v>1215</v>
      </c>
      <c r="B1225" s="79" t="s">
        <v>6023</v>
      </c>
      <c r="C1225" s="148" t="s">
        <v>8</v>
      </c>
      <c r="D1225" s="80" t="s">
        <v>63</v>
      </c>
      <c r="E1225" s="27" t="s">
        <v>2977</v>
      </c>
      <c r="F1225" s="80" t="s">
        <v>120</v>
      </c>
      <c r="G1225" s="81" t="s">
        <v>277</v>
      </c>
      <c r="H1225" s="80" t="s">
        <v>2978</v>
      </c>
      <c r="I1225" s="92">
        <v>45749</v>
      </c>
      <c r="J1225" s="80" t="s">
        <v>3565</v>
      </c>
      <c r="K1225" s="80" t="s">
        <v>299</v>
      </c>
      <c r="L1225" s="84" t="s">
        <v>189</v>
      </c>
      <c r="M1225" s="84" t="s">
        <v>252</v>
      </c>
      <c r="N1225" s="84" t="s">
        <v>72</v>
      </c>
      <c r="O1225" s="129" t="s">
        <v>6024</v>
      </c>
      <c r="P1225" s="132" t="s">
        <v>6025</v>
      </c>
      <c r="Q1225" s="49" t="s">
        <v>75</v>
      </c>
      <c r="R1225" s="25" t="s">
        <v>91</v>
      </c>
      <c r="S1225" s="26">
        <v>19</v>
      </c>
      <c r="T1225" s="26">
        <v>61</v>
      </c>
      <c r="U1225" s="28" t="s">
        <v>6026</v>
      </c>
      <c r="V1225" s="66"/>
      <c r="W1225" s="106"/>
      <c r="X1225" s="106" t="s">
        <v>3375</v>
      </c>
      <c r="Y1225" s="26" t="s">
        <v>76</v>
      </c>
      <c r="Z1225" s="93" t="s">
        <v>93</v>
      </c>
      <c r="AA1225" s="30" t="s">
        <v>76</v>
      </c>
    </row>
    <row r="1226" spans="1:27" ht="45.75" hidden="1" customHeight="1">
      <c r="A1226" s="88">
        <v>1216</v>
      </c>
      <c r="B1226" s="79" t="s">
        <v>6027</v>
      </c>
      <c r="C1226" s="148" t="s">
        <v>8</v>
      </c>
      <c r="D1226" s="80" t="s">
        <v>63</v>
      </c>
      <c r="E1226" s="27" t="s">
        <v>6028</v>
      </c>
      <c r="F1226" s="80" t="s">
        <v>338</v>
      </c>
      <c r="G1226" s="81" t="s">
        <v>440</v>
      </c>
      <c r="H1226" s="80" t="s">
        <v>6029</v>
      </c>
      <c r="I1226" s="92">
        <v>45749</v>
      </c>
      <c r="J1226" s="80" t="s">
        <v>3512</v>
      </c>
      <c r="K1226" s="80" t="s">
        <v>299</v>
      </c>
      <c r="L1226" s="84" t="s">
        <v>189</v>
      </c>
      <c r="M1226" s="84" t="s">
        <v>221</v>
      </c>
      <c r="N1226" s="84" t="s">
        <v>72</v>
      </c>
      <c r="O1226" s="129" t="s">
        <v>6030</v>
      </c>
      <c r="P1226" s="132" t="s">
        <v>6031</v>
      </c>
      <c r="Q1226" s="49" t="s">
        <v>75</v>
      </c>
      <c r="R1226" s="25" t="s">
        <v>91</v>
      </c>
      <c r="S1226" s="26">
        <v>19</v>
      </c>
      <c r="T1226" s="26">
        <v>63</v>
      </c>
      <c r="U1226" s="28" t="s">
        <v>3384</v>
      </c>
      <c r="V1226" s="66"/>
      <c r="W1226" s="106"/>
      <c r="X1226" s="106" t="s">
        <v>3375</v>
      </c>
      <c r="Y1226" s="26" t="s">
        <v>76</v>
      </c>
      <c r="Z1226" s="93" t="s">
        <v>93</v>
      </c>
      <c r="AA1226" s="30" t="s">
        <v>76</v>
      </c>
    </row>
    <row r="1227" spans="1:27" ht="45.75" hidden="1" customHeight="1">
      <c r="A1227" s="88">
        <v>1217</v>
      </c>
      <c r="B1227" s="79" t="s">
        <v>6032</v>
      </c>
      <c r="C1227" s="148" t="s">
        <v>10</v>
      </c>
      <c r="D1227" s="80" t="s">
        <v>63</v>
      </c>
      <c r="E1227" s="27" t="s">
        <v>6033</v>
      </c>
      <c r="F1227" s="80" t="s">
        <v>65</v>
      </c>
      <c r="G1227" s="81" t="s">
        <v>5843</v>
      </c>
      <c r="H1227" s="80" t="s">
        <v>6034</v>
      </c>
      <c r="I1227" s="92">
        <v>45749</v>
      </c>
      <c r="J1227" s="80" t="s">
        <v>145</v>
      </c>
      <c r="K1227" s="80" t="s">
        <v>146</v>
      </c>
      <c r="L1227" s="84" t="s">
        <v>147</v>
      </c>
      <c r="M1227" s="84" t="s">
        <v>148</v>
      </c>
      <c r="N1227" s="84" t="s">
        <v>72</v>
      </c>
      <c r="O1227" s="308" t="s">
        <v>6035</v>
      </c>
      <c r="P1227" s="132" t="s">
        <v>6036</v>
      </c>
      <c r="Q1227" s="49" t="s">
        <v>75</v>
      </c>
      <c r="R1227" s="25" t="s">
        <v>91</v>
      </c>
      <c r="S1227" s="26">
        <v>18</v>
      </c>
      <c r="T1227" s="26">
        <v>64</v>
      </c>
      <c r="U1227" s="28" t="s">
        <v>6037</v>
      </c>
      <c r="V1227" s="66"/>
      <c r="W1227" s="106"/>
      <c r="X1227" s="106" t="s">
        <v>3375</v>
      </c>
      <c r="Y1227" s="26" t="s">
        <v>76</v>
      </c>
      <c r="Z1227" s="75" t="s">
        <v>76</v>
      </c>
      <c r="AA1227" s="30" t="s">
        <v>76</v>
      </c>
    </row>
    <row r="1228" spans="1:27" ht="45.75" hidden="1" customHeight="1">
      <c r="A1228" s="88">
        <v>1218</v>
      </c>
      <c r="B1228" s="79" t="s">
        <v>6038</v>
      </c>
      <c r="C1228" s="148" t="s">
        <v>8</v>
      </c>
      <c r="D1228" s="80" t="s">
        <v>63</v>
      </c>
      <c r="E1228" s="27" t="s">
        <v>1992</v>
      </c>
      <c r="F1228" s="80" t="s">
        <v>338</v>
      </c>
      <c r="G1228" s="81" t="s">
        <v>995</v>
      </c>
      <c r="H1228" s="80" t="s">
        <v>1993</v>
      </c>
      <c r="I1228" s="92">
        <v>45750</v>
      </c>
      <c r="J1228" s="80" t="s">
        <v>3512</v>
      </c>
      <c r="K1228" s="80" t="s">
        <v>299</v>
      </c>
      <c r="L1228" s="84" t="s">
        <v>189</v>
      </c>
      <c r="M1228" s="84" t="s">
        <v>221</v>
      </c>
      <c r="N1228" s="84" t="s">
        <v>72</v>
      </c>
      <c r="O1228" s="129" t="s">
        <v>6039</v>
      </c>
      <c r="P1228" s="132" t="s">
        <v>6040</v>
      </c>
      <c r="Q1228" s="49" t="s">
        <v>75</v>
      </c>
      <c r="R1228" s="25" t="s">
        <v>504</v>
      </c>
      <c r="S1228" s="26">
        <v>19</v>
      </c>
      <c r="T1228" s="26">
        <v>75</v>
      </c>
      <c r="U1228" s="28" t="s">
        <v>6041</v>
      </c>
      <c r="V1228" s="66"/>
      <c r="W1228" s="106"/>
      <c r="X1228" s="106" t="s">
        <v>3375</v>
      </c>
      <c r="Y1228" s="26" t="s">
        <v>76</v>
      </c>
      <c r="Z1228" s="75" t="s">
        <v>106</v>
      </c>
      <c r="AA1228" s="30" t="s">
        <v>76</v>
      </c>
    </row>
    <row r="1229" spans="1:27" ht="45.75" hidden="1" customHeight="1">
      <c r="A1229" s="88">
        <v>1219</v>
      </c>
      <c r="B1229" s="79" t="s">
        <v>6042</v>
      </c>
      <c r="C1229" s="148" t="s">
        <v>8</v>
      </c>
      <c r="D1229" s="80" t="s">
        <v>63</v>
      </c>
      <c r="E1229" s="27" t="s">
        <v>4049</v>
      </c>
      <c r="F1229" s="80" t="s">
        <v>65</v>
      </c>
      <c r="G1229" s="81" t="s">
        <v>2474</v>
      </c>
      <c r="H1229" s="80" t="s">
        <v>4050</v>
      </c>
      <c r="I1229" s="92">
        <v>45751</v>
      </c>
      <c r="J1229" s="80" t="s">
        <v>3517</v>
      </c>
      <c r="K1229" s="80" t="s">
        <v>299</v>
      </c>
      <c r="L1229" s="84" t="s">
        <v>189</v>
      </c>
      <c r="M1229" s="84" t="s">
        <v>101</v>
      </c>
      <c r="N1229" s="84" t="s">
        <v>72</v>
      </c>
      <c r="O1229" s="129" t="s">
        <v>6043</v>
      </c>
      <c r="P1229" s="132" t="s">
        <v>6044</v>
      </c>
      <c r="Q1229" s="49" t="s">
        <v>75</v>
      </c>
      <c r="R1229" s="25" t="s">
        <v>91</v>
      </c>
      <c r="S1229" s="26">
        <v>19</v>
      </c>
      <c r="T1229" s="26">
        <v>60</v>
      </c>
      <c r="U1229" s="28" t="s">
        <v>6045</v>
      </c>
      <c r="V1229" s="66"/>
      <c r="W1229" s="106"/>
      <c r="X1229" s="106" t="s">
        <v>3375</v>
      </c>
      <c r="Y1229" s="26" t="s">
        <v>76</v>
      </c>
      <c r="Z1229" s="93" t="s">
        <v>93</v>
      </c>
      <c r="AA1229" s="30" t="s">
        <v>76</v>
      </c>
    </row>
    <row r="1230" spans="1:27" ht="45.75" hidden="1" customHeight="1">
      <c r="A1230" s="88">
        <v>1220</v>
      </c>
      <c r="B1230" s="79" t="s">
        <v>6046</v>
      </c>
      <c r="C1230" s="148" t="s">
        <v>8</v>
      </c>
      <c r="D1230" s="80" t="s">
        <v>63</v>
      </c>
      <c r="E1230" s="27" t="s">
        <v>6047</v>
      </c>
      <c r="F1230" s="80" t="s">
        <v>284</v>
      </c>
      <c r="G1230" s="81" t="s">
        <v>277</v>
      </c>
      <c r="H1230" s="80" t="s">
        <v>6048</v>
      </c>
      <c r="I1230" s="92">
        <v>45751</v>
      </c>
      <c r="J1230" s="80" t="s">
        <v>3505</v>
      </c>
      <c r="K1230" s="80" t="s">
        <v>69</v>
      </c>
      <c r="L1230" s="84" t="s">
        <v>100</v>
      </c>
      <c r="M1230" s="84" t="s">
        <v>601</v>
      </c>
      <c r="N1230" s="84" t="s">
        <v>72</v>
      </c>
      <c r="O1230" s="129" t="s">
        <v>6049</v>
      </c>
      <c r="P1230" s="132" t="s">
        <v>6050</v>
      </c>
      <c r="Q1230" s="49" t="s">
        <v>75</v>
      </c>
      <c r="R1230" s="25" t="s">
        <v>91</v>
      </c>
      <c r="S1230" s="26">
        <v>18</v>
      </c>
      <c r="T1230" s="26">
        <v>46</v>
      </c>
      <c r="U1230" s="28" t="s">
        <v>6051</v>
      </c>
      <c r="V1230" s="66"/>
      <c r="W1230" s="106"/>
      <c r="X1230" s="106" t="s">
        <v>3375</v>
      </c>
      <c r="Y1230" s="26" t="s">
        <v>76</v>
      </c>
      <c r="Z1230" s="75" t="s">
        <v>93</v>
      </c>
      <c r="AA1230" s="30" t="s">
        <v>76</v>
      </c>
    </row>
    <row r="1231" spans="1:27" ht="45.75" hidden="1" customHeight="1">
      <c r="A1231" s="88">
        <v>1221</v>
      </c>
      <c r="B1231" s="79" t="s">
        <v>6052</v>
      </c>
      <c r="C1231" s="148" t="s">
        <v>8</v>
      </c>
      <c r="D1231" s="80" t="s">
        <v>63</v>
      </c>
      <c r="E1231" s="27" t="s">
        <v>2272</v>
      </c>
      <c r="F1231" s="80" t="s">
        <v>65</v>
      </c>
      <c r="G1231" s="81" t="s">
        <v>66</v>
      </c>
      <c r="H1231" s="80" t="s">
        <v>1812</v>
      </c>
      <c r="I1231" s="92">
        <v>45754</v>
      </c>
      <c r="J1231" s="80" t="s">
        <v>3565</v>
      </c>
      <c r="K1231" s="80" t="s">
        <v>299</v>
      </c>
      <c r="L1231" s="84" t="s">
        <v>189</v>
      </c>
      <c r="M1231" s="84" t="s">
        <v>252</v>
      </c>
      <c r="N1231" s="84" t="s">
        <v>72</v>
      </c>
      <c r="O1231" s="129" t="s">
        <v>6053</v>
      </c>
      <c r="P1231" s="132" t="s">
        <v>6054</v>
      </c>
      <c r="Q1231" s="49" t="s">
        <v>75</v>
      </c>
      <c r="R1231" s="25" t="s">
        <v>91</v>
      </c>
      <c r="S1231" s="26">
        <v>20</v>
      </c>
      <c r="T1231" s="26">
        <v>66</v>
      </c>
      <c r="U1231" s="28" t="s">
        <v>6055</v>
      </c>
      <c r="V1231" s="66"/>
      <c r="W1231" s="106"/>
      <c r="X1231" s="106" t="s">
        <v>3375</v>
      </c>
      <c r="Y1231" s="26" t="s">
        <v>76</v>
      </c>
      <c r="Z1231" s="93" t="s">
        <v>93</v>
      </c>
      <c r="AA1231" s="30" t="s">
        <v>76</v>
      </c>
    </row>
    <row r="1232" spans="1:27" ht="45.75" hidden="1" customHeight="1">
      <c r="A1232" s="88">
        <v>1222</v>
      </c>
      <c r="B1232" s="79" t="s">
        <v>6056</v>
      </c>
      <c r="C1232" s="148" t="s">
        <v>8</v>
      </c>
      <c r="D1232" s="80" t="s">
        <v>83</v>
      </c>
      <c r="E1232" s="27" t="s">
        <v>432</v>
      </c>
      <c r="F1232" s="80" t="s">
        <v>120</v>
      </c>
      <c r="G1232" s="81" t="s">
        <v>339</v>
      </c>
      <c r="H1232" s="80" t="s">
        <v>433</v>
      </c>
      <c r="I1232" s="92">
        <v>45754</v>
      </c>
      <c r="J1232" s="80" t="s">
        <v>3526</v>
      </c>
      <c r="K1232" s="80" t="s">
        <v>198</v>
      </c>
      <c r="L1232" s="84" t="s">
        <v>189</v>
      </c>
      <c r="M1232" s="84" t="s">
        <v>114</v>
      </c>
      <c r="N1232" s="84" t="s">
        <v>72</v>
      </c>
      <c r="O1232" s="129" t="s">
        <v>6057</v>
      </c>
      <c r="P1232" s="132" t="s">
        <v>6058</v>
      </c>
      <c r="Q1232" s="49" t="s">
        <v>75</v>
      </c>
      <c r="R1232" s="25" t="s">
        <v>75</v>
      </c>
      <c r="S1232" s="26">
        <v>24</v>
      </c>
      <c r="T1232" s="26">
        <v>70</v>
      </c>
      <c r="U1232" s="28" t="s">
        <v>6059</v>
      </c>
      <c r="V1232" s="66" t="s">
        <v>75</v>
      </c>
      <c r="W1232" s="106" t="s">
        <v>5448</v>
      </c>
      <c r="X1232" s="106" t="s">
        <v>3375</v>
      </c>
      <c r="Y1232" s="26" t="s">
        <v>3375</v>
      </c>
      <c r="Z1232" s="93" t="s">
        <v>79</v>
      </c>
      <c r="AA1232" s="30" t="s">
        <v>76</v>
      </c>
    </row>
    <row r="1233" spans="1:28" ht="45.75" hidden="1" customHeight="1">
      <c r="A1233" s="88">
        <v>1223</v>
      </c>
      <c r="B1233" s="79" t="s">
        <v>6060</v>
      </c>
      <c r="C1233" s="148" t="s">
        <v>8</v>
      </c>
      <c r="D1233" s="80" t="s">
        <v>63</v>
      </c>
      <c r="E1233" s="27" t="s">
        <v>6061</v>
      </c>
      <c r="F1233" s="80" t="s">
        <v>109</v>
      </c>
      <c r="G1233" s="81" t="s">
        <v>1653</v>
      </c>
      <c r="H1233" s="80" t="s">
        <v>6062</v>
      </c>
      <c r="I1233" s="92">
        <v>45755</v>
      </c>
      <c r="J1233" s="80" t="s">
        <v>3505</v>
      </c>
      <c r="K1233" s="80" t="s">
        <v>69</v>
      </c>
      <c r="L1233" s="84" t="s">
        <v>70</v>
      </c>
      <c r="M1233" s="84" t="s">
        <v>252</v>
      </c>
      <c r="N1233" s="84" t="s">
        <v>72</v>
      </c>
      <c r="O1233" s="129" t="s">
        <v>6063</v>
      </c>
      <c r="P1233" s="132" t="s">
        <v>6064</v>
      </c>
      <c r="Q1233" s="49" t="s">
        <v>75</v>
      </c>
      <c r="R1233" s="25" t="s">
        <v>91</v>
      </c>
      <c r="S1233" s="26">
        <v>20</v>
      </c>
      <c r="T1233" s="26">
        <v>52</v>
      </c>
      <c r="U1233" s="28" t="s">
        <v>6065</v>
      </c>
      <c r="V1233" s="66"/>
      <c r="W1233" s="106"/>
      <c r="X1233" s="106" t="s">
        <v>3375</v>
      </c>
      <c r="Y1233" s="26" t="s">
        <v>76</v>
      </c>
      <c r="Z1233" s="75" t="s">
        <v>93</v>
      </c>
      <c r="AA1233" s="30" t="s">
        <v>76</v>
      </c>
    </row>
    <row r="1234" spans="1:28" ht="45.75" hidden="1" customHeight="1">
      <c r="A1234" s="88">
        <v>1224</v>
      </c>
      <c r="B1234" s="79" t="s">
        <v>6066</v>
      </c>
      <c r="C1234" s="148" t="s">
        <v>8</v>
      </c>
      <c r="D1234" s="80" t="s">
        <v>63</v>
      </c>
      <c r="E1234" s="27" t="s">
        <v>3979</v>
      </c>
      <c r="F1234" s="80" t="s">
        <v>284</v>
      </c>
      <c r="G1234" s="81" t="s">
        <v>277</v>
      </c>
      <c r="H1234" s="80" t="s">
        <v>3980</v>
      </c>
      <c r="I1234" s="92">
        <v>45756</v>
      </c>
      <c r="J1234" s="80" t="s">
        <v>3494</v>
      </c>
      <c r="K1234" s="80" t="s">
        <v>198</v>
      </c>
      <c r="L1234" s="84" t="s">
        <v>199</v>
      </c>
      <c r="M1234" s="84" t="s">
        <v>200</v>
      </c>
      <c r="N1234" s="84" t="s">
        <v>72</v>
      </c>
      <c r="O1234" s="129" t="s">
        <v>6067</v>
      </c>
      <c r="P1234" s="132" t="s">
        <v>6068</v>
      </c>
      <c r="Q1234" s="49" t="s">
        <v>75</v>
      </c>
      <c r="R1234" s="25" t="s">
        <v>91</v>
      </c>
      <c r="S1234" s="26">
        <v>18</v>
      </c>
      <c r="T1234" s="26">
        <v>60</v>
      </c>
      <c r="U1234" s="28" t="s">
        <v>6069</v>
      </c>
      <c r="V1234" s="66"/>
      <c r="W1234" s="106"/>
      <c r="X1234" s="106" t="s">
        <v>3375</v>
      </c>
      <c r="Y1234" s="26" t="s">
        <v>76</v>
      </c>
      <c r="Z1234" s="75"/>
      <c r="AA1234" s="30" t="s">
        <v>1536</v>
      </c>
    </row>
    <row r="1235" spans="1:28" ht="74.25" hidden="1" customHeight="1">
      <c r="A1235" s="88">
        <v>1225</v>
      </c>
      <c r="B1235" s="79" t="s">
        <v>6070</v>
      </c>
      <c r="C1235" s="148" t="s">
        <v>10</v>
      </c>
      <c r="D1235" s="80" t="s">
        <v>63</v>
      </c>
      <c r="E1235" s="27" t="s">
        <v>5974</v>
      </c>
      <c r="F1235" s="80" t="s">
        <v>109</v>
      </c>
      <c r="G1235" s="81" t="s">
        <v>5843</v>
      </c>
      <c r="H1235" s="80" t="s">
        <v>5975</v>
      </c>
      <c r="I1235" s="92">
        <v>45757</v>
      </c>
      <c r="J1235" s="80" t="s">
        <v>3565</v>
      </c>
      <c r="K1235" s="80" t="s">
        <v>299</v>
      </c>
      <c r="L1235" s="84" t="s">
        <v>300</v>
      </c>
      <c r="M1235" s="84" t="s">
        <v>252</v>
      </c>
      <c r="N1235" s="84" t="s">
        <v>72</v>
      </c>
      <c r="O1235" s="308" t="s">
        <v>6071</v>
      </c>
      <c r="P1235" s="132" t="s">
        <v>6072</v>
      </c>
      <c r="Q1235" s="49" t="s">
        <v>75</v>
      </c>
      <c r="R1235" s="25" t="s">
        <v>91</v>
      </c>
      <c r="S1235" s="26">
        <v>19</v>
      </c>
      <c r="T1235" s="26">
        <v>62</v>
      </c>
      <c r="U1235" s="28" t="s">
        <v>6073</v>
      </c>
      <c r="V1235" s="66"/>
      <c r="W1235" s="106"/>
      <c r="X1235" s="106" t="s">
        <v>3375</v>
      </c>
      <c r="Y1235" s="26" t="s">
        <v>76</v>
      </c>
      <c r="Z1235" s="93" t="s">
        <v>93</v>
      </c>
      <c r="AA1235" s="30" t="s">
        <v>76</v>
      </c>
    </row>
    <row r="1236" spans="1:28" ht="45.75" hidden="1" customHeight="1">
      <c r="A1236" s="88">
        <v>1226</v>
      </c>
      <c r="B1236" s="79" t="s">
        <v>6074</v>
      </c>
      <c r="C1236" s="148" t="s">
        <v>8</v>
      </c>
      <c r="D1236" s="80" t="s">
        <v>63</v>
      </c>
      <c r="E1236" s="27" t="s">
        <v>1694</v>
      </c>
      <c r="F1236" s="80" t="s">
        <v>109</v>
      </c>
      <c r="G1236" s="81" t="s">
        <v>1522</v>
      </c>
      <c r="H1236" s="80" t="s">
        <v>1695</v>
      </c>
      <c r="I1236" s="92">
        <v>45758</v>
      </c>
      <c r="J1236" s="80" t="s">
        <v>3512</v>
      </c>
      <c r="K1236" s="80" t="s">
        <v>299</v>
      </c>
      <c r="L1236" s="84" t="s">
        <v>189</v>
      </c>
      <c r="M1236" s="84" t="s">
        <v>221</v>
      </c>
      <c r="N1236" s="84" t="s">
        <v>72</v>
      </c>
      <c r="O1236" s="129" t="s">
        <v>6075</v>
      </c>
      <c r="P1236" s="132" t="s">
        <v>6076</v>
      </c>
      <c r="Q1236" s="49" t="s">
        <v>75</v>
      </c>
      <c r="R1236" s="25" t="s">
        <v>91</v>
      </c>
      <c r="S1236" s="26">
        <v>20</v>
      </c>
      <c r="T1236" s="26">
        <v>64</v>
      </c>
      <c r="U1236" s="28" t="s">
        <v>3384</v>
      </c>
      <c r="V1236" s="66"/>
      <c r="W1236" s="106"/>
      <c r="X1236" s="106" t="s">
        <v>3375</v>
      </c>
      <c r="Y1236" s="26" t="s">
        <v>76</v>
      </c>
      <c r="Z1236" s="93" t="s">
        <v>93</v>
      </c>
      <c r="AA1236" s="30" t="s">
        <v>76</v>
      </c>
    </row>
    <row r="1237" spans="1:28" ht="45.75" hidden="1" customHeight="1">
      <c r="A1237" s="88">
        <v>1227</v>
      </c>
      <c r="B1237" s="79" t="s">
        <v>6077</v>
      </c>
      <c r="C1237" s="148" t="s">
        <v>8</v>
      </c>
      <c r="D1237" s="80" t="s">
        <v>63</v>
      </c>
      <c r="E1237" s="27" t="s">
        <v>2761</v>
      </c>
      <c r="F1237" s="80" t="s">
        <v>284</v>
      </c>
      <c r="G1237" s="81" t="s">
        <v>2762</v>
      </c>
      <c r="H1237" s="80" t="s">
        <v>2763</v>
      </c>
      <c r="I1237" s="92">
        <v>45759</v>
      </c>
      <c r="J1237" s="80" t="s">
        <v>3505</v>
      </c>
      <c r="K1237" s="80" t="s">
        <v>69</v>
      </c>
      <c r="L1237" s="84" t="s">
        <v>100</v>
      </c>
      <c r="M1237" s="84" t="s">
        <v>252</v>
      </c>
      <c r="N1237" s="84" t="s">
        <v>72</v>
      </c>
      <c r="O1237" s="129" t="s">
        <v>6078</v>
      </c>
      <c r="P1237" s="132" t="s">
        <v>6079</v>
      </c>
      <c r="Q1237" s="49" t="s">
        <v>75</v>
      </c>
      <c r="R1237" s="25" t="s">
        <v>91</v>
      </c>
      <c r="S1237" s="26">
        <v>18</v>
      </c>
      <c r="T1237" s="26">
        <v>38</v>
      </c>
      <c r="U1237" s="28" t="s">
        <v>6080</v>
      </c>
      <c r="V1237" s="66"/>
      <c r="W1237" s="106"/>
      <c r="X1237" s="106" t="s">
        <v>3375</v>
      </c>
      <c r="Y1237" s="26" t="s">
        <v>76</v>
      </c>
      <c r="Z1237" s="75" t="s">
        <v>93</v>
      </c>
      <c r="AA1237" s="30" t="s">
        <v>76</v>
      </c>
    </row>
    <row r="1238" spans="1:28" ht="30.75" hidden="1" customHeight="1">
      <c r="A1238" s="88">
        <v>1228</v>
      </c>
      <c r="B1238" s="79" t="s">
        <v>6081</v>
      </c>
      <c r="C1238" s="148" t="s">
        <v>8</v>
      </c>
      <c r="D1238" s="80" t="s">
        <v>63</v>
      </c>
      <c r="E1238" s="27" t="s">
        <v>6082</v>
      </c>
      <c r="F1238" s="80" t="s">
        <v>65</v>
      </c>
      <c r="G1238" s="81" t="s">
        <v>2474</v>
      </c>
      <c r="H1238" s="80" t="s">
        <v>6083</v>
      </c>
      <c r="I1238" s="92">
        <v>45759</v>
      </c>
      <c r="J1238" s="80" t="s">
        <v>3512</v>
      </c>
      <c r="K1238" s="80" t="s">
        <v>299</v>
      </c>
      <c r="L1238" s="84" t="s">
        <v>189</v>
      </c>
      <c r="M1238" s="84" t="s">
        <v>221</v>
      </c>
      <c r="N1238" s="84" t="s">
        <v>72</v>
      </c>
      <c r="O1238" s="129" t="s">
        <v>6084</v>
      </c>
      <c r="P1238" s="132" t="s">
        <v>6079</v>
      </c>
      <c r="Q1238" s="49" t="s">
        <v>75</v>
      </c>
      <c r="R1238" s="25" t="s">
        <v>91</v>
      </c>
      <c r="S1238" s="26">
        <v>19</v>
      </c>
      <c r="T1238" s="26">
        <v>56</v>
      </c>
      <c r="U1238" s="28" t="s">
        <v>6085</v>
      </c>
      <c r="V1238" s="66"/>
      <c r="W1238" s="106"/>
      <c r="X1238" s="106" t="s">
        <v>3375</v>
      </c>
      <c r="Y1238" s="26" t="s">
        <v>76</v>
      </c>
      <c r="Z1238" s="93" t="s">
        <v>93</v>
      </c>
      <c r="AA1238" s="30" t="s">
        <v>76</v>
      </c>
    </row>
    <row r="1239" spans="1:28" ht="49.5" hidden="1">
      <c r="A1239" s="88">
        <v>1229</v>
      </c>
      <c r="B1239" s="79" t="s">
        <v>6086</v>
      </c>
      <c r="C1239" s="148" t="s">
        <v>8</v>
      </c>
      <c r="D1239" s="80" t="s">
        <v>63</v>
      </c>
      <c r="E1239" s="27" t="s">
        <v>6028</v>
      </c>
      <c r="F1239" s="80" t="s">
        <v>338</v>
      </c>
      <c r="G1239" s="81" t="s">
        <v>440</v>
      </c>
      <c r="H1239" s="80" t="s">
        <v>6029</v>
      </c>
      <c r="I1239" s="92">
        <v>45761</v>
      </c>
      <c r="J1239" s="80" t="s">
        <v>3500</v>
      </c>
      <c r="K1239" s="80" t="s">
        <v>198</v>
      </c>
      <c r="L1239" s="84" t="s">
        <v>199</v>
      </c>
      <c r="M1239" s="84" t="s">
        <v>221</v>
      </c>
      <c r="N1239" s="84" t="s">
        <v>72</v>
      </c>
      <c r="O1239" s="129" t="s">
        <v>6087</v>
      </c>
      <c r="P1239" s="132" t="s">
        <v>6088</v>
      </c>
      <c r="Q1239" s="49" t="s">
        <v>75</v>
      </c>
      <c r="R1239" s="25" t="s">
        <v>91</v>
      </c>
      <c r="S1239" s="26">
        <v>18</v>
      </c>
      <c r="T1239" s="26">
        <v>60</v>
      </c>
      <c r="U1239" s="28" t="s">
        <v>6089</v>
      </c>
      <c r="V1239" s="66"/>
      <c r="W1239" s="106"/>
      <c r="X1239" s="106" t="s">
        <v>3375</v>
      </c>
      <c r="Y1239" s="26" t="s">
        <v>76</v>
      </c>
      <c r="Z1239" s="75"/>
      <c r="AA1239" s="30" t="s">
        <v>1536</v>
      </c>
    </row>
    <row r="1240" spans="1:28" ht="30.75" hidden="1" customHeight="1">
      <c r="A1240" s="88">
        <v>1230</v>
      </c>
      <c r="B1240" s="79" t="s">
        <v>6090</v>
      </c>
      <c r="C1240" s="148" t="s">
        <v>8</v>
      </c>
      <c r="D1240" s="80" t="s">
        <v>83</v>
      </c>
      <c r="E1240" s="27" t="s">
        <v>588</v>
      </c>
      <c r="F1240" s="80" t="s">
        <v>109</v>
      </c>
      <c r="G1240" s="81" t="s">
        <v>589</v>
      </c>
      <c r="H1240" s="80" t="s">
        <v>590</v>
      </c>
      <c r="I1240" s="92">
        <v>45762</v>
      </c>
      <c r="J1240" s="80" t="s">
        <v>3505</v>
      </c>
      <c r="K1240" s="80" t="s">
        <v>69</v>
      </c>
      <c r="L1240" s="84" t="s">
        <v>251</v>
      </c>
      <c r="M1240" s="84" t="s">
        <v>252</v>
      </c>
      <c r="N1240" s="84" t="s">
        <v>253</v>
      </c>
      <c r="O1240" s="129" t="s">
        <v>6091</v>
      </c>
      <c r="P1240" s="132" t="s">
        <v>6092</v>
      </c>
      <c r="Q1240" s="49" t="s">
        <v>75</v>
      </c>
      <c r="R1240" s="25" t="s">
        <v>91</v>
      </c>
      <c r="S1240" s="26">
        <v>18</v>
      </c>
      <c r="T1240" s="26">
        <v>42</v>
      </c>
      <c r="U1240" s="28" t="s">
        <v>6093</v>
      </c>
      <c r="V1240" s="66"/>
      <c r="W1240" s="106"/>
      <c r="X1240" s="106" t="s">
        <v>3375</v>
      </c>
      <c r="Y1240" s="26" t="s">
        <v>76</v>
      </c>
      <c r="Z1240" s="75" t="s">
        <v>93</v>
      </c>
      <c r="AA1240" s="30"/>
    </row>
    <row r="1241" spans="1:28" ht="30.75" hidden="1" customHeight="1">
      <c r="A1241" s="88">
        <v>1231</v>
      </c>
      <c r="B1241" s="79" t="s">
        <v>6094</v>
      </c>
      <c r="C1241" s="148" t="s">
        <v>8</v>
      </c>
      <c r="D1241" s="80" t="s">
        <v>63</v>
      </c>
      <c r="E1241" s="27" t="s">
        <v>1983</v>
      </c>
      <c r="F1241" s="80" t="s">
        <v>109</v>
      </c>
      <c r="G1241" s="81" t="s">
        <v>1041</v>
      </c>
      <c r="H1241" s="80" t="s">
        <v>1984</v>
      </c>
      <c r="I1241" s="92">
        <v>45762</v>
      </c>
      <c r="J1241" s="80" t="s">
        <v>3505</v>
      </c>
      <c r="K1241" s="80" t="s">
        <v>69</v>
      </c>
      <c r="L1241" s="84" t="s">
        <v>251</v>
      </c>
      <c r="M1241" s="84" t="s">
        <v>252</v>
      </c>
      <c r="N1241" s="84" t="s">
        <v>920</v>
      </c>
      <c r="O1241" s="129" t="s">
        <v>6095</v>
      </c>
      <c r="P1241" s="132" t="s">
        <v>6096</v>
      </c>
      <c r="Q1241" s="49" t="s">
        <v>91</v>
      </c>
      <c r="R1241" s="25"/>
      <c r="S1241" s="26"/>
      <c r="T1241" s="26"/>
      <c r="U1241" s="28" t="s">
        <v>6097</v>
      </c>
      <c r="V1241" s="66"/>
      <c r="W1241" s="106"/>
      <c r="X1241" s="106" t="s">
        <v>76</v>
      </c>
      <c r="Y1241" s="26" t="s">
        <v>76</v>
      </c>
      <c r="Z1241" s="75" t="s">
        <v>193</v>
      </c>
      <c r="AA1241" s="30"/>
      <c r="AB1241" s="25" t="s">
        <v>75</v>
      </c>
    </row>
    <row r="1242" spans="1:28" ht="30.75" hidden="1" customHeight="1">
      <c r="A1242" s="88">
        <v>1232</v>
      </c>
      <c r="B1242" s="79" t="s">
        <v>6098</v>
      </c>
      <c r="C1242" s="148" t="s">
        <v>8</v>
      </c>
      <c r="D1242" s="80" t="s">
        <v>63</v>
      </c>
      <c r="E1242" s="27" t="s">
        <v>1983</v>
      </c>
      <c r="F1242" s="80" t="s">
        <v>109</v>
      </c>
      <c r="G1242" s="81" t="s">
        <v>1041</v>
      </c>
      <c r="H1242" s="80" t="s">
        <v>1984</v>
      </c>
      <c r="I1242" s="92">
        <v>45762</v>
      </c>
      <c r="J1242" s="80" t="s">
        <v>3505</v>
      </c>
      <c r="K1242" s="80" t="s">
        <v>69</v>
      </c>
      <c r="L1242" s="84" t="s">
        <v>251</v>
      </c>
      <c r="M1242" s="84" t="s">
        <v>252</v>
      </c>
      <c r="N1242" s="84" t="s">
        <v>920</v>
      </c>
      <c r="O1242" s="129" t="s">
        <v>6099</v>
      </c>
      <c r="P1242" s="132" t="s">
        <v>6100</v>
      </c>
      <c r="Q1242" s="49" t="s">
        <v>75</v>
      </c>
      <c r="R1242" s="25" t="s">
        <v>91</v>
      </c>
      <c r="S1242" s="26">
        <v>22</v>
      </c>
      <c r="T1242" s="26">
        <v>54</v>
      </c>
      <c r="U1242" s="28" t="s">
        <v>6101</v>
      </c>
      <c r="V1242" s="66"/>
      <c r="W1242" s="106"/>
      <c r="X1242" s="106" t="s">
        <v>3375</v>
      </c>
      <c r="Y1242" s="26" t="s">
        <v>76</v>
      </c>
      <c r="Z1242" s="75" t="s">
        <v>93</v>
      </c>
      <c r="AA1242" s="30"/>
    </row>
    <row r="1243" spans="1:28" ht="30.75" hidden="1" customHeight="1">
      <c r="A1243" s="88">
        <v>1233</v>
      </c>
      <c r="B1243" s="79" t="s">
        <v>6102</v>
      </c>
      <c r="C1243" s="148" t="s">
        <v>8</v>
      </c>
      <c r="D1243" s="80" t="s">
        <v>63</v>
      </c>
      <c r="E1243" s="27" t="s">
        <v>1983</v>
      </c>
      <c r="F1243" s="80" t="s">
        <v>109</v>
      </c>
      <c r="G1243" s="81" t="s">
        <v>1041</v>
      </c>
      <c r="H1243" s="80" t="s">
        <v>1984</v>
      </c>
      <c r="I1243" s="92">
        <v>45762</v>
      </c>
      <c r="J1243" s="80" t="s">
        <v>3505</v>
      </c>
      <c r="K1243" s="80" t="s">
        <v>69</v>
      </c>
      <c r="L1243" s="84" t="s">
        <v>251</v>
      </c>
      <c r="M1243" s="84" t="s">
        <v>252</v>
      </c>
      <c r="N1243" s="84" t="s">
        <v>920</v>
      </c>
      <c r="O1243" s="129" t="s">
        <v>6103</v>
      </c>
      <c r="P1243" s="132" t="s">
        <v>6104</v>
      </c>
      <c r="Q1243" s="49" t="s">
        <v>91</v>
      </c>
      <c r="R1243" s="25"/>
      <c r="S1243" s="26"/>
      <c r="T1243" s="26"/>
      <c r="U1243" s="28" t="s">
        <v>6105</v>
      </c>
      <c r="V1243" s="66"/>
      <c r="W1243" s="106"/>
      <c r="X1243" s="106" t="s">
        <v>76</v>
      </c>
      <c r="Y1243" s="26" t="s">
        <v>76</v>
      </c>
      <c r="Z1243" s="75" t="s">
        <v>193</v>
      </c>
      <c r="AA1243" s="30"/>
    </row>
    <row r="1244" spans="1:28" ht="30.75" hidden="1" customHeight="1">
      <c r="A1244" s="88">
        <v>1234</v>
      </c>
      <c r="B1244" s="79" t="s">
        <v>6106</v>
      </c>
      <c r="C1244" s="148" t="s">
        <v>8</v>
      </c>
      <c r="D1244" s="80" t="s">
        <v>63</v>
      </c>
      <c r="E1244" s="27" t="s">
        <v>1983</v>
      </c>
      <c r="F1244" s="80" t="s">
        <v>109</v>
      </c>
      <c r="G1244" s="81" t="s">
        <v>1041</v>
      </c>
      <c r="H1244" s="80" t="s">
        <v>1984</v>
      </c>
      <c r="I1244" s="92">
        <v>45762</v>
      </c>
      <c r="J1244" s="80" t="s">
        <v>3505</v>
      </c>
      <c r="K1244" s="80" t="s">
        <v>69</v>
      </c>
      <c r="L1244" s="84" t="s">
        <v>251</v>
      </c>
      <c r="M1244" s="84" t="s">
        <v>252</v>
      </c>
      <c r="N1244" s="84" t="s">
        <v>920</v>
      </c>
      <c r="O1244" s="129" t="s">
        <v>6107</v>
      </c>
      <c r="P1244" s="132" t="s">
        <v>6108</v>
      </c>
      <c r="Q1244" s="49" t="s">
        <v>91</v>
      </c>
      <c r="R1244" s="25"/>
      <c r="S1244" s="26">
        <v>14</v>
      </c>
      <c r="T1244" s="26"/>
      <c r="U1244" s="28" t="s">
        <v>6109</v>
      </c>
      <c r="V1244" s="66"/>
      <c r="W1244" s="106"/>
      <c r="X1244" s="106" t="s">
        <v>76</v>
      </c>
      <c r="Y1244" s="26" t="s">
        <v>76</v>
      </c>
      <c r="Z1244" s="75" t="s">
        <v>193</v>
      </c>
      <c r="AA1244" s="30"/>
      <c r="AB1244" s="25" t="s">
        <v>75</v>
      </c>
    </row>
    <row r="1245" spans="1:28" ht="30.75" hidden="1" customHeight="1">
      <c r="A1245" s="88">
        <v>1235</v>
      </c>
      <c r="B1245" s="79" t="s">
        <v>6110</v>
      </c>
      <c r="C1245" s="148" t="s">
        <v>8</v>
      </c>
      <c r="D1245" s="80" t="s">
        <v>63</v>
      </c>
      <c r="E1245" s="27" t="s">
        <v>3979</v>
      </c>
      <c r="F1245" s="80" t="s">
        <v>284</v>
      </c>
      <c r="G1245" s="81" t="s">
        <v>277</v>
      </c>
      <c r="H1245" s="80" t="s">
        <v>3980</v>
      </c>
      <c r="I1245" s="92">
        <v>45763</v>
      </c>
      <c r="J1245" s="80" t="s">
        <v>145</v>
      </c>
      <c r="K1245" s="80" t="s">
        <v>146</v>
      </c>
      <c r="L1245" s="84" t="s">
        <v>147</v>
      </c>
      <c r="M1245" s="84" t="s">
        <v>148</v>
      </c>
      <c r="N1245" s="84" t="s">
        <v>72</v>
      </c>
      <c r="O1245" s="129" t="s">
        <v>6111</v>
      </c>
      <c r="P1245" s="132" t="s">
        <v>6112</v>
      </c>
      <c r="Q1245" s="49" t="s">
        <v>75</v>
      </c>
      <c r="R1245" s="25" t="s">
        <v>91</v>
      </c>
      <c r="S1245" s="26">
        <v>18</v>
      </c>
      <c r="T1245" s="26">
        <v>60</v>
      </c>
      <c r="U1245" s="28" t="s">
        <v>6113</v>
      </c>
      <c r="V1245" s="66"/>
      <c r="W1245" s="106"/>
      <c r="X1245" s="106" t="s">
        <v>3375</v>
      </c>
      <c r="Y1245" s="26" t="s">
        <v>76</v>
      </c>
      <c r="Z1245" s="75" t="s">
        <v>76</v>
      </c>
      <c r="AA1245" s="30"/>
    </row>
    <row r="1246" spans="1:28" ht="30.75" hidden="1" customHeight="1">
      <c r="A1246" s="88">
        <v>1236</v>
      </c>
      <c r="B1246" s="79" t="s">
        <v>6114</v>
      </c>
      <c r="C1246" s="148" t="s">
        <v>8</v>
      </c>
      <c r="D1246" s="80" t="s">
        <v>63</v>
      </c>
      <c r="E1246" s="27" t="s">
        <v>3357</v>
      </c>
      <c r="F1246" s="80" t="s">
        <v>338</v>
      </c>
      <c r="G1246" s="81" t="s">
        <v>1522</v>
      </c>
      <c r="H1246" s="80" t="s">
        <v>3358</v>
      </c>
      <c r="I1246" s="92">
        <v>45763</v>
      </c>
      <c r="J1246" s="80" t="s">
        <v>3505</v>
      </c>
      <c r="K1246" s="80" t="s">
        <v>69</v>
      </c>
      <c r="L1246" s="84" t="s">
        <v>251</v>
      </c>
      <c r="M1246" s="84" t="s">
        <v>595</v>
      </c>
      <c r="N1246" s="84" t="s">
        <v>72</v>
      </c>
      <c r="O1246" s="129" t="s">
        <v>6115</v>
      </c>
      <c r="P1246" s="153" t="s">
        <v>6116</v>
      </c>
      <c r="Q1246" s="49" t="s">
        <v>91</v>
      </c>
      <c r="R1246" s="25"/>
      <c r="S1246" s="26">
        <v>14</v>
      </c>
      <c r="T1246" s="26"/>
      <c r="U1246" s="28" t="s">
        <v>6117</v>
      </c>
      <c r="V1246" s="66"/>
      <c r="W1246" s="106"/>
      <c r="X1246" s="106" t="s">
        <v>76</v>
      </c>
      <c r="Y1246" s="26" t="s">
        <v>76</v>
      </c>
      <c r="Z1246" s="75" t="s">
        <v>193</v>
      </c>
      <c r="AA1246" s="30"/>
    </row>
    <row r="1247" spans="1:28" ht="30.75" hidden="1" customHeight="1">
      <c r="A1247" s="88">
        <v>1237</v>
      </c>
      <c r="B1247" s="79" t="s">
        <v>6118</v>
      </c>
      <c r="C1247" s="148" t="s">
        <v>8</v>
      </c>
      <c r="D1247" s="80" t="s">
        <v>63</v>
      </c>
      <c r="E1247" s="27" t="s">
        <v>1582</v>
      </c>
      <c r="F1247" s="80" t="s">
        <v>109</v>
      </c>
      <c r="G1247" s="81" t="s">
        <v>1562</v>
      </c>
      <c r="H1247" s="80" t="s">
        <v>1583</v>
      </c>
      <c r="I1247" s="92">
        <v>45763</v>
      </c>
      <c r="J1247" s="80" t="s">
        <v>170</v>
      </c>
      <c r="K1247" s="80" t="s">
        <v>156</v>
      </c>
      <c r="L1247" s="84" t="s">
        <v>171</v>
      </c>
      <c r="M1247" s="84" t="s">
        <v>71</v>
      </c>
      <c r="N1247" s="84" t="s">
        <v>72</v>
      </c>
      <c r="O1247" s="129" t="s">
        <v>6119</v>
      </c>
      <c r="P1247" s="153" t="s">
        <v>6120</v>
      </c>
      <c r="Q1247" s="49" t="s">
        <v>91</v>
      </c>
      <c r="R1247" s="25"/>
      <c r="S1247" s="26">
        <v>16</v>
      </c>
      <c r="T1247" s="26"/>
      <c r="U1247" s="28" t="s">
        <v>6121</v>
      </c>
      <c r="V1247" s="66"/>
      <c r="W1247" s="106"/>
      <c r="X1247" s="106" t="s">
        <v>76</v>
      </c>
      <c r="Y1247" s="26" t="s">
        <v>76</v>
      </c>
      <c r="Z1247" s="75" t="s">
        <v>193</v>
      </c>
      <c r="AA1247" s="30"/>
    </row>
    <row r="1248" spans="1:28" ht="49.5" hidden="1" customHeight="1">
      <c r="A1248" s="88">
        <v>1238</v>
      </c>
      <c r="B1248" s="79" t="s">
        <v>6122</v>
      </c>
      <c r="C1248" s="148" t="s">
        <v>10</v>
      </c>
      <c r="D1248" s="80" t="s">
        <v>83</v>
      </c>
      <c r="E1248" s="27" t="s">
        <v>4130</v>
      </c>
      <c r="F1248" s="80" t="s">
        <v>338</v>
      </c>
      <c r="G1248" s="81" t="s">
        <v>3370</v>
      </c>
      <c r="H1248" s="80" t="s">
        <v>4131</v>
      </c>
      <c r="I1248" s="92">
        <v>45763</v>
      </c>
      <c r="J1248" s="80" t="s">
        <v>3517</v>
      </c>
      <c r="K1248" s="80" t="s">
        <v>3373</v>
      </c>
      <c r="L1248" s="84" t="s">
        <v>189</v>
      </c>
      <c r="M1248" s="84" t="s">
        <v>784</v>
      </c>
      <c r="N1248" s="84" t="s">
        <v>72</v>
      </c>
      <c r="O1248" s="308" t="s">
        <v>6123</v>
      </c>
      <c r="P1248" s="153" t="s">
        <v>6124</v>
      </c>
      <c r="Q1248" s="49" t="s">
        <v>75</v>
      </c>
      <c r="R1248" s="25" t="s">
        <v>91</v>
      </c>
      <c r="S1248" s="26">
        <v>22</v>
      </c>
      <c r="T1248" s="26">
        <v>63</v>
      </c>
      <c r="U1248" s="28" t="s">
        <v>6125</v>
      </c>
      <c r="V1248" s="66"/>
      <c r="W1248" s="106"/>
      <c r="X1248" s="106" t="s">
        <v>3375</v>
      </c>
      <c r="Y1248" s="26"/>
      <c r="Z1248" s="75" t="s">
        <v>106</v>
      </c>
      <c r="AA1248" s="30"/>
    </row>
    <row r="1249" spans="1:28" ht="56.25" hidden="1" customHeight="1">
      <c r="A1249" s="88">
        <v>1239</v>
      </c>
      <c r="B1249" s="79" t="s">
        <v>6126</v>
      </c>
      <c r="C1249" s="148" t="s">
        <v>8</v>
      </c>
      <c r="D1249" s="80" t="s">
        <v>63</v>
      </c>
      <c r="E1249" s="27" t="s">
        <v>3166</v>
      </c>
      <c r="F1249" s="80" t="s">
        <v>65</v>
      </c>
      <c r="G1249" s="81" t="s">
        <v>1701</v>
      </c>
      <c r="H1249" s="80" t="s">
        <v>3167</v>
      </c>
      <c r="I1249" s="92">
        <v>45763</v>
      </c>
      <c r="J1249" s="80" t="s">
        <v>3565</v>
      </c>
      <c r="K1249" s="80" t="s">
        <v>299</v>
      </c>
      <c r="L1249" s="84" t="s">
        <v>189</v>
      </c>
      <c r="M1249" s="84" t="s">
        <v>252</v>
      </c>
      <c r="N1249" s="84" t="s">
        <v>72</v>
      </c>
      <c r="O1249" s="129" t="s">
        <v>6127</v>
      </c>
      <c r="P1249" s="153" t="s">
        <v>6128</v>
      </c>
      <c r="Q1249" s="49" t="s">
        <v>91</v>
      </c>
      <c r="R1249" s="25"/>
      <c r="S1249" s="26">
        <v>9</v>
      </c>
      <c r="T1249" s="26"/>
      <c r="U1249" s="28" t="s">
        <v>6129</v>
      </c>
      <c r="V1249" s="66"/>
      <c r="W1249" s="106"/>
      <c r="X1249" s="106" t="s">
        <v>76</v>
      </c>
      <c r="Y1249" s="26" t="s">
        <v>76</v>
      </c>
      <c r="Z1249" s="75" t="s">
        <v>193</v>
      </c>
      <c r="AA1249" s="30"/>
    </row>
    <row r="1250" spans="1:28" ht="30.75" hidden="1" customHeight="1">
      <c r="A1250" s="88">
        <v>1240</v>
      </c>
      <c r="B1250" s="79" t="s">
        <v>6130</v>
      </c>
      <c r="C1250" s="148" t="s">
        <v>8</v>
      </c>
      <c r="D1250" s="80" t="s">
        <v>63</v>
      </c>
      <c r="E1250" s="27" t="s">
        <v>2761</v>
      </c>
      <c r="F1250" s="80" t="s">
        <v>284</v>
      </c>
      <c r="G1250" s="81" t="s">
        <v>2762</v>
      </c>
      <c r="H1250" s="80" t="s">
        <v>2763</v>
      </c>
      <c r="I1250" s="92">
        <v>45763</v>
      </c>
      <c r="J1250" s="80" t="s">
        <v>3565</v>
      </c>
      <c r="K1250" s="80" t="s">
        <v>299</v>
      </c>
      <c r="L1250" s="84" t="s">
        <v>189</v>
      </c>
      <c r="M1250" s="84" t="s">
        <v>252</v>
      </c>
      <c r="N1250" s="84" t="s">
        <v>72</v>
      </c>
      <c r="O1250" s="129" t="s">
        <v>6131</v>
      </c>
      <c r="P1250" s="153" t="s">
        <v>6132</v>
      </c>
      <c r="Q1250" s="49" t="s">
        <v>91</v>
      </c>
      <c r="R1250" s="25"/>
      <c r="S1250" s="26">
        <v>12</v>
      </c>
      <c r="T1250" s="26"/>
      <c r="U1250" s="28" t="s">
        <v>6133</v>
      </c>
      <c r="V1250" s="66"/>
      <c r="W1250" s="106"/>
      <c r="X1250" s="106" t="s">
        <v>76</v>
      </c>
      <c r="Y1250" s="26" t="s">
        <v>76</v>
      </c>
      <c r="Z1250" s="75" t="s">
        <v>193</v>
      </c>
      <c r="AA1250" s="30"/>
      <c r="AB1250" s="25" t="s">
        <v>75</v>
      </c>
    </row>
    <row r="1251" spans="1:28" ht="80.25" hidden="1" customHeight="1">
      <c r="A1251" s="88">
        <v>1241</v>
      </c>
      <c r="B1251" s="79" t="s">
        <v>6134</v>
      </c>
      <c r="C1251" s="148" t="s">
        <v>8</v>
      </c>
      <c r="D1251" s="80" t="s">
        <v>63</v>
      </c>
      <c r="E1251" s="27" t="s">
        <v>3357</v>
      </c>
      <c r="F1251" s="80" t="s">
        <v>338</v>
      </c>
      <c r="G1251" s="81" t="s">
        <v>1522</v>
      </c>
      <c r="H1251" s="80" t="s">
        <v>3358</v>
      </c>
      <c r="I1251" s="92">
        <v>45764</v>
      </c>
      <c r="J1251" s="80" t="s">
        <v>3505</v>
      </c>
      <c r="K1251" s="80" t="s">
        <v>69</v>
      </c>
      <c r="L1251" s="84" t="s">
        <v>100</v>
      </c>
      <c r="M1251" s="84" t="s">
        <v>252</v>
      </c>
      <c r="N1251" s="84" t="s">
        <v>72</v>
      </c>
      <c r="O1251" s="129" t="s">
        <v>6135</v>
      </c>
      <c r="P1251" s="153" t="s">
        <v>6136</v>
      </c>
      <c r="Q1251" s="49" t="s">
        <v>75</v>
      </c>
      <c r="R1251" s="25" t="s">
        <v>91</v>
      </c>
      <c r="S1251" s="26">
        <v>20</v>
      </c>
      <c r="T1251" s="26">
        <v>48</v>
      </c>
      <c r="U1251" s="28" t="s">
        <v>6137</v>
      </c>
      <c r="V1251" s="66"/>
      <c r="W1251" s="106"/>
      <c r="X1251" s="106" t="s">
        <v>3375</v>
      </c>
      <c r="Y1251" s="26" t="s">
        <v>76</v>
      </c>
      <c r="Z1251" s="75" t="s">
        <v>93</v>
      </c>
      <c r="AA1251" s="30"/>
    </row>
    <row r="1252" spans="1:28" ht="30.75" hidden="1" customHeight="1">
      <c r="A1252" s="88">
        <v>1242</v>
      </c>
      <c r="B1252" s="79" t="s">
        <v>6138</v>
      </c>
      <c r="C1252" s="148" t="s">
        <v>8</v>
      </c>
      <c r="D1252" s="80" t="s">
        <v>63</v>
      </c>
      <c r="E1252" s="27" t="s">
        <v>3357</v>
      </c>
      <c r="F1252" s="80" t="s">
        <v>338</v>
      </c>
      <c r="G1252" s="81" t="s">
        <v>1522</v>
      </c>
      <c r="H1252" s="80" t="s">
        <v>3358</v>
      </c>
      <c r="I1252" s="92">
        <v>45764</v>
      </c>
      <c r="J1252" s="80" t="s">
        <v>3505</v>
      </c>
      <c r="K1252" s="80" t="s">
        <v>69</v>
      </c>
      <c r="L1252" s="84" t="s">
        <v>100</v>
      </c>
      <c r="M1252" s="84" t="s">
        <v>252</v>
      </c>
      <c r="N1252" s="84" t="s">
        <v>72</v>
      </c>
      <c r="O1252" s="129" t="s">
        <v>6139</v>
      </c>
      <c r="P1252" s="153" t="s">
        <v>6140</v>
      </c>
      <c r="Q1252" s="49" t="s">
        <v>91</v>
      </c>
      <c r="R1252" s="25"/>
      <c r="S1252" s="26"/>
      <c r="T1252" s="26"/>
      <c r="U1252" s="28" t="s">
        <v>6141</v>
      </c>
      <c r="V1252" s="66"/>
      <c r="W1252" s="106"/>
      <c r="X1252" s="106" t="s">
        <v>76</v>
      </c>
      <c r="Y1252" s="26" t="s">
        <v>76</v>
      </c>
      <c r="Z1252" s="75" t="s">
        <v>193</v>
      </c>
      <c r="AA1252" s="30"/>
      <c r="AB1252" s="25" t="s">
        <v>75</v>
      </c>
    </row>
    <row r="1253" spans="1:28" ht="30.75" hidden="1" customHeight="1">
      <c r="A1253" s="88">
        <v>1243</v>
      </c>
      <c r="B1253" s="79" t="s">
        <v>6142</v>
      </c>
      <c r="C1253" s="148" t="s">
        <v>8</v>
      </c>
      <c r="D1253" s="80" t="s">
        <v>63</v>
      </c>
      <c r="E1253" s="27" t="s">
        <v>3357</v>
      </c>
      <c r="F1253" s="80" t="s">
        <v>338</v>
      </c>
      <c r="G1253" s="81" t="s">
        <v>1522</v>
      </c>
      <c r="H1253" s="80" t="s">
        <v>3358</v>
      </c>
      <c r="I1253" s="92">
        <v>45764</v>
      </c>
      <c r="J1253" s="80" t="s">
        <v>3505</v>
      </c>
      <c r="K1253" s="80" t="s">
        <v>69</v>
      </c>
      <c r="L1253" s="84" t="s">
        <v>100</v>
      </c>
      <c r="M1253" s="84" t="s">
        <v>252</v>
      </c>
      <c r="N1253" s="84" t="s">
        <v>72</v>
      </c>
      <c r="O1253" s="129" t="s">
        <v>6143</v>
      </c>
      <c r="P1253" s="153" t="s">
        <v>6144</v>
      </c>
      <c r="Q1253" s="49" t="s">
        <v>75</v>
      </c>
      <c r="R1253" s="25" t="s">
        <v>504</v>
      </c>
      <c r="S1253" s="26">
        <v>20</v>
      </c>
      <c r="T1253" s="26"/>
      <c r="U1253" s="28" t="s">
        <v>6145</v>
      </c>
      <c r="V1253" s="66"/>
      <c r="W1253" s="106"/>
      <c r="X1253" s="106" t="s">
        <v>3375</v>
      </c>
      <c r="Y1253" s="26" t="s">
        <v>76</v>
      </c>
      <c r="Z1253" s="75" t="s">
        <v>106</v>
      </c>
      <c r="AA1253" s="30"/>
    </row>
    <row r="1254" spans="1:28" ht="82.5" hidden="1">
      <c r="A1254" s="88">
        <v>1244</v>
      </c>
      <c r="B1254" s="79" t="s">
        <v>6146</v>
      </c>
      <c r="C1254" s="148" t="s">
        <v>10</v>
      </c>
      <c r="D1254" s="80" t="s">
        <v>63</v>
      </c>
      <c r="E1254" s="27" t="s">
        <v>6147</v>
      </c>
      <c r="F1254" s="80" t="s">
        <v>109</v>
      </c>
      <c r="G1254" s="81" t="s">
        <v>6148</v>
      </c>
      <c r="H1254" s="80" t="s">
        <v>6149</v>
      </c>
      <c r="I1254" s="92">
        <v>45765</v>
      </c>
      <c r="J1254" s="80" t="s">
        <v>4066</v>
      </c>
      <c r="K1254" s="80" t="s">
        <v>491</v>
      </c>
      <c r="L1254" s="84" t="s">
        <v>10</v>
      </c>
      <c r="M1254" s="84" t="s">
        <v>252</v>
      </c>
      <c r="N1254" s="84" t="s">
        <v>72</v>
      </c>
      <c r="O1254" s="308" t="s">
        <v>6150</v>
      </c>
      <c r="P1254" s="153" t="s">
        <v>6151</v>
      </c>
      <c r="Q1254" s="49" t="s">
        <v>75</v>
      </c>
      <c r="R1254" s="25" t="s">
        <v>91</v>
      </c>
      <c r="S1254" s="26">
        <v>18</v>
      </c>
      <c r="T1254" s="26"/>
      <c r="U1254" s="28" t="s">
        <v>6152</v>
      </c>
      <c r="V1254" s="66"/>
      <c r="W1254" s="106"/>
      <c r="X1254" s="106" t="s">
        <v>3375</v>
      </c>
      <c r="Y1254" s="26" t="s">
        <v>76</v>
      </c>
      <c r="Z1254" s="75" t="s">
        <v>76</v>
      </c>
      <c r="AA1254" s="30"/>
    </row>
    <row r="1255" spans="1:28" ht="132" hidden="1">
      <c r="A1255" s="88">
        <v>1245</v>
      </c>
      <c r="B1255" s="79" t="s">
        <v>6153</v>
      </c>
      <c r="C1255" s="148" t="s">
        <v>10</v>
      </c>
      <c r="D1255" s="80" t="s">
        <v>63</v>
      </c>
      <c r="E1255" s="27" t="s">
        <v>3854</v>
      </c>
      <c r="F1255" s="80" t="s">
        <v>120</v>
      </c>
      <c r="G1255" s="81" t="s">
        <v>3855</v>
      </c>
      <c r="H1255" s="80" t="s">
        <v>3856</v>
      </c>
      <c r="I1255" s="92">
        <v>45765</v>
      </c>
      <c r="J1255" s="80" t="s">
        <v>4066</v>
      </c>
      <c r="K1255" s="80" t="s">
        <v>1654</v>
      </c>
      <c r="L1255" s="84" t="s">
        <v>10</v>
      </c>
      <c r="M1255" s="84" t="s">
        <v>252</v>
      </c>
      <c r="N1255" s="84" t="s">
        <v>72</v>
      </c>
      <c r="O1255" s="308" t="s">
        <v>6154</v>
      </c>
      <c r="P1255" s="153" t="s">
        <v>6155</v>
      </c>
      <c r="Q1255" s="49" t="s">
        <v>75</v>
      </c>
      <c r="R1255" s="25" t="s">
        <v>91</v>
      </c>
      <c r="S1255" s="26">
        <v>24</v>
      </c>
      <c r="T1255" s="26">
        <v>42</v>
      </c>
      <c r="U1255" s="28" t="s">
        <v>6156</v>
      </c>
      <c r="V1255" s="66"/>
      <c r="W1255" s="106"/>
      <c r="X1255" s="106" t="s">
        <v>3375</v>
      </c>
      <c r="Y1255" s="26"/>
      <c r="Z1255" s="75" t="s">
        <v>93</v>
      </c>
      <c r="AA1255" s="30"/>
    </row>
    <row r="1256" spans="1:28" ht="30.75" hidden="1" customHeight="1">
      <c r="A1256" s="88">
        <v>1246</v>
      </c>
      <c r="B1256" s="79" t="s">
        <v>6157</v>
      </c>
      <c r="C1256" s="148" t="s">
        <v>10</v>
      </c>
      <c r="D1256" s="80" t="s">
        <v>63</v>
      </c>
      <c r="E1256" s="27" t="s">
        <v>6158</v>
      </c>
      <c r="F1256" s="80" t="s">
        <v>120</v>
      </c>
      <c r="G1256" s="81" t="s">
        <v>3103</v>
      </c>
      <c r="H1256" s="80" t="s">
        <v>6159</v>
      </c>
      <c r="I1256" s="92">
        <v>45765</v>
      </c>
      <c r="J1256" s="80" t="s">
        <v>3505</v>
      </c>
      <c r="K1256" s="80" t="s">
        <v>69</v>
      </c>
      <c r="L1256" s="84" t="s">
        <v>251</v>
      </c>
      <c r="M1256" s="84" t="s">
        <v>252</v>
      </c>
      <c r="N1256" s="84" t="s">
        <v>72</v>
      </c>
      <c r="O1256" s="308" t="s">
        <v>6160</v>
      </c>
      <c r="P1256" s="153" t="s">
        <v>6161</v>
      </c>
      <c r="Q1256" s="49" t="s">
        <v>91</v>
      </c>
      <c r="R1256" s="25"/>
      <c r="S1256" s="26">
        <v>12</v>
      </c>
      <c r="T1256" s="26"/>
      <c r="U1256" s="28" t="s">
        <v>6162</v>
      </c>
      <c r="V1256" s="66"/>
      <c r="W1256" s="106"/>
      <c r="X1256" s="106" t="s">
        <v>76</v>
      </c>
      <c r="Y1256" s="26" t="s">
        <v>76</v>
      </c>
      <c r="Z1256" s="75" t="s">
        <v>193</v>
      </c>
      <c r="AA1256" s="30"/>
    </row>
    <row r="1257" spans="1:28" ht="57" hidden="1" customHeight="1">
      <c r="A1257" s="88">
        <v>1247</v>
      </c>
      <c r="B1257" s="79" t="s">
        <v>6163</v>
      </c>
      <c r="C1257" s="148" t="s">
        <v>8</v>
      </c>
      <c r="D1257" s="80" t="s">
        <v>83</v>
      </c>
      <c r="E1257" s="27" t="s">
        <v>668</v>
      </c>
      <c r="F1257" s="80" t="s">
        <v>338</v>
      </c>
      <c r="G1257" s="81" t="s">
        <v>669</v>
      </c>
      <c r="H1257" s="80" t="s">
        <v>670</v>
      </c>
      <c r="I1257" s="92">
        <v>45765</v>
      </c>
      <c r="J1257" s="80" t="s">
        <v>3505</v>
      </c>
      <c r="K1257" s="80" t="s">
        <v>69</v>
      </c>
      <c r="L1257" s="84" t="s">
        <v>251</v>
      </c>
      <c r="M1257" s="84" t="s">
        <v>252</v>
      </c>
      <c r="N1257" s="84" t="s">
        <v>920</v>
      </c>
      <c r="O1257" s="129" t="s">
        <v>6164</v>
      </c>
      <c r="P1257" s="153" t="s">
        <v>6165</v>
      </c>
      <c r="Q1257" s="49" t="s">
        <v>75</v>
      </c>
      <c r="R1257" s="25" t="s">
        <v>504</v>
      </c>
      <c r="S1257" s="26">
        <v>24</v>
      </c>
      <c r="T1257" s="26"/>
      <c r="U1257" s="28" t="s">
        <v>6166</v>
      </c>
      <c r="V1257" s="66"/>
      <c r="W1257" s="106"/>
      <c r="X1257" s="106" t="s">
        <v>3375</v>
      </c>
      <c r="Y1257" s="26" t="s">
        <v>76</v>
      </c>
      <c r="Z1257" s="75" t="s">
        <v>106</v>
      </c>
      <c r="AA1257" s="30"/>
    </row>
    <row r="1258" spans="1:28" ht="28.5" hidden="1" customHeight="1">
      <c r="A1258" s="88">
        <v>1248</v>
      </c>
      <c r="B1258" s="79" t="s">
        <v>6167</v>
      </c>
      <c r="C1258" s="148" t="s">
        <v>8</v>
      </c>
      <c r="D1258" s="80" t="s">
        <v>63</v>
      </c>
      <c r="E1258" s="27" t="s">
        <v>3254</v>
      </c>
      <c r="F1258" s="80" t="s">
        <v>65</v>
      </c>
      <c r="G1258" s="81" t="s">
        <v>818</v>
      </c>
      <c r="H1258" s="80" t="s">
        <v>3255</v>
      </c>
      <c r="I1258" s="92">
        <v>45768</v>
      </c>
      <c r="J1258" s="80" t="s">
        <v>3505</v>
      </c>
      <c r="K1258" s="80" t="s">
        <v>69</v>
      </c>
      <c r="L1258" s="84" t="s">
        <v>70</v>
      </c>
      <c r="M1258" s="84" t="s">
        <v>595</v>
      </c>
      <c r="N1258" s="84" t="s">
        <v>920</v>
      </c>
      <c r="O1258" s="129" t="s">
        <v>6168</v>
      </c>
      <c r="P1258" s="153" t="s">
        <v>6169</v>
      </c>
      <c r="Q1258" s="49" t="s">
        <v>75</v>
      </c>
      <c r="R1258" s="25" t="s">
        <v>91</v>
      </c>
      <c r="S1258" s="26">
        <v>18</v>
      </c>
      <c r="T1258" s="26">
        <v>42</v>
      </c>
      <c r="U1258" s="28" t="s">
        <v>6170</v>
      </c>
      <c r="V1258" s="66"/>
      <c r="W1258" s="106"/>
      <c r="X1258" s="106" t="s">
        <v>3375</v>
      </c>
      <c r="Y1258" s="26" t="s">
        <v>76</v>
      </c>
      <c r="Z1258" s="75" t="s">
        <v>93</v>
      </c>
      <c r="AA1258" s="30"/>
    </row>
    <row r="1259" spans="1:28" ht="28.5" hidden="1" customHeight="1">
      <c r="A1259" s="88">
        <v>1249</v>
      </c>
      <c r="B1259" s="79" t="s">
        <v>6171</v>
      </c>
      <c r="C1259" s="148" t="s">
        <v>10</v>
      </c>
      <c r="D1259" s="80" t="s">
        <v>63</v>
      </c>
      <c r="E1259" s="27" t="s">
        <v>5882</v>
      </c>
      <c r="F1259" s="80" t="s">
        <v>120</v>
      </c>
      <c r="G1259" s="81" t="s">
        <v>5843</v>
      </c>
      <c r="H1259" s="80" t="s">
        <v>5883</v>
      </c>
      <c r="I1259" s="92">
        <v>45768</v>
      </c>
      <c r="J1259" s="80" t="s">
        <v>3505</v>
      </c>
      <c r="K1259" s="80" t="s">
        <v>69</v>
      </c>
      <c r="L1259" s="84" t="s">
        <v>251</v>
      </c>
      <c r="M1259" s="84" t="s">
        <v>252</v>
      </c>
      <c r="N1259" s="84" t="s">
        <v>920</v>
      </c>
      <c r="O1259" s="308" t="s">
        <v>6172</v>
      </c>
      <c r="P1259" s="153" t="s">
        <v>6173</v>
      </c>
      <c r="Q1259" s="49" t="s">
        <v>91</v>
      </c>
      <c r="R1259" s="25"/>
      <c r="S1259" s="26">
        <v>12</v>
      </c>
      <c r="T1259" s="26"/>
      <c r="U1259" s="28" t="s">
        <v>6174</v>
      </c>
      <c r="V1259" s="66"/>
      <c r="W1259" s="106"/>
      <c r="X1259" s="106" t="s">
        <v>76</v>
      </c>
      <c r="Y1259" s="26" t="s">
        <v>76</v>
      </c>
      <c r="Z1259" s="75" t="s">
        <v>193</v>
      </c>
      <c r="AA1259" s="30"/>
    </row>
    <row r="1260" spans="1:28" ht="28.5" hidden="1" customHeight="1">
      <c r="A1260" s="88">
        <v>1250</v>
      </c>
      <c r="B1260" s="79" t="s">
        <v>6175</v>
      </c>
      <c r="C1260" s="148" t="s">
        <v>8</v>
      </c>
      <c r="D1260" s="80" t="s">
        <v>63</v>
      </c>
      <c r="E1260" s="27" t="s">
        <v>3979</v>
      </c>
      <c r="F1260" s="80" t="s">
        <v>284</v>
      </c>
      <c r="G1260" s="81" t="s">
        <v>277</v>
      </c>
      <c r="H1260" s="80" t="s">
        <v>3980</v>
      </c>
      <c r="I1260" s="92">
        <v>45769</v>
      </c>
      <c r="J1260" s="80" t="s">
        <v>3494</v>
      </c>
      <c r="K1260" s="80" t="s">
        <v>198</v>
      </c>
      <c r="L1260" s="84" t="s">
        <v>199</v>
      </c>
      <c r="M1260" s="84" t="s">
        <v>200</v>
      </c>
      <c r="N1260" s="84" t="s">
        <v>72</v>
      </c>
      <c r="O1260" s="129" t="s">
        <v>6176</v>
      </c>
      <c r="P1260" s="153" t="s">
        <v>6177</v>
      </c>
      <c r="Q1260" s="49" t="s">
        <v>75</v>
      </c>
      <c r="R1260" s="25" t="s">
        <v>91</v>
      </c>
      <c r="S1260" s="26">
        <v>18</v>
      </c>
      <c r="T1260" s="26">
        <v>60</v>
      </c>
      <c r="U1260" s="28" t="s">
        <v>6069</v>
      </c>
      <c r="V1260" s="66"/>
      <c r="W1260" s="106"/>
      <c r="X1260" s="106" t="s">
        <v>3375</v>
      </c>
      <c r="Y1260" s="26" t="s">
        <v>76</v>
      </c>
      <c r="Z1260" s="75" t="s">
        <v>76</v>
      </c>
      <c r="AA1260" s="30"/>
    </row>
    <row r="1261" spans="1:28" ht="28.5" hidden="1" customHeight="1">
      <c r="A1261" s="88">
        <v>1251</v>
      </c>
      <c r="B1261" s="79" t="s">
        <v>6178</v>
      </c>
      <c r="C1261" s="148" t="s">
        <v>10</v>
      </c>
      <c r="D1261" s="80" t="s">
        <v>63</v>
      </c>
      <c r="E1261" s="27" t="s">
        <v>5882</v>
      </c>
      <c r="F1261" s="80" t="s">
        <v>120</v>
      </c>
      <c r="G1261" s="81" t="s">
        <v>5843</v>
      </c>
      <c r="H1261" s="80" t="s">
        <v>5883</v>
      </c>
      <c r="I1261" s="92">
        <v>45769</v>
      </c>
      <c r="J1261" s="80" t="s">
        <v>3505</v>
      </c>
      <c r="K1261" s="80" t="s">
        <v>69</v>
      </c>
      <c r="L1261" s="84" t="s">
        <v>251</v>
      </c>
      <c r="M1261" s="84" t="s">
        <v>252</v>
      </c>
      <c r="N1261" s="84" t="s">
        <v>253</v>
      </c>
      <c r="O1261" s="308" t="s">
        <v>6179</v>
      </c>
      <c r="P1261" s="153" t="s">
        <v>6180</v>
      </c>
      <c r="Q1261" s="49" t="s">
        <v>75</v>
      </c>
      <c r="R1261" s="25" t="s">
        <v>91</v>
      </c>
      <c r="S1261" s="26">
        <v>18</v>
      </c>
      <c r="T1261" s="26">
        <v>42</v>
      </c>
      <c r="U1261" s="28" t="s">
        <v>6181</v>
      </c>
      <c r="V1261" s="66"/>
      <c r="W1261" s="106"/>
      <c r="X1261" s="106" t="s">
        <v>3375</v>
      </c>
      <c r="Y1261" s="26" t="s">
        <v>76</v>
      </c>
      <c r="Z1261" s="75" t="s">
        <v>93</v>
      </c>
      <c r="AA1261" s="30"/>
    </row>
    <row r="1262" spans="1:28" ht="28.5" hidden="1" customHeight="1">
      <c r="A1262" s="88">
        <v>1252</v>
      </c>
      <c r="B1262" s="79" t="s">
        <v>6182</v>
      </c>
      <c r="C1262" s="148" t="s">
        <v>8</v>
      </c>
      <c r="D1262" s="80" t="s">
        <v>63</v>
      </c>
      <c r="E1262" s="27" t="s">
        <v>3357</v>
      </c>
      <c r="F1262" s="80" t="s">
        <v>338</v>
      </c>
      <c r="G1262" s="81" t="s">
        <v>1522</v>
      </c>
      <c r="H1262" s="80" t="s">
        <v>3358</v>
      </c>
      <c r="I1262" s="92">
        <v>45769</v>
      </c>
      <c r="J1262" s="80" t="s">
        <v>3505</v>
      </c>
      <c r="K1262" s="80" t="s">
        <v>69</v>
      </c>
      <c r="L1262" s="84" t="s">
        <v>251</v>
      </c>
      <c r="M1262" s="84" t="s">
        <v>252</v>
      </c>
      <c r="N1262" s="84" t="s">
        <v>72</v>
      </c>
      <c r="O1262" s="129" t="s">
        <v>6183</v>
      </c>
      <c r="P1262" s="153" t="s">
        <v>6184</v>
      </c>
      <c r="Q1262" s="49" t="s">
        <v>91</v>
      </c>
      <c r="R1262" s="25"/>
      <c r="S1262" s="26">
        <v>12</v>
      </c>
      <c r="T1262" s="26"/>
      <c r="U1262" s="28" t="s">
        <v>6185</v>
      </c>
      <c r="V1262" s="66"/>
      <c r="W1262" s="106"/>
      <c r="X1262" s="106" t="s">
        <v>76</v>
      </c>
      <c r="Y1262" s="26" t="s">
        <v>76</v>
      </c>
      <c r="Z1262" s="75" t="s">
        <v>193</v>
      </c>
      <c r="AA1262" s="30"/>
    </row>
    <row r="1263" spans="1:28" ht="28.5" hidden="1" customHeight="1">
      <c r="A1263" s="88">
        <v>1253</v>
      </c>
      <c r="B1263" s="79" t="s">
        <v>6186</v>
      </c>
      <c r="C1263" s="148" t="s">
        <v>8</v>
      </c>
      <c r="D1263" s="80" t="s">
        <v>63</v>
      </c>
      <c r="E1263" s="27" t="s">
        <v>2600</v>
      </c>
      <c r="F1263" s="80" t="s">
        <v>120</v>
      </c>
      <c r="G1263" s="81" t="s">
        <v>1413</v>
      </c>
      <c r="H1263" s="80" t="s">
        <v>1949</v>
      </c>
      <c r="I1263" s="92">
        <v>45769</v>
      </c>
      <c r="J1263" s="80" t="s">
        <v>3505</v>
      </c>
      <c r="K1263" s="80" t="s">
        <v>69</v>
      </c>
      <c r="L1263" s="84" t="s">
        <v>251</v>
      </c>
      <c r="M1263" s="84" t="s">
        <v>252</v>
      </c>
      <c r="N1263" s="84" t="s">
        <v>253</v>
      </c>
      <c r="O1263" s="129" t="s">
        <v>6187</v>
      </c>
      <c r="P1263" s="153" t="s">
        <v>6188</v>
      </c>
      <c r="Q1263" s="49" t="s">
        <v>91</v>
      </c>
      <c r="R1263" s="25"/>
      <c r="S1263" s="26">
        <v>10</v>
      </c>
      <c r="T1263" s="26"/>
      <c r="U1263" s="28" t="s">
        <v>6189</v>
      </c>
      <c r="V1263" s="66"/>
      <c r="W1263" s="106"/>
      <c r="X1263" s="106" t="s">
        <v>76</v>
      </c>
      <c r="Y1263" s="26" t="s">
        <v>76</v>
      </c>
      <c r="Z1263" s="75" t="s">
        <v>193</v>
      </c>
      <c r="AA1263" s="30"/>
    </row>
    <row r="1264" spans="1:28" ht="28.5" hidden="1" customHeight="1">
      <c r="A1264" s="88">
        <v>1254</v>
      </c>
      <c r="B1264" s="79" t="s">
        <v>6190</v>
      </c>
      <c r="C1264" s="148" t="s">
        <v>8</v>
      </c>
      <c r="D1264" s="80" t="s">
        <v>63</v>
      </c>
      <c r="E1264" s="27" t="s">
        <v>6191</v>
      </c>
      <c r="F1264" s="80" t="s">
        <v>109</v>
      </c>
      <c r="G1264" s="81" t="s">
        <v>1132</v>
      </c>
      <c r="H1264" s="80" t="s">
        <v>6192</v>
      </c>
      <c r="I1264" s="92">
        <v>45769</v>
      </c>
      <c r="J1264" s="80" t="s">
        <v>3565</v>
      </c>
      <c r="K1264" s="80" t="s">
        <v>299</v>
      </c>
      <c r="L1264" s="84" t="s">
        <v>189</v>
      </c>
      <c r="M1264" s="84" t="s">
        <v>601</v>
      </c>
      <c r="N1264" s="84" t="s">
        <v>72</v>
      </c>
      <c r="O1264" s="129" t="s">
        <v>6193</v>
      </c>
      <c r="P1264" s="153" t="s">
        <v>6194</v>
      </c>
      <c r="Q1264" s="49" t="s">
        <v>91</v>
      </c>
      <c r="R1264" s="25"/>
      <c r="S1264" s="26">
        <v>12</v>
      </c>
      <c r="T1264" s="26"/>
      <c r="U1264" s="28" t="s">
        <v>6195</v>
      </c>
      <c r="V1264" s="66"/>
      <c r="W1264" s="106"/>
      <c r="X1264" s="106" t="s">
        <v>76</v>
      </c>
      <c r="Y1264" s="26" t="s">
        <v>76</v>
      </c>
      <c r="Z1264" s="75" t="s">
        <v>193</v>
      </c>
      <c r="AA1264" s="30"/>
    </row>
    <row r="1265" spans="1:28" ht="27.75" hidden="1" customHeight="1">
      <c r="A1265" s="88">
        <v>1255</v>
      </c>
      <c r="B1265" s="79" t="s">
        <v>6196</v>
      </c>
      <c r="C1265" s="148" t="s">
        <v>8</v>
      </c>
      <c r="D1265" s="80" t="s">
        <v>63</v>
      </c>
      <c r="E1265" s="27" t="s">
        <v>6191</v>
      </c>
      <c r="F1265" s="80" t="s">
        <v>109</v>
      </c>
      <c r="G1265" s="81" t="s">
        <v>1132</v>
      </c>
      <c r="H1265" s="80" t="s">
        <v>6192</v>
      </c>
      <c r="I1265" s="92">
        <v>45769</v>
      </c>
      <c r="J1265" s="80" t="s">
        <v>3565</v>
      </c>
      <c r="K1265" s="80" t="s">
        <v>299</v>
      </c>
      <c r="L1265" s="84" t="s">
        <v>189</v>
      </c>
      <c r="M1265" s="84" t="s">
        <v>601</v>
      </c>
      <c r="N1265" s="84" t="s">
        <v>72</v>
      </c>
      <c r="O1265" s="129" t="s">
        <v>6197</v>
      </c>
      <c r="P1265" s="153" t="s">
        <v>6198</v>
      </c>
      <c r="Q1265" s="49" t="s">
        <v>91</v>
      </c>
      <c r="R1265" s="25"/>
      <c r="S1265" s="26">
        <v>13</v>
      </c>
      <c r="T1265" s="26"/>
      <c r="U1265" s="28" t="s">
        <v>6195</v>
      </c>
      <c r="V1265" s="66"/>
      <c r="W1265" s="106"/>
      <c r="X1265" s="106" t="s">
        <v>76</v>
      </c>
      <c r="Y1265" s="26" t="s">
        <v>76</v>
      </c>
      <c r="Z1265" s="75" t="s">
        <v>193</v>
      </c>
      <c r="AA1265" s="30"/>
    </row>
    <row r="1266" spans="1:28" ht="27.75" hidden="1" customHeight="1">
      <c r="A1266" s="88">
        <v>1256</v>
      </c>
      <c r="B1266" s="79" t="s">
        <v>6199</v>
      </c>
      <c r="C1266" s="148" t="s">
        <v>8</v>
      </c>
      <c r="D1266" s="80" t="s">
        <v>63</v>
      </c>
      <c r="E1266" s="27" t="s">
        <v>6191</v>
      </c>
      <c r="F1266" s="80" t="s">
        <v>109</v>
      </c>
      <c r="G1266" s="81" t="s">
        <v>1132</v>
      </c>
      <c r="H1266" s="80" t="s">
        <v>6192</v>
      </c>
      <c r="I1266" s="92">
        <v>45769</v>
      </c>
      <c r="J1266" s="80" t="s">
        <v>3565</v>
      </c>
      <c r="K1266" s="80" t="s">
        <v>299</v>
      </c>
      <c r="L1266" s="84" t="s">
        <v>189</v>
      </c>
      <c r="M1266" s="84" t="s">
        <v>601</v>
      </c>
      <c r="N1266" s="84" t="s">
        <v>72</v>
      </c>
      <c r="O1266" s="129" t="s">
        <v>6200</v>
      </c>
      <c r="P1266" s="153" t="s">
        <v>6201</v>
      </c>
      <c r="Q1266" s="49" t="s">
        <v>91</v>
      </c>
      <c r="R1266" s="25"/>
      <c r="S1266" s="26">
        <v>13</v>
      </c>
      <c r="T1266" s="26"/>
      <c r="U1266" s="28" t="s">
        <v>6195</v>
      </c>
      <c r="V1266" s="66"/>
      <c r="W1266" s="106"/>
      <c r="X1266" s="106" t="s">
        <v>76</v>
      </c>
      <c r="Y1266" s="26" t="s">
        <v>76</v>
      </c>
      <c r="Z1266" s="75" t="s">
        <v>193</v>
      </c>
      <c r="AA1266" s="30"/>
    </row>
    <row r="1267" spans="1:28" ht="27.75" hidden="1" customHeight="1">
      <c r="A1267" s="88">
        <v>1257</v>
      </c>
      <c r="B1267" s="79" t="s">
        <v>6202</v>
      </c>
      <c r="C1267" s="148" t="s">
        <v>8</v>
      </c>
      <c r="D1267" s="80" t="s">
        <v>63</v>
      </c>
      <c r="E1267" s="27" t="s">
        <v>6191</v>
      </c>
      <c r="F1267" s="80" t="s">
        <v>109</v>
      </c>
      <c r="G1267" s="81" t="s">
        <v>1132</v>
      </c>
      <c r="H1267" s="80" t="s">
        <v>6192</v>
      </c>
      <c r="I1267" s="92">
        <v>45769</v>
      </c>
      <c r="J1267" s="80" t="s">
        <v>3565</v>
      </c>
      <c r="K1267" s="80" t="s">
        <v>299</v>
      </c>
      <c r="L1267" s="84" t="s">
        <v>189</v>
      </c>
      <c r="M1267" s="84" t="s">
        <v>601</v>
      </c>
      <c r="N1267" s="84" t="s">
        <v>72</v>
      </c>
      <c r="O1267" s="129" t="s">
        <v>6203</v>
      </c>
      <c r="P1267" s="153" t="s">
        <v>6204</v>
      </c>
      <c r="Q1267" s="49" t="s">
        <v>91</v>
      </c>
      <c r="R1267" s="25"/>
      <c r="S1267" s="26">
        <v>14</v>
      </c>
      <c r="T1267" s="26"/>
      <c r="U1267" s="28" t="s">
        <v>6195</v>
      </c>
      <c r="V1267" s="66"/>
      <c r="W1267" s="106"/>
      <c r="X1267" s="106" t="s">
        <v>76</v>
      </c>
      <c r="Y1267" s="26" t="s">
        <v>76</v>
      </c>
      <c r="Z1267" s="75" t="s">
        <v>193</v>
      </c>
      <c r="AA1267" s="30"/>
    </row>
    <row r="1268" spans="1:28" ht="27.75" hidden="1" customHeight="1">
      <c r="A1268" s="88">
        <v>1258</v>
      </c>
      <c r="B1268" s="79" t="s">
        <v>6205</v>
      </c>
      <c r="C1268" s="148" t="s">
        <v>8</v>
      </c>
      <c r="D1268" s="80" t="s">
        <v>63</v>
      </c>
      <c r="E1268" s="27" t="s">
        <v>6191</v>
      </c>
      <c r="F1268" s="80" t="s">
        <v>109</v>
      </c>
      <c r="G1268" s="81" t="s">
        <v>1132</v>
      </c>
      <c r="H1268" s="80" t="s">
        <v>6192</v>
      </c>
      <c r="I1268" s="92">
        <v>45769</v>
      </c>
      <c r="J1268" s="80" t="s">
        <v>3565</v>
      </c>
      <c r="K1268" s="80" t="s">
        <v>299</v>
      </c>
      <c r="L1268" s="84" t="s">
        <v>189</v>
      </c>
      <c r="M1268" s="84" t="s">
        <v>601</v>
      </c>
      <c r="N1268" s="84" t="s">
        <v>72</v>
      </c>
      <c r="O1268" s="129" t="s">
        <v>6206</v>
      </c>
      <c r="P1268" s="153" t="s">
        <v>6207</v>
      </c>
      <c r="Q1268" s="49" t="s">
        <v>91</v>
      </c>
      <c r="R1268" s="25"/>
      <c r="S1268" s="26">
        <v>9</v>
      </c>
      <c r="T1268" s="26"/>
      <c r="U1268" s="28" t="s">
        <v>6195</v>
      </c>
      <c r="V1268" s="66"/>
      <c r="W1268" s="106"/>
      <c r="X1268" s="106" t="s">
        <v>76</v>
      </c>
      <c r="Y1268" s="26" t="s">
        <v>76</v>
      </c>
      <c r="Z1268" s="75" t="s">
        <v>193</v>
      </c>
      <c r="AA1268" s="30"/>
    </row>
    <row r="1269" spans="1:28" ht="106.5" hidden="1" customHeight="1">
      <c r="A1269" s="88">
        <v>1259</v>
      </c>
      <c r="B1269" s="79" t="s">
        <v>6208</v>
      </c>
      <c r="C1269" s="148" t="s">
        <v>8</v>
      </c>
      <c r="D1269" s="80" t="s">
        <v>63</v>
      </c>
      <c r="E1269" s="27" t="s">
        <v>6191</v>
      </c>
      <c r="F1269" s="80" t="s">
        <v>109</v>
      </c>
      <c r="G1269" s="81" t="s">
        <v>1132</v>
      </c>
      <c r="H1269" s="80" t="s">
        <v>6192</v>
      </c>
      <c r="I1269" s="92">
        <v>45769</v>
      </c>
      <c r="J1269" s="80" t="s">
        <v>3505</v>
      </c>
      <c r="K1269" s="80" t="s">
        <v>69</v>
      </c>
      <c r="L1269" s="84" t="s">
        <v>100</v>
      </c>
      <c r="M1269" s="84" t="s">
        <v>601</v>
      </c>
      <c r="N1269" s="84" t="s">
        <v>72</v>
      </c>
      <c r="O1269" s="129" t="s">
        <v>6209</v>
      </c>
      <c r="P1269" s="153" t="s">
        <v>6210</v>
      </c>
      <c r="Q1269" s="49" t="s">
        <v>91</v>
      </c>
      <c r="R1269" s="25"/>
      <c r="S1269" s="26">
        <v>12</v>
      </c>
      <c r="T1269" s="26"/>
      <c r="U1269" s="149" t="s">
        <v>6211</v>
      </c>
      <c r="V1269" s="66"/>
      <c r="W1269" s="106"/>
      <c r="X1269" s="106" t="s">
        <v>76</v>
      </c>
      <c r="Y1269" s="26" t="s">
        <v>76</v>
      </c>
      <c r="Z1269" s="75" t="s">
        <v>193</v>
      </c>
      <c r="AA1269" s="30"/>
    </row>
    <row r="1270" spans="1:28" ht="67.5" hidden="1" customHeight="1">
      <c r="A1270" s="88">
        <v>1260</v>
      </c>
      <c r="B1270" s="79" t="s">
        <v>6212</v>
      </c>
      <c r="C1270" s="148" t="s">
        <v>8</v>
      </c>
      <c r="D1270" s="80" t="s">
        <v>63</v>
      </c>
      <c r="E1270" s="27" t="s">
        <v>6191</v>
      </c>
      <c r="F1270" s="80" t="s">
        <v>109</v>
      </c>
      <c r="G1270" s="81" t="s">
        <v>1132</v>
      </c>
      <c r="H1270" s="80" t="s">
        <v>6192</v>
      </c>
      <c r="I1270" s="92">
        <v>45769</v>
      </c>
      <c r="J1270" s="80" t="s">
        <v>3505</v>
      </c>
      <c r="K1270" s="80" t="s">
        <v>69</v>
      </c>
      <c r="L1270" s="84" t="s">
        <v>100</v>
      </c>
      <c r="M1270" s="84" t="s">
        <v>601</v>
      </c>
      <c r="N1270" s="84" t="s">
        <v>72</v>
      </c>
      <c r="O1270" s="129" t="s">
        <v>6213</v>
      </c>
      <c r="P1270" s="153" t="s">
        <v>6213</v>
      </c>
      <c r="Q1270" s="49" t="s">
        <v>91</v>
      </c>
      <c r="R1270" s="25"/>
      <c r="S1270" s="26">
        <v>14</v>
      </c>
      <c r="T1270" s="26"/>
      <c r="U1270" s="28" t="s">
        <v>6214</v>
      </c>
      <c r="V1270" s="66"/>
      <c r="W1270" s="106"/>
      <c r="X1270" s="106" t="s">
        <v>76</v>
      </c>
      <c r="Y1270" s="26" t="s">
        <v>76</v>
      </c>
      <c r="Z1270" s="75" t="s">
        <v>193</v>
      </c>
      <c r="AA1270" s="30"/>
    </row>
    <row r="1271" spans="1:28" ht="39.75" hidden="1" customHeight="1">
      <c r="A1271" s="88">
        <v>1261</v>
      </c>
      <c r="B1271" s="79" t="s">
        <v>6215</v>
      </c>
      <c r="C1271" s="148" t="s">
        <v>8</v>
      </c>
      <c r="D1271" s="80" t="s">
        <v>63</v>
      </c>
      <c r="E1271" s="27" t="s">
        <v>6191</v>
      </c>
      <c r="F1271" s="80" t="s">
        <v>109</v>
      </c>
      <c r="G1271" s="81" t="s">
        <v>1132</v>
      </c>
      <c r="H1271" s="80" t="s">
        <v>6192</v>
      </c>
      <c r="I1271" s="92">
        <v>45769</v>
      </c>
      <c r="J1271" s="80" t="s">
        <v>3565</v>
      </c>
      <c r="K1271" s="80" t="s">
        <v>299</v>
      </c>
      <c r="L1271" s="84" t="s">
        <v>189</v>
      </c>
      <c r="M1271" s="84" t="s">
        <v>601</v>
      </c>
      <c r="N1271" s="84" t="s">
        <v>72</v>
      </c>
      <c r="O1271" s="129" t="s">
        <v>6216</v>
      </c>
      <c r="P1271" s="153" t="s">
        <v>6217</v>
      </c>
      <c r="Q1271" s="49" t="s">
        <v>75</v>
      </c>
      <c r="R1271" s="25" t="s">
        <v>91</v>
      </c>
      <c r="S1271" s="26">
        <v>20</v>
      </c>
      <c r="T1271" s="26">
        <v>57</v>
      </c>
      <c r="U1271" s="28"/>
      <c r="V1271" s="66"/>
      <c r="W1271" s="106"/>
      <c r="X1271" s="106" t="s">
        <v>3375</v>
      </c>
      <c r="Y1271" s="26" t="s">
        <v>76</v>
      </c>
      <c r="Z1271" s="93" t="s">
        <v>93</v>
      </c>
      <c r="AA1271" s="30"/>
    </row>
    <row r="1272" spans="1:28" ht="27.75" hidden="1" customHeight="1">
      <c r="A1272" s="88">
        <v>1262</v>
      </c>
      <c r="B1272" s="79" t="s">
        <v>6218</v>
      </c>
      <c r="C1272" s="148" t="s">
        <v>8</v>
      </c>
      <c r="D1272" s="80" t="s">
        <v>63</v>
      </c>
      <c r="E1272" s="27" t="s">
        <v>6191</v>
      </c>
      <c r="F1272" s="80" t="s">
        <v>109</v>
      </c>
      <c r="G1272" s="81" t="s">
        <v>1132</v>
      </c>
      <c r="H1272" s="80" t="s">
        <v>6192</v>
      </c>
      <c r="I1272" s="92">
        <v>45769</v>
      </c>
      <c r="J1272" s="80" t="s">
        <v>3505</v>
      </c>
      <c r="K1272" s="80" t="s">
        <v>69</v>
      </c>
      <c r="L1272" s="84" t="s">
        <v>100</v>
      </c>
      <c r="M1272" s="84" t="s">
        <v>601</v>
      </c>
      <c r="N1272" s="84" t="s">
        <v>72</v>
      </c>
      <c r="O1272" s="129" t="s">
        <v>6219</v>
      </c>
      <c r="P1272" s="153" t="s">
        <v>6220</v>
      </c>
      <c r="Q1272" s="49" t="s">
        <v>75</v>
      </c>
      <c r="R1272" s="25" t="s">
        <v>91</v>
      </c>
      <c r="S1272" s="26">
        <v>20</v>
      </c>
      <c r="T1272" s="55" t="s">
        <v>6221</v>
      </c>
      <c r="U1272" s="28" t="s">
        <v>6222</v>
      </c>
      <c r="V1272" s="66"/>
      <c r="W1272" s="106"/>
      <c r="X1272" s="106" t="s">
        <v>3375</v>
      </c>
      <c r="Y1272" s="26" t="s">
        <v>76</v>
      </c>
      <c r="Z1272" s="75" t="s">
        <v>93</v>
      </c>
      <c r="AA1272" s="30"/>
    </row>
    <row r="1273" spans="1:28" ht="30.75" hidden="1" customHeight="1">
      <c r="A1273" s="88">
        <v>1263</v>
      </c>
      <c r="B1273" s="79" t="s">
        <v>6223</v>
      </c>
      <c r="C1273" s="148" t="s">
        <v>8</v>
      </c>
      <c r="D1273" s="80" t="s">
        <v>63</v>
      </c>
      <c r="E1273" s="27" t="s">
        <v>3208</v>
      </c>
      <c r="F1273" s="80" t="s">
        <v>65</v>
      </c>
      <c r="G1273" s="81" t="s">
        <v>2762</v>
      </c>
      <c r="H1273" s="80" t="s">
        <v>3209</v>
      </c>
      <c r="I1273" s="92">
        <v>45770</v>
      </c>
      <c r="J1273" s="80" t="s">
        <v>3505</v>
      </c>
      <c r="K1273" s="80" t="s">
        <v>69</v>
      </c>
      <c r="L1273" s="84" t="s">
        <v>251</v>
      </c>
      <c r="M1273" s="84" t="s">
        <v>252</v>
      </c>
      <c r="N1273" s="84" t="s">
        <v>72</v>
      </c>
      <c r="O1273" s="129" t="s">
        <v>6224</v>
      </c>
      <c r="P1273" s="153" t="s">
        <v>6225</v>
      </c>
      <c r="Q1273" s="49" t="s">
        <v>91</v>
      </c>
      <c r="R1273" s="25"/>
      <c r="S1273" s="26">
        <v>16</v>
      </c>
      <c r="T1273" s="26"/>
      <c r="U1273" s="28" t="s">
        <v>6226</v>
      </c>
      <c r="V1273" s="66"/>
      <c r="W1273" s="106"/>
      <c r="X1273" s="106" t="s">
        <v>76</v>
      </c>
      <c r="Y1273" s="26" t="s">
        <v>76</v>
      </c>
      <c r="Z1273" s="75" t="s">
        <v>193</v>
      </c>
      <c r="AA1273" s="30"/>
    </row>
    <row r="1274" spans="1:28" ht="30.75" hidden="1" customHeight="1">
      <c r="A1274" s="88">
        <v>1264</v>
      </c>
      <c r="B1274" s="79" t="s">
        <v>6227</v>
      </c>
      <c r="C1274" s="148" t="s">
        <v>10</v>
      </c>
      <c r="D1274" s="80" t="s">
        <v>83</v>
      </c>
      <c r="E1274" s="27" t="s">
        <v>4071</v>
      </c>
      <c r="F1274" s="80" t="s">
        <v>109</v>
      </c>
      <c r="G1274" s="81" t="s">
        <v>4064</v>
      </c>
      <c r="H1274" s="80" t="s">
        <v>4072</v>
      </c>
      <c r="I1274" s="92">
        <v>45770</v>
      </c>
      <c r="J1274" s="80" t="s">
        <v>3505</v>
      </c>
      <c r="K1274" s="80" t="s">
        <v>3373</v>
      </c>
      <c r="L1274" s="84" t="s">
        <v>251</v>
      </c>
      <c r="M1274" s="84" t="s">
        <v>252</v>
      </c>
      <c r="N1274" s="84" t="s">
        <v>72</v>
      </c>
      <c r="O1274" s="308" t="s">
        <v>6228</v>
      </c>
      <c r="P1274" s="153" t="s">
        <v>6229</v>
      </c>
      <c r="Q1274" s="49" t="s">
        <v>75</v>
      </c>
      <c r="R1274" s="25" t="s">
        <v>75</v>
      </c>
      <c r="S1274" s="26">
        <v>21</v>
      </c>
      <c r="T1274" s="26">
        <v>73</v>
      </c>
      <c r="U1274" s="28" t="s">
        <v>6230</v>
      </c>
      <c r="V1274" s="66" t="s">
        <v>75</v>
      </c>
      <c r="W1274" s="106" t="s">
        <v>949</v>
      </c>
      <c r="X1274" s="106" t="s">
        <v>3375</v>
      </c>
      <c r="Y1274" s="26" t="s">
        <v>3375</v>
      </c>
      <c r="Z1274" s="75" t="s">
        <v>76</v>
      </c>
      <c r="AA1274" s="30"/>
    </row>
    <row r="1275" spans="1:28" ht="30.75" hidden="1" customHeight="1">
      <c r="A1275" s="88">
        <v>1265</v>
      </c>
      <c r="B1275" s="79" t="s">
        <v>6231</v>
      </c>
      <c r="C1275" s="148" t="s">
        <v>10</v>
      </c>
      <c r="D1275" s="80" t="s">
        <v>63</v>
      </c>
      <c r="E1275" s="27" t="s">
        <v>6232</v>
      </c>
      <c r="F1275" s="80" t="s">
        <v>120</v>
      </c>
      <c r="G1275" s="81" t="s">
        <v>6233</v>
      </c>
      <c r="H1275" s="80" t="s">
        <v>6234</v>
      </c>
      <c r="I1275" s="92">
        <v>45770</v>
      </c>
      <c r="J1275" s="80" t="s">
        <v>3505</v>
      </c>
      <c r="K1275" s="80" t="s">
        <v>3373</v>
      </c>
      <c r="L1275" s="84" t="s">
        <v>251</v>
      </c>
      <c r="M1275" s="84" t="s">
        <v>252</v>
      </c>
      <c r="N1275" s="84" t="s">
        <v>72</v>
      </c>
      <c r="O1275" s="308" t="s">
        <v>6235</v>
      </c>
      <c r="P1275" s="153" t="s">
        <v>6236</v>
      </c>
      <c r="Q1275" s="49" t="s">
        <v>91</v>
      </c>
      <c r="R1275" s="25"/>
      <c r="S1275" s="26">
        <v>15</v>
      </c>
      <c r="T1275" s="26"/>
      <c r="U1275" s="28" t="s">
        <v>6237</v>
      </c>
      <c r="V1275" s="66"/>
      <c r="W1275" s="106"/>
      <c r="X1275" s="106" t="s">
        <v>76</v>
      </c>
      <c r="Y1275" s="26" t="s">
        <v>76</v>
      </c>
      <c r="Z1275" s="75" t="s">
        <v>193</v>
      </c>
      <c r="AA1275" s="30"/>
      <c r="AB1275" s="25" t="s">
        <v>75</v>
      </c>
    </row>
    <row r="1276" spans="1:28" ht="30.75" hidden="1" customHeight="1">
      <c r="A1276" s="88">
        <v>1266</v>
      </c>
      <c r="B1276" s="79" t="s">
        <v>6238</v>
      </c>
      <c r="C1276" s="148" t="s">
        <v>10</v>
      </c>
      <c r="D1276" s="80" t="s">
        <v>63</v>
      </c>
      <c r="E1276" s="27" t="s">
        <v>6239</v>
      </c>
      <c r="F1276" s="80" t="s">
        <v>65</v>
      </c>
      <c r="G1276" s="81" t="s">
        <v>5893</v>
      </c>
      <c r="H1276" s="80" t="s">
        <v>6240</v>
      </c>
      <c r="I1276" s="92">
        <v>45770</v>
      </c>
      <c r="J1276" s="80" t="s">
        <v>3505</v>
      </c>
      <c r="K1276" s="80" t="s">
        <v>69</v>
      </c>
      <c r="L1276" s="84" t="s">
        <v>251</v>
      </c>
      <c r="M1276" s="84" t="s">
        <v>252</v>
      </c>
      <c r="N1276" s="84" t="s">
        <v>72</v>
      </c>
      <c r="O1276" s="308" t="s">
        <v>6241</v>
      </c>
      <c r="P1276" s="153" t="s">
        <v>6242</v>
      </c>
      <c r="Q1276" s="49" t="s">
        <v>91</v>
      </c>
      <c r="R1276" s="25"/>
      <c r="S1276" s="26">
        <v>12</v>
      </c>
      <c r="T1276" s="26"/>
      <c r="U1276" s="28" t="s">
        <v>6243</v>
      </c>
      <c r="V1276" s="66"/>
      <c r="W1276" s="106"/>
      <c r="X1276" s="106" t="s">
        <v>76</v>
      </c>
      <c r="Y1276" s="26" t="s">
        <v>76</v>
      </c>
      <c r="Z1276" s="75" t="s">
        <v>193</v>
      </c>
      <c r="AA1276" s="30"/>
    </row>
    <row r="1277" spans="1:28" ht="30.75" hidden="1" customHeight="1">
      <c r="A1277" s="88">
        <v>1267</v>
      </c>
      <c r="B1277" s="79" t="s">
        <v>6244</v>
      </c>
      <c r="C1277" s="148" t="s">
        <v>8</v>
      </c>
      <c r="D1277" s="80" t="s">
        <v>63</v>
      </c>
      <c r="E1277" s="27" t="s">
        <v>1983</v>
      </c>
      <c r="F1277" s="80" t="s">
        <v>109</v>
      </c>
      <c r="G1277" s="81" t="s">
        <v>1041</v>
      </c>
      <c r="H1277" s="80" t="s">
        <v>1984</v>
      </c>
      <c r="I1277" s="92">
        <v>45770</v>
      </c>
      <c r="J1277" s="80" t="s">
        <v>6245</v>
      </c>
      <c r="K1277" s="80" t="s">
        <v>299</v>
      </c>
      <c r="L1277" s="84" t="s">
        <v>189</v>
      </c>
      <c r="M1277" s="84" t="s">
        <v>2640</v>
      </c>
      <c r="N1277" s="84" t="s">
        <v>72</v>
      </c>
      <c r="O1277" s="129" t="s">
        <v>6246</v>
      </c>
      <c r="P1277" s="153" t="s">
        <v>6247</v>
      </c>
      <c r="Q1277" s="49" t="s">
        <v>91</v>
      </c>
      <c r="R1277" s="25"/>
      <c r="S1277" s="26">
        <v>11</v>
      </c>
      <c r="T1277" s="26"/>
      <c r="U1277" s="28" t="s">
        <v>2502</v>
      </c>
      <c r="V1277" s="66"/>
      <c r="W1277" s="106"/>
      <c r="X1277" s="106" t="s">
        <v>76</v>
      </c>
      <c r="Y1277" s="26" t="s">
        <v>76</v>
      </c>
      <c r="Z1277" s="75" t="s">
        <v>193</v>
      </c>
      <c r="AA1277" s="30"/>
      <c r="AB1277" s="25" t="s">
        <v>75</v>
      </c>
    </row>
    <row r="1278" spans="1:28" ht="30.75" hidden="1" customHeight="1">
      <c r="A1278" s="88">
        <v>1268</v>
      </c>
      <c r="B1278" s="79" t="s">
        <v>6248</v>
      </c>
      <c r="C1278" s="148" t="s">
        <v>10</v>
      </c>
      <c r="D1278" s="80" t="s">
        <v>63</v>
      </c>
      <c r="E1278" s="27" t="s">
        <v>6249</v>
      </c>
      <c r="F1278" s="80" t="s">
        <v>120</v>
      </c>
      <c r="G1278" s="81" t="s">
        <v>6250</v>
      </c>
      <c r="H1278" s="80" t="s">
        <v>6251</v>
      </c>
      <c r="I1278" s="92">
        <v>45770</v>
      </c>
      <c r="J1278" s="80" t="s">
        <v>3517</v>
      </c>
      <c r="K1278" s="80" t="s">
        <v>3373</v>
      </c>
      <c r="L1278" s="84" t="s">
        <v>189</v>
      </c>
      <c r="M1278" s="84" t="s">
        <v>200</v>
      </c>
      <c r="N1278" s="84" t="s">
        <v>72</v>
      </c>
      <c r="O1278" s="308" t="s">
        <v>6252</v>
      </c>
      <c r="P1278" s="153" t="s">
        <v>6253</v>
      </c>
      <c r="Q1278" s="49" t="s">
        <v>75</v>
      </c>
      <c r="R1278" s="25" t="s">
        <v>91</v>
      </c>
      <c r="S1278" s="26">
        <v>22</v>
      </c>
      <c r="T1278" s="26">
        <v>46</v>
      </c>
      <c r="U1278" s="28" t="s">
        <v>6254</v>
      </c>
      <c r="V1278" s="66"/>
      <c r="W1278" s="106"/>
      <c r="X1278" s="106" t="s">
        <v>3375</v>
      </c>
      <c r="Y1278" s="26" t="s">
        <v>76</v>
      </c>
      <c r="Z1278" s="75" t="s">
        <v>93</v>
      </c>
      <c r="AA1278" s="30"/>
    </row>
    <row r="1279" spans="1:28" ht="30.75" hidden="1" customHeight="1">
      <c r="A1279" s="88">
        <v>1269</v>
      </c>
      <c r="B1279" s="79" t="s">
        <v>6255</v>
      </c>
      <c r="C1279" s="148" t="s">
        <v>8</v>
      </c>
      <c r="D1279" s="80" t="s">
        <v>63</v>
      </c>
      <c r="E1279" s="27" t="s">
        <v>3555</v>
      </c>
      <c r="F1279" s="80" t="s">
        <v>65</v>
      </c>
      <c r="G1279" s="81" t="s">
        <v>2762</v>
      </c>
      <c r="H1279" s="80" t="s">
        <v>3556</v>
      </c>
      <c r="I1279" s="92">
        <v>45771</v>
      </c>
      <c r="J1279" s="80" t="s">
        <v>6245</v>
      </c>
      <c r="K1279" s="80" t="s">
        <v>299</v>
      </c>
      <c r="L1279" s="84" t="s">
        <v>189</v>
      </c>
      <c r="M1279" s="84" t="s">
        <v>2640</v>
      </c>
      <c r="N1279" s="84" t="s">
        <v>72</v>
      </c>
      <c r="O1279" s="129" t="s">
        <v>6256</v>
      </c>
      <c r="P1279" s="153" t="s">
        <v>6257</v>
      </c>
      <c r="Q1279" s="49" t="s">
        <v>75</v>
      </c>
      <c r="R1279" s="25" t="s">
        <v>91</v>
      </c>
      <c r="S1279" s="26">
        <v>20</v>
      </c>
      <c r="T1279" s="26">
        <v>59</v>
      </c>
      <c r="U1279" s="28" t="s">
        <v>6258</v>
      </c>
      <c r="V1279" s="66"/>
      <c r="W1279" s="106"/>
      <c r="X1279" s="106" t="s">
        <v>3375</v>
      </c>
      <c r="Y1279" s="26" t="s">
        <v>76</v>
      </c>
      <c r="Z1279" s="93" t="s">
        <v>93</v>
      </c>
      <c r="AA1279" s="30"/>
    </row>
    <row r="1280" spans="1:28" ht="189.75" hidden="1" customHeight="1">
      <c r="A1280" s="88">
        <v>1270</v>
      </c>
      <c r="B1280" s="79" t="s">
        <v>6259</v>
      </c>
      <c r="C1280" s="148" t="s">
        <v>10</v>
      </c>
      <c r="D1280" s="80" t="s">
        <v>63</v>
      </c>
      <c r="E1280" s="27" t="s">
        <v>3854</v>
      </c>
      <c r="F1280" s="80" t="s">
        <v>120</v>
      </c>
      <c r="G1280" s="81" t="s">
        <v>3855</v>
      </c>
      <c r="H1280" s="80" t="s">
        <v>3856</v>
      </c>
      <c r="I1280" s="92">
        <v>45771</v>
      </c>
      <c r="J1280" s="80" t="s">
        <v>3505</v>
      </c>
      <c r="K1280" s="80" t="s">
        <v>69</v>
      </c>
      <c r="L1280" s="84" t="s">
        <v>100</v>
      </c>
      <c r="M1280" s="84" t="s">
        <v>252</v>
      </c>
      <c r="N1280" s="84" t="s">
        <v>72</v>
      </c>
      <c r="O1280" s="308" t="s">
        <v>6260</v>
      </c>
      <c r="P1280" s="153" t="s">
        <v>6261</v>
      </c>
      <c r="Q1280" s="49" t="s">
        <v>75</v>
      </c>
      <c r="R1280" s="25" t="s">
        <v>91</v>
      </c>
      <c r="S1280" s="26">
        <v>20</v>
      </c>
      <c r="T1280" s="26">
        <v>52</v>
      </c>
      <c r="U1280" s="149" t="s">
        <v>6262</v>
      </c>
      <c r="V1280" s="66"/>
      <c r="W1280" s="106"/>
      <c r="X1280" s="106" t="s">
        <v>3375</v>
      </c>
      <c r="Y1280" s="26" t="s">
        <v>76</v>
      </c>
      <c r="Z1280" s="75" t="s">
        <v>93</v>
      </c>
      <c r="AA1280" s="30"/>
    </row>
    <row r="1281" spans="1:28" ht="30.75" hidden="1" customHeight="1">
      <c r="A1281" s="88">
        <v>1271</v>
      </c>
      <c r="B1281" s="79" t="s">
        <v>6263</v>
      </c>
      <c r="C1281" s="148" t="s">
        <v>8</v>
      </c>
      <c r="D1281" s="80" t="s">
        <v>63</v>
      </c>
      <c r="E1281" s="27" t="s">
        <v>3946</v>
      </c>
      <c r="F1281" s="80" t="s">
        <v>284</v>
      </c>
      <c r="G1281" s="81" t="s">
        <v>2762</v>
      </c>
      <c r="H1281" s="80" t="s">
        <v>3947</v>
      </c>
      <c r="I1281" s="92">
        <v>45771</v>
      </c>
      <c r="J1281" s="80" t="s">
        <v>6245</v>
      </c>
      <c r="K1281" s="80" t="s">
        <v>299</v>
      </c>
      <c r="L1281" s="84" t="s">
        <v>189</v>
      </c>
      <c r="M1281" s="84" t="s">
        <v>2640</v>
      </c>
      <c r="N1281" s="84" t="s">
        <v>72</v>
      </c>
      <c r="O1281" s="129" t="s">
        <v>6264</v>
      </c>
      <c r="P1281" s="153" t="s">
        <v>6265</v>
      </c>
      <c r="Q1281" s="49" t="s">
        <v>75</v>
      </c>
      <c r="R1281" s="25" t="s">
        <v>91</v>
      </c>
      <c r="S1281" s="26">
        <v>21</v>
      </c>
      <c r="T1281" s="26">
        <v>60</v>
      </c>
      <c r="U1281" s="28" t="s">
        <v>6266</v>
      </c>
      <c r="V1281" s="66"/>
      <c r="W1281" s="106"/>
      <c r="X1281" s="106" t="s">
        <v>3375</v>
      </c>
      <c r="Y1281" s="26" t="s">
        <v>76</v>
      </c>
      <c r="Z1281" s="93" t="s">
        <v>93</v>
      </c>
      <c r="AA1281" s="30"/>
    </row>
    <row r="1282" spans="1:28" ht="43.5" hidden="1" customHeight="1">
      <c r="A1282" s="88">
        <v>1272</v>
      </c>
      <c r="B1282" s="79" t="s">
        <v>6267</v>
      </c>
      <c r="C1282" s="148" t="s">
        <v>10</v>
      </c>
      <c r="D1282" s="80" t="s">
        <v>63</v>
      </c>
      <c r="E1282" s="27" t="s">
        <v>6232</v>
      </c>
      <c r="F1282" s="80" t="s">
        <v>120</v>
      </c>
      <c r="G1282" s="81" t="s">
        <v>6233</v>
      </c>
      <c r="H1282" s="80" t="s">
        <v>6234</v>
      </c>
      <c r="I1282" s="92">
        <v>45775</v>
      </c>
      <c r="J1282" s="80" t="s">
        <v>6245</v>
      </c>
      <c r="K1282" s="80" t="s">
        <v>3373</v>
      </c>
      <c r="L1282" s="84" t="s">
        <v>189</v>
      </c>
      <c r="M1282" s="84" t="s">
        <v>2640</v>
      </c>
      <c r="N1282" s="84" t="s">
        <v>72</v>
      </c>
      <c r="O1282" s="308" t="s">
        <v>6268</v>
      </c>
      <c r="P1282" s="153" t="s">
        <v>6269</v>
      </c>
      <c r="Q1282" s="49" t="s">
        <v>75</v>
      </c>
      <c r="R1282" s="25" t="s">
        <v>91</v>
      </c>
      <c r="S1282" s="26">
        <v>21</v>
      </c>
      <c r="T1282" s="26">
        <v>46</v>
      </c>
      <c r="U1282" s="28" t="s">
        <v>6270</v>
      </c>
      <c r="V1282" s="66"/>
      <c r="W1282" s="106"/>
      <c r="X1282" s="106" t="s">
        <v>3375</v>
      </c>
      <c r="Y1282" s="26" t="s">
        <v>76</v>
      </c>
      <c r="Z1282" s="75" t="s">
        <v>93</v>
      </c>
      <c r="AA1282" s="30"/>
    </row>
    <row r="1283" spans="1:28" ht="99" hidden="1">
      <c r="A1283" s="88">
        <v>1273</v>
      </c>
      <c r="B1283" s="79" t="s">
        <v>6271</v>
      </c>
      <c r="C1283" s="148" t="s">
        <v>10</v>
      </c>
      <c r="D1283" s="80" t="s">
        <v>63</v>
      </c>
      <c r="E1283" s="27" t="s">
        <v>6232</v>
      </c>
      <c r="F1283" s="80" t="s">
        <v>120</v>
      </c>
      <c r="G1283" s="81" t="s">
        <v>6233</v>
      </c>
      <c r="H1283" s="80" t="s">
        <v>6234</v>
      </c>
      <c r="I1283" s="92">
        <v>45776</v>
      </c>
      <c r="J1283" s="80" t="s">
        <v>3505</v>
      </c>
      <c r="K1283" s="80" t="s">
        <v>69</v>
      </c>
      <c r="L1283" s="84" t="s">
        <v>251</v>
      </c>
      <c r="M1283" s="84" t="s">
        <v>252</v>
      </c>
      <c r="N1283" s="84" t="s">
        <v>72</v>
      </c>
      <c r="O1283" s="308" t="s">
        <v>6272</v>
      </c>
      <c r="P1283" s="153" t="s">
        <v>6273</v>
      </c>
      <c r="Q1283" s="49" t="s">
        <v>91</v>
      </c>
      <c r="R1283" s="25"/>
      <c r="S1283" s="26">
        <v>14</v>
      </c>
      <c r="T1283" s="26"/>
      <c r="U1283" s="28" t="s">
        <v>6274</v>
      </c>
      <c r="V1283" s="66"/>
      <c r="W1283" s="106"/>
      <c r="X1283" s="106" t="s">
        <v>76</v>
      </c>
      <c r="Y1283" s="26" t="s">
        <v>76</v>
      </c>
      <c r="Z1283" s="75" t="s">
        <v>193</v>
      </c>
      <c r="AA1283" s="30"/>
    </row>
    <row r="1284" spans="1:28" ht="30.75" hidden="1" customHeight="1">
      <c r="A1284" s="88">
        <v>1274</v>
      </c>
      <c r="B1284" s="79" t="s">
        <v>6275</v>
      </c>
      <c r="C1284" s="148" t="s">
        <v>8</v>
      </c>
      <c r="D1284" s="80" t="s">
        <v>63</v>
      </c>
      <c r="E1284" s="27" t="s">
        <v>6276</v>
      </c>
      <c r="F1284" s="80" t="s">
        <v>120</v>
      </c>
      <c r="G1284" s="81" t="s">
        <v>277</v>
      </c>
      <c r="H1284" s="80" t="s">
        <v>6277</v>
      </c>
      <c r="I1284" s="92">
        <v>45776</v>
      </c>
      <c r="J1284" s="80" t="s">
        <v>3565</v>
      </c>
      <c r="K1284" s="80" t="s">
        <v>198</v>
      </c>
      <c r="L1284" s="84" t="s">
        <v>189</v>
      </c>
      <c r="M1284" s="84" t="s">
        <v>252</v>
      </c>
      <c r="N1284" s="84" t="s">
        <v>72</v>
      </c>
      <c r="O1284" s="129" t="s">
        <v>6278</v>
      </c>
      <c r="P1284" s="153" t="s">
        <v>6279</v>
      </c>
      <c r="Q1284" s="49" t="s">
        <v>75</v>
      </c>
      <c r="R1284" s="25" t="s">
        <v>91</v>
      </c>
      <c r="S1284" s="26">
        <v>18</v>
      </c>
      <c r="T1284" s="26">
        <v>60</v>
      </c>
      <c r="U1284" s="28" t="s">
        <v>6280</v>
      </c>
      <c r="V1284" s="66"/>
      <c r="W1284" s="106"/>
      <c r="X1284" s="106" t="s">
        <v>3375</v>
      </c>
      <c r="Y1284" s="26" t="s">
        <v>76</v>
      </c>
      <c r="Z1284" s="75" t="s">
        <v>76</v>
      </c>
      <c r="AA1284" s="30"/>
    </row>
    <row r="1285" spans="1:28" ht="25.5" hidden="1" customHeight="1">
      <c r="A1285" s="88">
        <v>1275</v>
      </c>
      <c r="B1285" s="79" t="s">
        <v>6281</v>
      </c>
      <c r="C1285" s="148" t="s">
        <v>10</v>
      </c>
      <c r="D1285" s="80" t="s">
        <v>63</v>
      </c>
      <c r="E1285" s="27" t="s">
        <v>6282</v>
      </c>
      <c r="F1285" s="80" t="s">
        <v>109</v>
      </c>
      <c r="G1285" s="81" t="s">
        <v>6283</v>
      </c>
      <c r="H1285" s="80" t="s">
        <v>6284</v>
      </c>
      <c r="I1285" s="92">
        <v>45776</v>
      </c>
      <c r="J1285" s="80" t="s">
        <v>3505</v>
      </c>
      <c r="K1285" s="80" t="s">
        <v>69</v>
      </c>
      <c r="L1285" s="84" t="s">
        <v>100</v>
      </c>
      <c r="M1285" s="84" t="s">
        <v>252</v>
      </c>
      <c r="N1285" s="84" t="s">
        <v>72</v>
      </c>
      <c r="O1285" s="308" t="s">
        <v>6285</v>
      </c>
      <c r="P1285" s="153" t="s">
        <v>6286</v>
      </c>
      <c r="Q1285" s="49" t="s">
        <v>91</v>
      </c>
      <c r="R1285" s="25"/>
      <c r="S1285" s="55" t="s">
        <v>6287</v>
      </c>
      <c r="T1285" s="26"/>
      <c r="U1285" s="28" t="s">
        <v>6097</v>
      </c>
      <c r="V1285" s="66"/>
      <c r="W1285" s="106"/>
      <c r="X1285" s="106" t="s">
        <v>76</v>
      </c>
      <c r="Y1285" s="26" t="s">
        <v>76</v>
      </c>
      <c r="Z1285" s="75" t="s">
        <v>193</v>
      </c>
      <c r="AA1285" s="30"/>
      <c r="AB1285" s="25" t="s">
        <v>75</v>
      </c>
    </row>
    <row r="1286" spans="1:28" ht="49.5" hidden="1">
      <c r="A1286" s="88">
        <v>1276</v>
      </c>
      <c r="B1286" s="79" t="s">
        <v>6288</v>
      </c>
      <c r="C1286" s="148" t="s">
        <v>8</v>
      </c>
      <c r="D1286" s="80" t="s">
        <v>63</v>
      </c>
      <c r="E1286" s="27" t="s">
        <v>6289</v>
      </c>
      <c r="F1286" s="80" t="s">
        <v>65</v>
      </c>
      <c r="G1286" s="81" t="s">
        <v>277</v>
      </c>
      <c r="H1286" s="80" t="s">
        <v>2533</v>
      </c>
      <c r="I1286" s="92">
        <v>45777</v>
      </c>
      <c r="J1286" s="80" t="s">
        <v>3494</v>
      </c>
      <c r="K1286" s="80" t="s">
        <v>198</v>
      </c>
      <c r="L1286" s="84" t="s">
        <v>199</v>
      </c>
      <c r="M1286" s="84" t="s">
        <v>200</v>
      </c>
      <c r="N1286" s="84" t="s">
        <v>72</v>
      </c>
      <c r="O1286" s="129" t="s">
        <v>6290</v>
      </c>
      <c r="P1286" s="153" t="s">
        <v>6291</v>
      </c>
      <c r="Q1286" s="49" t="s">
        <v>75</v>
      </c>
      <c r="R1286" s="25" t="s">
        <v>91</v>
      </c>
      <c r="S1286" s="26">
        <v>18</v>
      </c>
      <c r="T1286" s="26">
        <v>68</v>
      </c>
      <c r="U1286" s="28" t="s">
        <v>6292</v>
      </c>
      <c r="V1286" s="66"/>
      <c r="W1286" s="106"/>
      <c r="X1286" s="106" t="s">
        <v>3375</v>
      </c>
      <c r="Y1286" s="26" t="s">
        <v>76</v>
      </c>
      <c r="Z1286" s="75" t="s">
        <v>76</v>
      </c>
      <c r="AA1286" s="30" t="s">
        <v>1536</v>
      </c>
    </row>
    <row r="1287" spans="1:28" ht="25.5" hidden="1" customHeight="1">
      <c r="A1287" s="88">
        <v>1277</v>
      </c>
      <c r="B1287" s="79" t="s">
        <v>6293</v>
      </c>
      <c r="C1287" s="148" t="s">
        <v>8</v>
      </c>
      <c r="D1287" s="80" t="s">
        <v>63</v>
      </c>
      <c r="E1287" s="27" t="s">
        <v>6276</v>
      </c>
      <c r="F1287" s="80" t="s">
        <v>120</v>
      </c>
      <c r="G1287" s="81" t="s">
        <v>277</v>
      </c>
      <c r="H1287" s="80" t="s">
        <v>6277</v>
      </c>
      <c r="I1287" s="92">
        <v>45777</v>
      </c>
      <c r="J1287" s="80" t="s">
        <v>3494</v>
      </c>
      <c r="K1287" s="80" t="s">
        <v>198</v>
      </c>
      <c r="L1287" s="84" t="s">
        <v>199</v>
      </c>
      <c r="M1287" s="84" t="s">
        <v>200</v>
      </c>
      <c r="N1287" s="84" t="s">
        <v>72</v>
      </c>
      <c r="O1287" s="129" t="s">
        <v>6294</v>
      </c>
      <c r="P1287" s="153" t="s">
        <v>6295</v>
      </c>
      <c r="Q1287" s="49" t="s">
        <v>75</v>
      </c>
      <c r="R1287" s="25" t="s">
        <v>91</v>
      </c>
      <c r="S1287" s="26">
        <v>18</v>
      </c>
      <c r="T1287" s="26">
        <v>60</v>
      </c>
      <c r="U1287" s="28" t="s">
        <v>6296</v>
      </c>
      <c r="V1287" s="66"/>
      <c r="W1287" s="106"/>
      <c r="X1287" s="106" t="s">
        <v>3375</v>
      </c>
      <c r="Y1287" s="26" t="s">
        <v>76</v>
      </c>
      <c r="Z1287" s="75" t="s">
        <v>76</v>
      </c>
      <c r="AA1287" s="30"/>
    </row>
    <row r="1288" spans="1:28" ht="25.5" hidden="1" customHeight="1">
      <c r="A1288" s="88">
        <v>1278</v>
      </c>
      <c r="B1288" s="79" t="s">
        <v>6297</v>
      </c>
      <c r="C1288" s="148" t="s">
        <v>8</v>
      </c>
      <c r="D1288" s="80" t="s">
        <v>63</v>
      </c>
      <c r="E1288" s="27" t="s">
        <v>1591</v>
      </c>
      <c r="F1288" s="80" t="s">
        <v>109</v>
      </c>
      <c r="G1288" s="81" t="s">
        <v>1132</v>
      </c>
      <c r="H1288" s="80" t="s">
        <v>1592</v>
      </c>
      <c r="I1288" s="92">
        <v>45779</v>
      </c>
      <c r="J1288" s="80" t="s">
        <v>6298</v>
      </c>
      <c r="K1288" s="80" t="s">
        <v>156</v>
      </c>
      <c r="L1288" s="84" t="s">
        <v>171</v>
      </c>
      <c r="M1288" s="84" t="s">
        <v>114</v>
      </c>
      <c r="N1288" s="84" t="s">
        <v>72</v>
      </c>
      <c r="O1288" s="129" t="s">
        <v>6299</v>
      </c>
      <c r="P1288" s="153" t="s">
        <v>6300</v>
      </c>
      <c r="Q1288" s="49" t="s">
        <v>75</v>
      </c>
      <c r="R1288" s="25" t="s">
        <v>91</v>
      </c>
      <c r="S1288" s="26">
        <v>18</v>
      </c>
      <c r="T1288" s="26">
        <v>66</v>
      </c>
      <c r="U1288" s="28" t="s">
        <v>6301</v>
      </c>
      <c r="V1288" s="66"/>
      <c r="W1288" s="106"/>
      <c r="X1288" s="106" t="s">
        <v>3375</v>
      </c>
      <c r="Y1288" s="26" t="s">
        <v>76</v>
      </c>
      <c r="Z1288" s="75" t="s">
        <v>93</v>
      </c>
      <c r="AA1288" s="30"/>
    </row>
    <row r="1289" spans="1:28" ht="25.5" hidden="1" customHeight="1">
      <c r="A1289" s="88">
        <v>1279</v>
      </c>
      <c r="B1289" s="79" t="s">
        <v>6302</v>
      </c>
      <c r="C1289" s="148" t="s">
        <v>8</v>
      </c>
      <c r="D1289" s="80" t="s">
        <v>63</v>
      </c>
      <c r="E1289" s="27" t="s">
        <v>994</v>
      </c>
      <c r="F1289" s="80" t="s">
        <v>109</v>
      </c>
      <c r="G1289" s="81" t="s">
        <v>995</v>
      </c>
      <c r="H1289" s="80" t="s">
        <v>996</v>
      </c>
      <c r="I1289" s="92">
        <v>45779</v>
      </c>
      <c r="J1289" s="80" t="s">
        <v>3505</v>
      </c>
      <c r="K1289" s="80" t="s">
        <v>69</v>
      </c>
      <c r="L1289" s="84" t="s">
        <v>100</v>
      </c>
      <c r="M1289" s="84" t="s">
        <v>252</v>
      </c>
      <c r="N1289" s="84" t="s">
        <v>72</v>
      </c>
      <c r="O1289" s="129" t="s">
        <v>6303</v>
      </c>
      <c r="P1289" s="153" t="s">
        <v>6304</v>
      </c>
      <c r="Q1289" s="49" t="s">
        <v>91</v>
      </c>
      <c r="R1289" s="25"/>
      <c r="S1289" s="26">
        <v>12</v>
      </c>
      <c r="T1289" s="26"/>
      <c r="U1289" s="28" t="s">
        <v>6305</v>
      </c>
      <c r="V1289" s="66"/>
      <c r="W1289" s="106"/>
      <c r="X1289" s="106" t="s">
        <v>76</v>
      </c>
      <c r="Y1289" s="26" t="s">
        <v>76</v>
      </c>
      <c r="Z1289" s="75" t="s">
        <v>193</v>
      </c>
      <c r="AA1289" s="30"/>
    </row>
    <row r="1290" spans="1:28" ht="25.5" hidden="1" customHeight="1">
      <c r="A1290" s="88">
        <v>1280</v>
      </c>
      <c r="B1290" s="79" t="s">
        <v>6306</v>
      </c>
      <c r="C1290" s="148" t="s">
        <v>8</v>
      </c>
      <c r="D1290" s="80" t="s">
        <v>63</v>
      </c>
      <c r="E1290" s="27" t="s">
        <v>2761</v>
      </c>
      <c r="F1290" s="80" t="s">
        <v>284</v>
      </c>
      <c r="G1290" s="81" t="s">
        <v>2762</v>
      </c>
      <c r="H1290" s="80" t="s">
        <v>2763</v>
      </c>
      <c r="I1290" s="92">
        <v>45779</v>
      </c>
      <c r="J1290" s="80" t="s">
        <v>3505</v>
      </c>
      <c r="K1290" s="80" t="s">
        <v>69</v>
      </c>
      <c r="L1290" s="84" t="s">
        <v>100</v>
      </c>
      <c r="M1290" s="84" t="s">
        <v>252</v>
      </c>
      <c r="N1290" s="84" t="s">
        <v>72</v>
      </c>
      <c r="O1290" s="129" t="s">
        <v>6307</v>
      </c>
      <c r="P1290" s="153" t="s">
        <v>6308</v>
      </c>
      <c r="Q1290" s="49" t="s">
        <v>75</v>
      </c>
      <c r="R1290" s="25" t="s">
        <v>91</v>
      </c>
      <c r="S1290" s="26">
        <v>14</v>
      </c>
      <c r="T1290" s="26"/>
      <c r="U1290" s="28" t="s">
        <v>6309</v>
      </c>
      <c r="V1290" s="66"/>
      <c r="W1290" s="106"/>
      <c r="X1290" s="106" t="s">
        <v>3375</v>
      </c>
      <c r="Y1290" s="26" t="s">
        <v>76</v>
      </c>
      <c r="Z1290" s="75" t="s">
        <v>93</v>
      </c>
      <c r="AA1290" s="30"/>
    </row>
    <row r="1291" spans="1:28" ht="34.5" hidden="1" customHeight="1">
      <c r="A1291" s="88">
        <v>1281</v>
      </c>
      <c r="B1291" s="79" t="s">
        <v>6310</v>
      </c>
      <c r="C1291" s="148" t="s">
        <v>8</v>
      </c>
      <c r="D1291" s="80" t="s">
        <v>63</v>
      </c>
      <c r="E1291" s="27" t="s">
        <v>6311</v>
      </c>
      <c r="F1291" s="80" t="s">
        <v>120</v>
      </c>
      <c r="G1291" s="81" t="s">
        <v>1562</v>
      </c>
      <c r="H1291" s="80" t="s">
        <v>6312</v>
      </c>
      <c r="I1291" s="92">
        <v>45779</v>
      </c>
      <c r="J1291" s="80" t="s">
        <v>3565</v>
      </c>
      <c r="K1291" s="80" t="s">
        <v>198</v>
      </c>
      <c r="L1291" s="84" t="s">
        <v>189</v>
      </c>
      <c r="M1291" s="84" t="s">
        <v>252</v>
      </c>
      <c r="N1291" s="84" t="s">
        <v>72</v>
      </c>
      <c r="O1291" s="129" t="s">
        <v>6313</v>
      </c>
      <c r="P1291" s="153" t="s">
        <v>6314</v>
      </c>
      <c r="Q1291" s="49" t="s">
        <v>91</v>
      </c>
      <c r="R1291" s="25"/>
      <c r="S1291" s="26">
        <v>14</v>
      </c>
      <c r="T1291" s="26"/>
      <c r="U1291" s="28" t="s">
        <v>6315</v>
      </c>
      <c r="V1291" s="66"/>
      <c r="W1291" s="106"/>
      <c r="X1291" s="106" t="s">
        <v>76</v>
      </c>
      <c r="Y1291" s="26" t="s">
        <v>76</v>
      </c>
      <c r="Z1291" s="75" t="s">
        <v>76</v>
      </c>
      <c r="AA1291" s="30"/>
    </row>
    <row r="1292" spans="1:28" ht="25.5" hidden="1" customHeight="1">
      <c r="A1292" s="88">
        <v>1282</v>
      </c>
      <c r="B1292" s="79" t="s">
        <v>6316</v>
      </c>
      <c r="C1292" s="148" t="s">
        <v>8</v>
      </c>
      <c r="D1292" s="80" t="s">
        <v>63</v>
      </c>
      <c r="E1292" s="27" t="s">
        <v>6311</v>
      </c>
      <c r="F1292" s="80" t="s">
        <v>120</v>
      </c>
      <c r="G1292" s="81" t="s">
        <v>1562</v>
      </c>
      <c r="H1292" s="80" t="s">
        <v>6312</v>
      </c>
      <c r="I1292" s="92">
        <v>45779</v>
      </c>
      <c r="J1292" s="80" t="s">
        <v>3565</v>
      </c>
      <c r="K1292" s="80" t="s">
        <v>299</v>
      </c>
      <c r="L1292" s="84" t="s">
        <v>189</v>
      </c>
      <c r="M1292" s="84" t="s">
        <v>601</v>
      </c>
      <c r="N1292" s="84" t="s">
        <v>72</v>
      </c>
      <c r="O1292" s="129" t="s">
        <v>6317</v>
      </c>
      <c r="P1292" s="153" t="s">
        <v>6318</v>
      </c>
      <c r="Q1292" s="49" t="s">
        <v>91</v>
      </c>
      <c r="R1292" s="25"/>
      <c r="S1292" s="26">
        <v>11</v>
      </c>
      <c r="T1292" s="26"/>
      <c r="U1292" s="28" t="s">
        <v>6319</v>
      </c>
      <c r="V1292" s="66"/>
      <c r="W1292" s="106"/>
      <c r="X1292" s="106" t="s">
        <v>76</v>
      </c>
      <c r="Y1292" s="26" t="s">
        <v>76</v>
      </c>
      <c r="Z1292" s="75" t="s">
        <v>193</v>
      </c>
      <c r="AA1292" s="30"/>
    </row>
    <row r="1293" spans="1:28" ht="25.5" hidden="1" customHeight="1">
      <c r="A1293" s="88">
        <v>1283</v>
      </c>
      <c r="B1293" s="79" t="s">
        <v>6320</v>
      </c>
      <c r="C1293" s="148" t="s">
        <v>8</v>
      </c>
      <c r="D1293" s="80" t="s">
        <v>63</v>
      </c>
      <c r="E1293" s="27" t="s">
        <v>6311</v>
      </c>
      <c r="F1293" s="80" t="s">
        <v>120</v>
      </c>
      <c r="G1293" s="81" t="s">
        <v>1562</v>
      </c>
      <c r="H1293" s="80" t="s">
        <v>6312</v>
      </c>
      <c r="I1293" s="92">
        <v>45779</v>
      </c>
      <c r="J1293" s="80" t="s">
        <v>3505</v>
      </c>
      <c r="K1293" s="80" t="s">
        <v>69</v>
      </c>
      <c r="L1293" s="84" t="s">
        <v>251</v>
      </c>
      <c r="M1293" s="84" t="s">
        <v>252</v>
      </c>
      <c r="N1293" s="84" t="s">
        <v>72</v>
      </c>
      <c r="O1293" s="129" t="s">
        <v>6321</v>
      </c>
      <c r="P1293" s="153" t="s">
        <v>6322</v>
      </c>
      <c r="Q1293" s="49" t="s">
        <v>75</v>
      </c>
      <c r="R1293" s="25" t="s">
        <v>91</v>
      </c>
      <c r="S1293" s="26">
        <v>20</v>
      </c>
      <c r="T1293" s="26">
        <v>52</v>
      </c>
      <c r="U1293" s="28" t="s">
        <v>6323</v>
      </c>
      <c r="V1293" s="66"/>
      <c r="W1293" s="106"/>
      <c r="X1293" s="106" t="s">
        <v>3375</v>
      </c>
      <c r="Y1293" s="26" t="s">
        <v>76</v>
      </c>
      <c r="Z1293" s="75" t="s">
        <v>93</v>
      </c>
      <c r="AA1293" s="30"/>
    </row>
    <row r="1294" spans="1:28" ht="25.5" hidden="1" customHeight="1">
      <c r="A1294" s="88">
        <v>1284</v>
      </c>
      <c r="B1294" s="79" t="s">
        <v>6324</v>
      </c>
      <c r="C1294" s="148" t="s">
        <v>8</v>
      </c>
      <c r="D1294" s="80" t="s">
        <v>63</v>
      </c>
      <c r="E1294" s="27" t="s">
        <v>6311</v>
      </c>
      <c r="F1294" s="80" t="s">
        <v>120</v>
      </c>
      <c r="G1294" s="81" t="s">
        <v>1562</v>
      </c>
      <c r="H1294" s="80" t="s">
        <v>6312</v>
      </c>
      <c r="I1294" s="92">
        <v>45779</v>
      </c>
      <c r="J1294" s="80" t="s">
        <v>3505</v>
      </c>
      <c r="K1294" s="80" t="s">
        <v>69</v>
      </c>
      <c r="L1294" s="84" t="s">
        <v>100</v>
      </c>
      <c r="M1294" s="84" t="s">
        <v>601</v>
      </c>
      <c r="N1294" s="84" t="s">
        <v>72</v>
      </c>
      <c r="O1294" s="129" t="s">
        <v>6325</v>
      </c>
      <c r="P1294" s="153" t="s">
        <v>6326</v>
      </c>
      <c r="Q1294" s="49" t="s">
        <v>75</v>
      </c>
      <c r="R1294" s="25" t="s">
        <v>91</v>
      </c>
      <c r="S1294" s="26">
        <v>18</v>
      </c>
      <c r="T1294" s="26">
        <v>46</v>
      </c>
      <c r="U1294" s="28" t="s">
        <v>6327</v>
      </c>
      <c r="V1294" s="66"/>
      <c r="W1294" s="106"/>
      <c r="X1294" s="106" t="s">
        <v>3375</v>
      </c>
      <c r="Y1294" s="26" t="s">
        <v>76</v>
      </c>
      <c r="Z1294" s="75" t="s">
        <v>93</v>
      </c>
      <c r="AA1294" s="30"/>
    </row>
    <row r="1295" spans="1:28" ht="59.25" hidden="1" customHeight="1">
      <c r="A1295" s="88">
        <v>1285</v>
      </c>
      <c r="B1295" s="79" t="s">
        <v>6328</v>
      </c>
      <c r="C1295" s="148" t="s">
        <v>8</v>
      </c>
      <c r="D1295" s="80" t="s">
        <v>63</v>
      </c>
      <c r="E1295" s="27" t="s">
        <v>2465</v>
      </c>
      <c r="F1295" s="80" t="s">
        <v>120</v>
      </c>
      <c r="G1295" s="81" t="s">
        <v>1562</v>
      </c>
      <c r="H1295" s="80" t="s">
        <v>2466</v>
      </c>
      <c r="I1295" s="92">
        <v>45784</v>
      </c>
      <c r="J1295" s="80" t="s">
        <v>3505</v>
      </c>
      <c r="K1295" s="80" t="s">
        <v>69</v>
      </c>
      <c r="L1295" s="84" t="s">
        <v>100</v>
      </c>
      <c r="M1295" s="84" t="s">
        <v>601</v>
      </c>
      <c r="N1295" s="84" t="s">
        <v>72</v>
      </c>
      <c r="O1295" s="129" t="s">
        <v>6329</v>
      </c>
      <c r="P1295" s="153" t="s">
        <v>6330</v>
      </c>
      <c r="Q1295" s="49" t="s">
        <v>75</v>
      </c>
      <c r="R1295" s="25" t="s">
        <v>91</v>
      </c>
      <c r="S1295" s="26">
        <v>18</v>
      </c>
      <c r="T1295" s="26">
        <v>42</v>
      </c>
      <c r="U1295" s="28" t="s">
        <v>6331</v>
      </c>
      <c r="V1295" s="66"/>
      <c r="W1295" s="106"/>
      <c r="X1295" s="106" t="s">
        <v>3375</v>
      </c>
      <c r="Y1295" s="26" t="s">
        <v>76</v>
      </c>
      <c r="Z1295" s="75" t="s">
        <v>93</v>
      </c>
      <c r="AA1295" s="30"/>
    </row>
    <row r="1296" spans="1:28" ht="58.5" hidden="1" customHeight="1">
      <c r="A1296" s="88">
        <v>1286</v>
      </c>
      <c r="B1296" s="79" t="s">
        <v>6332</v>
      </c>
      <c r="C1296" s="148" t="s">
        <v>10</v>
      </c>
      <c r="D1296" s="80" t="s">
        <v>63</v>
      </c>
      <c r="E1296" s="27" t="s">
        <v>6333</v>
      </c>
      <c r="F1296" s="80" t="s">
        <v>109</v>
      </c>
      <c r="G1296" s="81" t="s">
        <v>5293</v>
      </c>
      <c r="H1296" s="80" t="s">
        <v>6334</v>
      </c>
      <c r="I1296" s="92">
        <v>45784</v>
      </c>
      <c r="J1296" s="80" t="s">
        <v>3505</v>
      </c>
      <c r="K1296" s="80" t="s">
        <v>69</v>
      </c>
      <c r="L1296" s="84" t="s">
        <v>100</v>
      </c>
      <c r="M1296" s="84" t="s">
        <v>252</v>
      </c>
      <c r="N1296" s="84" t="s">
        <v>72</v>
      </c>
      <c r="O1296" s="308" t="s">
        <v>6335</v>
      </c>
      <c r="P1296" s="153" t="s">
        <v>6336</v>
      </c>
      <c r="Q1296" s="49" t="s">
        <v>75</v>
      </c>
      <c r="R1296" s="25" t="s">
        <v>91</v>
      </c>
      <c r="S1296" s="26">
        <v>18</v>
      </c>
      <c r="T1296" s="26">
        <v>46</v>
      </c>
      <c r="U1296" s="28" t="s">
        <v>6337</v>
      </c>
      <c r="V1296" s="66"/>
      <c r="W1296" s="106"/>
      <c r="X1296" s="106" t="s">
        <v>3375</v>
      </c>
      <c r="Y1296" s="26" t="s">
        <v>76</v>
      </c>
      <c r="Z1296" s="75" t="s">
        <v>93</v>
      </c>
      <c r="AA1296" s="30"/>
    </row>
    <row r="1297" spans="1:28" ht="25.5" hidden="1" customHeight="1">
      <c r="A1297" s="88">
        <v>1287</v>
      </c>
      <c r="B1297" s="79" t="s">
        <v>6338</v>
      </c>
      <c r="C1297" s="148" t="s">
        <v>10</v>
      </c>
      <c r="D1297" s="80" t="s">
        <v>63</v>
      </c>
      <c r="E1297" s="27" t="s">
        <v>3854</v>
      </c>
      <c r="F1297" s="80" t="s">
        <v>120</v>
      </c>
      <c r="G1297" s="81" t="s">
        <v>3855</v>
      </c>
      <c r="H1297" s="80" t="s">
        <v>3856</v>
      </c>
      <c r="I1297" s="92">
        <v>45784</v>
      </c>
      <c r="J1297" s="80" t="s">
        <v>4066</v>
      </c>
      <c r="K1297" s="80" t="s">
        <v>3373</v>
      </c>
      <c r="L1297" s="84" t="s">
        <v>10</v>
      </c>
      <c r="M1297" s="84" t="s">
        <v>601</v>
      </c>
      <c r="N1297" s="84" t="s">
        <v>72</v>
      </c>
      <c r="O1297" s="308" t="s">
        <v>6339</v>
      </c>
      <c r="P1297" s="153" t="s">
        <v>6340</v>
      </c>
      <c r="Q1297" s="49" t="s">
        <v>75</v>
      </c>
      <c r="R1297" s="25" t="s">
        <v>91</v>
      </c>
      <c r="S1297" s="26">
        <v>21</v>
      </c>
      <c r="T1297" s="26">
        <v>51</v>
      </c>
      <c r="U1297" s="28" t="s">
        <v>6341</v>
      </c>
      <c r="V1297" s="66"/>
      <c r="W1297" s="106"/>
      <c r="X1297" s="106" t="s">
        <v>3375</v>
      </c>
      <c r="Y1297" s="26" t="s">
        <v>76</v>
      </c>
      <c r="Z1297" s="75" t="s">
        <v>93</v>
      </c>
      <c r="AA1297" s="30"/>
    </row>
    <row r="1298" spans="1:28" ht="25.5" hidden="1" customHeight="1">
      <c r="A1298" s="88">
        <v>1288</v>
      </c>
      <c r="B1298" s="79" t="s">
        <v>6342</v>
      </c>
      <c r="C1298" s="148" t="s">
        <v>10</v>
      </c>
      <c r="D1298" s="80" t="s">
        <v>63</v>
      </c>
      <c r="E1298" s="27" t="s">
        <v>6343</v>
      </c>
      <c r="F1298" s="80" t="s">
        <v>284</v>
      </c>
      <c r="G1298" s="81" t="s">
        <v>1826</v>
      </c>
      <c r="H1298" s="80" t="s">
        <v>6344</v>
      </c>
      <c r="I1298" s="92">
        <v>45784</v>
      </c>
      <c r="J1298" s="80" t="s">
        <v>4066</v>
      </c>
      <c r="K1298" s="80" t="s">
        <v>3373</v>
      </c>
      <c r="L1298" s="84" t="s">
        <v>10</v>
      </c>
      <c r="M1298" s="84" t="s">
        <v>601</v>
      </c>
      <c r="N1298" s="84" t="s">
        <v>72</v>
      </c>
      <c r="O1298" s="308" t="s">
        <v>6345</v>
      </c>
      <c r="P1298" s="153" t="s">
        <v>6346</v>
      </c>
      <c r="Q1298" s="49" t="s">
        <v>75</v>
      </c>
      <c r="R1298" s="25" t="s">
        <v>91</v>
      </c>
      <c r="S1298" s="26">
        <v>19</v>
      </c>
      <c r="T1298" s="26">
        <v>42</v>
      </c>
      <c r="U1298" s="28" t="s">
        <v>6347</v>
      </c>
      <c r="V1298" s="66"/>
      <c r="W1298" s="106"/>
      <c r="X1298" s="106" t="s">
        <v>3375</v>
      </c>
      <c r="Y1298" s="26" t="s">
        <v>76</v>
      </c>
      <c r="Z1298" s="75" t="s">
        <v>93</v>
      </c>
      <c r="AA1298" s="30"/>
    </row>
    <row r="1299" spans="1:28" ht="25.5" hidden="1" customHeight="1">
      <c r="A1299" s="88">
        <v>1289</v>
      </c>
      <c r="B1299" s="79" t="s">
        <v>6348</v>
      </c>
      <c r="C1299" s="148" t="s">
        <v>10</v>
      </c>
      <c r="D1299" s="80" t="s">
        <v>63</v>
      </c>
      <c r="E1299" s="27" t="s">
        <v>6249</v>
      </c>
      <c r="F1299" s="80" t="s">
        <v>120</v>
      </c>
      <c r="G1299" s="81" t="s">
        <v>6250</v>
      </c>
      <c r="H1299" s="80" t="s">
        <v>6251</v>
      </c>
      <c r="I1299" s="92">
        <v>45785</v>
      </c>
      <c r="J1299" s="80" t="s">
        <v>4109</v>
      </c>
      <c r="K1299" s="80" t="s">
        <v>3373</v>
      </c>
      <c r="L1299" s="84" t="s">
        <v>10</v>
      </c>
      <c r="M1299" s="84" t="s">
        <v>200</v>
      </c>
      <c r="N1299" s="84" t="s">
        <v>72</v>
      </c>
      <c r="O1299" s="308" t="s">
        <v>6349</v>
      </c>
      <c r="P1299" s="153" t="s">
        <v>6350</v>
      </c>
      <c r="Q1299" s="49" t="s">
        <v>75</v>
      </c>
      <c r="R1299" s="25" t="s">
        <v>91</v>
      </c>
      <c r="S1299" s="26">
        <v>24</v>
      </c>
      <c r="T1299" s="26">
        <v>56</v>
      </c>
      <c r="U1299" s="28" t="s">
        <v>6351</v>
      </c>
      <c r="V1299" s="66"/>
      <c r="W1299" s="106"/>
      <c r="X1299" s="106" t="s">
        <v>3375</v>
      </c>
      <c r="Y1299" s="26" t="s">
        <v>76</v>
      </c>
      <c r="Z1299" s="75" t="s">
        <v>93</v>
      </c>
      <c r="AA1299" s="30"/>
    </row>
    <row r="1300" spans="1:28" ht="25.5" hidden="1" customHeight="1">
      <c r="A1300" s="88">
        <v>1290</v>
      </c>
      <c r="B1300" s="79" t="s">
        <v>6352</v>
      </c>
      <c r="C1300" s="148" t="s">
        <v>8</v>
      </c>
      <c r="D1300" s="80" t="s">
        <v>63</v>
      </c>
      <c r="E1300" s="27" t="s">
        <v>3555</v>
      </c>
      <c r="F1300" s="80" t="s">
        <v>65</v>
      </c>
      <c r="G1300" s="81" t="s">
        <v>2762</v>
      </c>
      <c r="H1300" s="80" t="s">
        <v>3556</v>
      </c>
      <c r="I1300" s="92">
        <v>45785</v>
      </c>
      <c r="J1300" s="80" t="s">
        <v>3595</v>
      </c>
      <c r="K1300" s="80" t="s">
        <v>69</v>
      </c>
      <c r="L1300" s="84" t="s">
        <v>100</v>
      </c>
      <c r="M1300" s="84" t="s">
        <v>101</v>
      </c>
      <c r="N1300" s="84" t="s">
        <v>72</v>
      </c>
      <c r="O1300" s="129" t="s">
        <v>6353</v>
      </c>
      <c r="P1300" s="153" t="s">
        <v>6354</v>
      </c>
      <c r="Q1300" s="49" t="s">
        <v>75</v>
      </c>
      <c r="R1300" s="25" t="s">
        <v>91</v>
      </c>
      <c r="S1300" s="26">
        <v>24</v>
      </c>
      <c r="T1300" s="26">
        <v>64</v>
      </c>
      <c r="U1300" s="28" t="s">
        <v>6355</v>
      </c>
      <c r="V1300" s="66"/>
      <c r="W1300" s="106"/>
      <c r="X1300" s="106" t="s">
        <v>3375</v>
      </c>
      <c r="Y1300" s="26" t="s">
        <v>76</v>
      </c>
      <c r="Z1300" s="75" t="s">
        <v>93</v>
      </c>
      <c r="AA1300" s="30"/>
    </row>
    <row r="1301" spans="1:28" ht="25.5" hidden="1" customHeight="1">
      <c r="A1301" s="88">
        <v>1291</v>
      </c>
      <c r="B1301" s="79" t="s">
        <v>6356</v>
      </c>
      <c r="C1301" s="148" t="s">
        <v>8</v>
      </c>
      <c r="D1301" s="80" t="s">
        <v>63</v>
      </c>
      <c r="E1301" s="27" t="s">
        <v>1983</v>
      </c>
      <c r="F1301" s="80" t="s">
        <v>109</v>
      </c>
      <c r="G1301" s="81" t="s">
        <v>1041</v>
      </c>
      <c r="H1301" s="80" t="s">
        <v>1984</v>
      </c>
      <c r="I1301" s="92">
        <v>45785</v>
      </c>
      <c r="J1301" s="80" t="s">
        <v>3517</v>
      </c>
      <c r="K1301" s="80" t="s">
        <v>299</v>
      </c>
      <c r="L1301" s="84" t="s">
        <v>189</v>
      </c>
      <c r="M1301" s="84" t="s">
        <v>784</v>
      </c>
      <c r="N1301" s="84" t="s">
        <v>72</v>
      </c>
      <c r="O1301" s="129" t="s">
        <v>6357</v>
      </c>
      <c r="P1301" s="153" t="s">
        <v>6247</v>
      </c>
      <c r="Q1301" s="49" t="s">
        <v>91</v>
      </c>
      <c r="R1301" s="25"/>
      <c r="S1301" s="26">
        <v>10</v>
      </c>
      <c r="T1301" s="26"/>
      <c r="U1301" s="28" t="s">
        <v>6358</v>
      </c>
      <c r="V1301" s="66"/>
      <c r="W1301" s="106"/>
      <c r="X1301" s="106" t="s">
        <v>76</v>
      </c>
      <c r="Y1301" s="26" t="s">
        <v>76</v>
      </c>
      <c r="Z1301" s="75" t="s">
        <v>193</v>
      </c>
      <c r="AA1301" s="30"/>
      <c r="AB1301" s="25" t="s">
        <v>75</v>
      </c>
    </row>
    <row r="1302" spans="1:28" ht="46.5" hidden="1" customHeight="1">
      <c r="A1302" s="98">
        <v>1292</v>
      </c>
      <c r="B1302" s="79" t="s">
        <v>6359</v>
      </c>
      <c r="C1302" s="148" t="s">
        <v>8</v>
      </c>
      <c r="D1302" s="80" t="s">
        <v>63</v>
      </c>
      <c r="E1302" s="27" t="s">
        <v>1983</v>
      </c>
      <c r="F1302" s="80" t="s">
        <v>109</v>
      </c>
      <c r="G1302" s="81" t="s">
        <v>1041</v>
      </c>
      <c r="H1302" s="80" t="s">
        <v>1984</v>
      </c>
      <c r="I1302" s="92">
        <v>45785</v>
      </c>
      <c r="J1302" s="80" t="s">
        <v>3505</v>
      </c>
      <c r="K1302" s="80" t="s">
        <v>69</v>
      </c>
      <c r="L1302" s="84" t="s">
        <v>100</v>
      </c>
      <c r="M1302" s="84" t="s">
        <v>252</v>
      </c>
      <c r="N1302" s="84" t="s">
        <v>72</v>
      </c>
      <c r="O1302" s="129" t="s">
        <v>6360</v>
      </c>
      <c r="P1302" s="153" t="s">
        <v>6361</v>
      </c>
      <c r="Q1302" s="49" t="s">
        <v>75</v>
      </c>
      <c r="R1302" s="25" t="s">
        <v>91</v>
      </c>
      <c r="S1302" s="26">
        <v>18</v>
      </c>
      <c r="T1302" s="26">
        <v>46</v>
      </c>
      <c r="U1302" s="28" t="s">
        <v>6362</v>
      </c>
      <c r="V1302" s="66"/>
      <c r="W1302" s="106"/>
      <c r="X1302" s="106" t="s">
        <v>3375</v>
      </c>
      <c r="Y1302" s="26" t="s">
        <v>76</v>
      </c>
      <c r="Z1302" s="75" t="s">
        <v>93</v>
      </c>
      <c r="AA1302" s="30"/>
    </row>
    <row r="1303" spans="1:28" ht="25.5" hidden="1" customHeight="1">
      <c r="A1303" s="98">
        <v>1293</v>
      </c>
      <c r="B1303" s="79" t="s">
        <v>6363</v>
      </c>
      <c r="C1303" s="148" t="s">
        <v>8</v>
      </c>
      <c r="D1303" s="80" t="s">
        <v>63</v>
      </c>
      <c r="E1303" s="27" t="s">
        <v>1983</v>
      </c>
      <c r="F1303" s="80" t="s">
        <v>109</v>
      </c>
      <c r="G1303" s="81" t="s">
        <v>1041</v>
      </c>
      <c r="H1303" s="80" t="s">
        <v>1984</v>
      </c>
      <c r="I1303" s="92">
        <v>45785</v>
      </c>
      <c r="J1303" s="80" t="s">
        <v>3505</v>
      </c>
      <c r="K1303" s="80" t="s">
        <v>69</v>
      </c>
      <c r="L1303" s="84" t="s">
        <v>100</v>
      </c>
      <c r="M1303" s="84" t="s">
        <v>252</v>
      </c>
      <c r="N1303" s="84" t="s">
        <v>72</v>
      </c>
      <c r="O1303" s="129" t="s">
        <v>6364</v>
      </c>
      <c r="P1303" s="153" t="s">
        <v>6365</v>
      </c>
      <c r="Q1303" s="49" t="s">
        <v>91</v>
      </c>
      <c r="R1303" s="25"/>
      <c r="S1303" s="55" t="s">
        <v>6366</v>
      </c>
      <c r="T1303" s="26"/>
      <c r="U1303" s="28" t="s">
        <v>6367</v>
      </c>
      <c r="V1303" s="66"/>
      <c r="W1303" s="106"/>
      <c r="X1303" s="106" t="s">
        <v>76</v>
      </c>
      <c r="Y1303" s="26" t="s">
        <v>76</v>
      </c>
      <c r="Z1303" s="75" t="s">
        <v>193</v>
      </c>
      <c r="AA1303" s="30"/>
      <c r="AB1303" s="25" t="s">
        <v>75</v>
      </c>
    </row>
    <row r="1304" spans="1:28" ht="25.5" hidden="1" customHeight="1">
      <c r="A1304" s="98">
        <v>1294</v>
      </c>
      <c r="B1304" s="79" t="s">
        <v>6368</v>
      </c>
      <c r="C1304" s="148" t="s">
        <v>237</v>
      </c>
      <c r="D1304" s="80" t="s">
        <v>83</v>
      </c>
      <c r="E1304" s="27" t="s">
        <v>289</v>
      </c>
      <c r="F1304" s="80" t="s">
        <v>120</v>
      </c>
      <c r="G1304" s="81" t="s">
        <v>290</v>
      </c>
      <c r="H1304" s="80" t="s">
        <v>291</v>
      </c>
      <c r="I1304" s="92">
        <v>45786</v>
      </c>
      <c r="J1304" s="80" t="s">
        <v>3565</v>
      </c>
      <c r="K1304" s="80" t="s">
        <v>156</v>
      </c>
      <c r="L1304" s="84" t="s">
        <v>300</v>
      </c>
      <c r="M1304" s="84" t="s">
        <v>252</v>
      </c>
      <c r="N1304" s="84" t="s">
        <v>72</v>
      </c>
      <c r="O1304" s="129" t="s">
        <v>6369</v>
      </c>
      <c r="P1304" s="153" t="s">
        <v>6370</v>
      </c>
      <c r="Q1304" s="49" t="s">
        <v>75</v>
      </c>
      <c r="R1304" s="25" t="s">
        <v>75</v>
      </c>
      <c r="S1304" s="26">
        <v>25</v>
      </c>
      <c r="T1304" s="26">
        <v>85</v>
      </c>
      <c r="U1304" s="28" t="s">
        <v>6371</v>
      </c>
      <c r="V1304" s="66" t="s">
        <v>75</v>
      </c>
      <c r="W1304" s="106" t="s">
        <v>4017</v>
      </c>
      <c r="X1304" s="106" t="s">
        <v>3375</v>
      </c>
      <c r="Y1304" s="26" t="s">
        <v>3375</v>
      </c>
      <c r="Z1304" s="93" t="s">
        <v>79</v>
      </c>
      <c r="AA1304" s="30"/>
    </row>
    <row r="1305" spans="1:28" ht="49.5" hidden="1">
      <c r="A1305" s="98">
        <v>1295</v>
      </c>
      <c r="B1305" s="79" t="s">
        <v>6372</v>
      </c>
      <c r="C1305" s="148" t="s">
        <v>10</v>
      </c>
      <c r="D1305" s="80" t="s">
        <v>63</v>
      </c>
      <c r="E1305" s="27" t="s">
        <v>6373</v>
      </c>
      <c r="F1305" s="80" t="s">
        <v>120</v>
      </c>
      <c r="G1305" s="81" t="s">
        <v>6374</v>
      </c>
      <c r="H1305" s="80" t="s">
        <v>6375</v>
      </c>
      <c r="I1305" s="92">
        <v>45786</v>
      </c>
      <c r="J1305" s="80" t="s">
        <v>3505</v>
      </c>
      <c r="K1305" s="80" t="s">
        <v>69</v>
      </c>
      <c r="L1305" s="84" t="s">
        <v>70</v>
      </c>
      <c r="M1305" s="84" t="s">
        <v>252</v>
      </c>
      <c r="N1305" s="84" t="s">
        <v>72</v>
      </c>
      <c r="O1305" s="308" t="s">
        <v>6376</v>
      </c>
      <c r="P1305" s="153" t="s">
        <v>6377</v>
      </c>
      <c r="Q1305" s="49" t="s">
        <v>75</v>
      </c>
      <c r="R1305" s="25" t="s">
        <v>91</v>
      </c>
      <c r="S1305" s="26">
        <v>18</v>
      </c>
      <c r="T1305" s="26">
        <v>38</v>
      </c>
      <c r="U1305" s="28" t="s">
        <v>6378</v>
      </c>
      <c r="V1305" s="66"/>
      <c r="W1305" s="106"/>
      <c r="X1305" s="106" t="s">
        <v>3375</v>
      </c>
      <c r="Y1305" s="26" t="s">
        <v>76</v>
      </c>
      <c r="Z1305" s="75" t="s">
        <v>93</v>
      </c>
      <c r="AA1305" s="30"/>
    </row>
    <row r="1306" spans="1:28" ht="25.5" hidden="1" customHeight="1">
      <c r="A1306" s="98">
        <v>1296</v>
      </c>
      <c r="B1306" s="79" t="s">
        <v>6379</v>
      </c>
      <c r="C1306" s="148" t="s">
        <v>10</v>
      </c>
      <c r="D1306" s="80" t="s">
        <v>63</v>
      </c>
      <c r="E1306" s="27" t="s">
        <v>6380</v>
      </c>
      <c r="F1306" s="80" t="s">
        <v>120</v>
      </c>
      <c r="G1306" s="81" t="s">
        <v>6381</v>
      </c>
      <c r="H1306" s="80" t="s">
        <v>6382</v>
      </c>
      <c r="I1306" s="92">
        <v>45786</v>
      </c>
      <c r="J1306" s="80" t="s">
        <v>4066</v>
      </c>
      <c r="K1306" s="80" t="s">
        <v>3373</v>
      </c>
      <c r="L1306" s="84" t="s">
        <v>10</v>
      </c>
      <c r="M1306" s="84" t="s">
        <v>252</v>
      </c>
      <c r="N1306" s="84" t="s">
        <v>72</v>
      </c>
      <c r="O1306" s="308" t="s">
        <v>6383</v>
      </c>
      <c r="P1306" s="153" t="s">
        <v>6384</v>
      </c>
      <c r="Q1306" s="49" t="s">
        <v>75</v>
      </c>
      <c r="R1306" s="25" t="s">
        <v>91</v>
      </c>
      <c r="S1306" s="26">
        <v>22</v>
      </c>
      <c r="T1306" s="26">
        <v>48</v>
      </c>
      <c r="U1306" s="28" t="s">
        <v>6385</v>
      </c>
      <c r="V1306" s="66"/>
      <c r="W1306" s="106"/>
      <c r="X1306" s="106" t="s">
        <v>3375</v>
      </c>
      <c r="Y1306" s="26" t="s">
        <v>76</v>
      </c>
      <c r="Z1306" s="75" t="s">
        <v>93</v>
      </c>
      <c r="AA1306" s="30"/>
    </row>
    <row r="1307" spans="1:28" ht="25.5" hidden="1" customHeight="1">
      <c r="A1307" s="98">
        <v>1297</v>
      </c>
      <c r="B1307" s="79" t="s">
        <v>6386</v>
      </c>
      <c r="C1307" s="148" t="s">
        <v>8</v>
      </c>
      <c r="D1307" s="80" t="s">
        <v>63</v>
      </c>
      <c r="E1307" s="27" t="s">
        <v>2636</v>
      </c>
      <c r="F1307" s="80" t="s">
        <v>120</v>
      </c>
      <c r="G1307" s="81" t="s">
        <v>995</v>
      </c>
      <c r="H1307" s="80" t="s">
        <v>2637</v>
      </c>
      <c r="I1307" s="92">
        <v>45789</v>
      </c>
      <c r="J1307" s="80" t="s">
        <v>3565</v>
      </c>
      <c r="K1307" s="80" t="s">
        <v>299</v>
      </c>
      <c r="L1307" s="84" t="s">
        <v>189</v>
      </c>
      <c r="M1307" s="84" t="s">
        <v>252</v>
      </c>
      <c r="N1307" s="84" t="s">
        <v>72</v>
      </c>
      <c r="O1307" s="129" t="s">
        <v>6387</v>
      </c>
      <c r="P1307" s="153" t="s">
        <v>6388</v>
      </c>
      <c r="Q1307" s="49" t="s">
        <v>75</v>
      </c>
      <c r="R1307" s="25" t="s">
        <v>91</v>
      </c>
      <c r="S1307" s="26">
        <v>20</v>
      </c>
      <c r="T1307" s="26">
        <v>69</v>
      </c>
      <c r="U1307" s="28" t="s">
        <v>6389</v>
      </c>
      <c r="V1307" s="66"/>
      <c r="W1307" s="106"/>
      <c r="X1307" s="106" t="s">
        <v>3375</v>
      </c>
      <c r="Y1307" s="26" t="s">
        <v>76</v>
      </c>
      <c r="Z1307" s="93" t="s">
        <v>93</v>
      </c>
      <c r="AA1307" s="30"/>
    </row>
    <row r="1308" spans="1:28" ht="25.5" hidden="1" customHeight="1">
      <c r="A1308" s="98">
        <v>1298</v>
      </c>
      <c r="B1308" s="79" t="s">
        <v>6390</v>
      </c>
      <c r="C1308" s="148" t="s">
        <v>8</v>
      </c>
      <c r="D1308" s="80" t="s">
        <v>63</v>
      </c>
      <c r="E1308" s="27" t="s">
        <v>2790</v>
      </c>
      <c r="F1308" s="80" t="s">
        <v>338</v>
      </c>
      <c r="G1308" s="81" t="s">
        <v>995</v>
      </c>
      <c r="H1308" s="80" t="s">
        <v>2791</v>
      </c>
      <c r="I1308" s="92">
        <v>45789</v>
      </c>
      <c r="J1308" s="80" t="s">
        <v>170</v>
      </c>
      <c r="K1308" s="80" t="s">
        <v>156</v>
      </c>
      <c r="L1308" s="84" t="s">
        <v>171</v>
      </c>
      <c r="M1308" s="84" t="s">
        <v>71</v>
      </c>
      <c r="N1308" s="84" t="s">
        <v>72</v>
      </c>
      <c r="O1308" s="129" t="s">
        <v>6391</v>
      </c>
      <c r="P1308" s="153" t="s">
        <v>6392</v>
      </c>
      <c r="Q1308" s="49" t="s">
        <v>75</v>
      </c>
      <c r="R1308" s="25" t="s">
        <v>91</v>
      </c>
      <c r="S1308" s="26">
        <v>18</v>
      </c>
      <c r="T1308" s="26">
        <v>66</v>
      </c>
      <c r="U1308" s="28" t="s">
        <v>6393</v>
      </c>
      <c r="V1308" s="66"/>
      <c r="W1308" s="106"/>
      <c r="X1308" s="106" t="s">
        <v>3375</v>
      </c>
      <c r="Y1308" s="26" t="s">
        <v>76</v>
      </c>
      <c r="Z1308" s="75" t="s">
        <v>93</v>
      </c>
      <c r="AA1308" s="30"/>
    </row>
    <row r="1309" spans="1:28" ht="49.5" hidden="1">
      <c r="A1309" s="98">
        <v>1299</v>
      </c>
      <c r="B1309" s="79" t="s">
        <v>6394</v>
      </c>
      <c r="C1309" s="148" t="s">
        <v>8</v>
      </c>
      <c r="D1309" s="80" t="s">
        <v>83</v>
      </c>
      <c r="E1309" s="27" t="s">
        <v>931</v>
      </c>
      <c r="F1309" s="80" t="s">
        <v>65</v>
      </c>
      <c r="G1309" s="81" t="s">
        <v>932</v>
      </c>
      <c r="H1309" s="80" t="s">
        <v>933</v>
      </c>
      <c r="I1309" s="92">
        <v>45789</v>
      </c>
      <c r="J1309" s="80" t="s">
        <v>3565</v>
      </c>
      <c r="K1309" s="80" t="s">
        <v>112</v>
      </c>
      <c r="L1309" s="84" t="s">
        <v>189</v>
      </c>
      <c r="M1309" s="84" t="s">
        <v>252</v>
      </c>
      <c r="N1309" s="84" t="s">
        <v>72</v>
      </c>
      <c r="O1309" s="129" t="s">
        <v>6395</v>
      </c>
      <c r="P1309" s="153" t="s">
        <v>6396</v>
      </c>
      <c r="Q1309" s="49" t="s">
        <v>75</v>
      </c>
      <c r="R1309" s="25" t="s">
        <v>75</v>
      </c>
      <c r="S1309" s="26">
        <v>21</v>
      </c>
      <c r="T1309" s="26">
        <v>72</v>
      </c>
      <c r="U1309" s="28" t="s">
        <v>6397</v>
      </c>
      <c r="V1309" s="66" t="s">
        <v>75</v>
      </c>
      <c r="W1309" s="106" t="s">
        <v>1511</v>
      </c>
      <c r="X1309" s="106" t="s">
        <v>3375</v>
      </c>
      <c r="Y1309" s="26" t="s">
        <v>176</v>
      </c>
      <c r="Z1309" s="75" t="s">
        <v>106</v>
      </c>
      <c r="AA1309" s="30"/>
    </row>
    <row r="1310" spans="1:28" ht="66" hidden="1">
      <c r="A1310" s="98">
        <v>1300</v>
      </c>
      <c r="B1310" s="79" t="s">
        <v>6398</v>
      </c>
      <c r="C1310" s="148" t="s">
        <v>8</v>
      </c>
      <c r="D1310" s="80" t="s">
        <v>83</v>
      </c>
      <c r="E1310" s="27" t="s">
        <v>931</v>
      </c>
      <c r="F1310" s="80" t="s">
        <v>65</v>
      </c>
      <c r="G1310" s="81" t="s">
        <v>932</v>
      </c>
      <c r="H1310" s="80" t="s">
        <v>933</v>
      </c>
      <c r="I1310" s="92">
        <v>45789</v>
      </c>
      <c r="J1310" s="80" t="s">
        <v>3565</v>
      </c>
      <c r="K1310" s="80" t="s">
        <v>112</v>
      </c>
      <c r="L1310" s="84" t="s">
        <v>189</v>
      </c>
      <c r="M1310" s="84" t="s">
        <v>252</v>
      </c>
      <c r="N1310" s="84" t="s">
        <v>72</v>
      </c>
      <c r="O1310" s="129" t="s">
        <v>6399</v>
      </c>
      <c r="P1310" s="153" t="s">
        <v>6400</v>
      </c>
      <c r="Q1310" s="49" t="s">
        <v>75</v>
      </c>
      <c r="R1310" s="25" t="s">
        <v>91</v>
      </c>
      <c r="S1310" s="26">
        <v>24</v>
      </c>
      <c r="T1310" s="55" t="s">
        <v>6401</v>
      </c>
      <c r="U1310" s="28" t="s">
        <v>6402</v>
      </c>
      <c r="V1310" s="66"/>
      <c r="W1310" s="106"/>
      <c r="X1310" s="106" t="s">
        <v>3375</v>
      </c>
      <c r="Y1310" s="26" t="s">
        <v>76</v>
      </c>
      <c r="Z1310" s="75" t="s">
        <v>93</v>
      </c>
      <c r="AA1310" s="30"/>
    </row>
    <row r="1311" spans="1:28" ht="115.5" hidden="1">
      <c r="A1311" s="98">
        <v>1301</v>
      </c>
      <c r="B1311" s="79" t="s">
        <v>6403</v>
      </c>
      <c r="C1311" s="148" t="s">
        <v>10</v>
      </c>
      <c r="D1311" s="80" t="s">
        <v>63</v>
      </c>
      <c r="E1311" s="27" t="s">
        <v>6404</v>
      </c>
      <c r="F1311" s="80" t="s">
        <v>120</v>
      </c>
      <c r="G1311" s="81" t="s">
        <v>6405</v>
      </c>
      <c r="H1311" s="80" t="s">
        <v>6406</v>
      </c>
      <c r="I1311" s="92">
        <v>45789</v>
      </c>
      <c r="J1311" s="80" t="s">
        <v>4066</v>
      </c>
      <c r="K1311" s="80" t="s">
        <v>3373</v>
      </c>
      <c r="L1311" s="84" t="s">
        <v>10</v>
      </c>
      <c r="M1311" s="84" t="s">
        <v>252</v>
      </c>
      <c r="N1311" s="84" t="s">
        <v>72</v>
      </c>
      <c r="O1311" s="308" t="s">
        <v>6407</v>
      </c>
      <c r="P1311" s="153" t="s">
        <v>6408</v>
      </c>
      <c r="Q1311" s="49" t="s">
        <v>91</v>
      </c>
      <c r="R1311" s="25"/>
      <c r="S1311" s="26">
        <v>7</v>
      </c>
      <c r="T1311" s="26"/>
      <c r="U1311" s="28" t="s">
        <v>6409</v>
      </c>
      <c r="V1311" s="66"/>
      <c r="W1311" s="106"/>
      <c r="X1311" s="106" t="s">
        <v>76</v>
      </c>
      <c r="Y1311" s="26" t="s">
        <v>76</v>
      </c>
      <c r="Z1311" s="75" t="s">
        <v>193</v>
      </c>
      <c r="AA1311" s="30"/>
      <c r="AB1311" s="25" t="s">
        <v>75</v>
      </c>
    </row>
    <row r="1312" spans="1:28" ht="148.5" hidden="1">
      <c r="A1312" s="98">
        <v>1302</v>
      </c>
      <c r="B1312" s="79" t="s">
        <v>6410</v>
      </c>
      <c r="C1312" s="148" t="s">
        <v>8</v>
      </c>
      <c r="D1312" s="80" t="s">
        <v>63</v>
      </c>
      <c r="E1312" s="27" t="s">
        <v>6411</v>
      </c>
      <c r="F1312" s="80" t="s">
        <v>120</v>
      </c>
      <c r="G1312" s="81" t="s">
        <v>1413</v>
      </c>
      <c r="H1312" s="80" t="s">
        <v>6412</v>
      </c>
      <c r="I1312" s="92">
        <v>45790</v>
      </c>
      <c r="J1312" s="80" t="s">
        <v>3494</v>
      </c>
      <c r="K1312" s="80" t="s">
        <v>198</v>
      </c>
      <c r="L1312" s="84" t="s">
        <v>199</v>
      </c>
      <c r="M1312" s="84" t="s">
        <v>200</v>
      </c>
      <c r="N1312" s="84" t="s">
        <v>72</v>
      </c>
      <c r="O1312" s="129" t="s">
        <v>6413</v>
      </c>
      <c r="P1312" s="153" t="s">
        <v>6414</v>
      </c>
      <c r="Q1312" s="49" t="s">
        <v>75</v>
      </c>
      <c r="R1312" s="25" t="s">
        <v>91</v>
      </c>
      <c r="S1312" s="26">
        <v>18</v>
      </c>
      <c r="T1312" s="26">
        <v>54</v>
      </c>
      <c r="U1312" s="28" t="s">
        <v>6415</v>
      </c>
      <c r="V1312" s="66"/>
      <c r="W1312" s="106"/>
      <c r="X1312" s="106" t="s">
        <v>3375</v>
      </c>
      <c r="Y1312" s="26" t="s">
        <v>76</v>
      </c>
      <c r="Z1312" s="75" t="s">
        <v>76</v>
      </c>
      <c r="AA1312" s="30"/>
    </row>
    <row r="1313" spans="1:28" ht="66" hidden="1">
      <c r="A1313" s="98">
        <v>1303</v>
      </c>
      <c r="B1313" s="79" t="s">
        <v>6416</v>
      </c>
      <c r="C1313" s="148" t="s">
        <v>10</v>
      </c>
      <c r="D1313" s="80" t="s">
        <v>63</v>
      </c>
      <c r="E1313" s="27" t="s">
        <v>6232</v>
      </c>
      <c r="F1313" s="80" t="s">
        <v>120</v>
      </c>
      <c r="G1313" s="81" t="s">
        <v>6233</v>
      </c>
      <c r="H1313" s="80" t="s">
        <v>6234</v>
      </c>
      <c r="I1313" s="92">
        <v>45790</v>
      </c>
      <c r="J1313" s="80" t="s">
        <v>3505</v>
      </c>
      <c r="K1313" s="80" t="s">
        <v>69</v>
      </c>
      <c r="L1313" s="84" t="s">
        <v>251</v>
      </c>
      <c r="M1313" s="84" t="s">
        <v>252</v>
      </c>
      <c r="N1313" s="84" t="s">
        <v>72</v>
      </c>
      <c r="O1313" s="308" t="s">
        <v>6417</v>
      </c>
      <c r="P1313" s="153" t="s">
        <v>6418</v>
      </c>
      <c r="Q1313" s="49" t="s">
        <v>75</v>
      </c>
      <c r="R1313" s="25" t="s">
        <v>91</v>
      </c>
      <c r="S1313" s="26">
        <v>20</v>
      </c>
      <c r="T1313" s="26">
        <v>52</v>
      </c>
      <c r="U1313" s="28" t="s">
        <v>6419</v>
      </c>
      <c r="V1313" s="66"/>
      <c r="W1313" s="106"/>
      <c r="X1313" s="106" t="s">
        <v>3375</v>
      </c>
      <c r="Y1313" s="26" t="s">
        <v>76</v>
      </c>
      <c r="Z1313" s="75" t="s">
        <v>93</v>
      </c>
      <c r="AA1313" s="30"/>
    </row>
    <row r="1314" spans="1:28" ht="49.5" hidden="1">
      <c r="A1314" s="98">
        <v>1304</v>
      </c>
      <c r="B1314" s="79" t="s">
        <v>6420</v>
      </c>
      <c r="C1314" s="148" t="s">
        <v>8</v>
      </c>
      <c r="D1314" s="80" t="s">
        <v>63</v>
      </c>
      <c r="E1314" s="27" t="s">
        <v>2099</v>
      </c>
      <c r="F1314" s="80" t="s">
        <v>65</v>
      </c>
      <c r="G1314" s="81" t="s">
        <v>2100</v>
      </c>
      <c r="H1314" s="80" t="s">
        <v>2101</v>
      </c>
      <c r="I1314" s="92">
        <v>45790</v>
      </c>
      <c r="J1314" s="80" t="s">
        <v>3565</v>
      </c>
      <c r="K1314" s="80" t="s">
        <v>299</v>
      </c>
      <c r="L1314" s="84" t="s">
        <v>189</v>
      </c>
      <c r="M1314" s="84" t="s">
        <v>252</v>
      </c>
      <c r="N1314" s="84" t="s">
        <v>72</v>
      </c>
      <c r="O1314" s="129" t="s">
        <v>6421</v>
      </c>
      <c r="P1314" s="153" t="s">
        <v>6422</v>
      </c>
      <c r="Q1314" s="49" t="s">
        <v>91</v>
      </c>
      <c r="R1314" s="25"/>
      <c r="S1314" s="26">
        <v>7</v>
      </c>
      <c r="T1314" s="26"/>
      <c r="U1314" s="28" t="s">
        <v>6423</v>
      </c>
      <c r="V1314" s="66"/>
      <c r="W1314" s="106"/>
      <c r="X1314" s="106" t="s">
        <v>76</v>
      </c>
      <c r="Y1314" s="26" t="s">
        <v>76</v>
      </c>
      <c r="Z1314" s="75" t="s">
        <v>193</v>
      </c>
      <c r="AA1314" s="30"/>
    </row>
    <row r="1315" spans="1:28" ht="82.5" hidden="1">
      <c r="A1315" s="98">
        <v>1305</v>
      </c>
      <c r="B1315" s="79" t="s">
        <v>6424</v>
      </c>
      <c r="C1315" s="148" t="s">
        <v>8</v>
      </c>
      <c r="D1315" s="80" t="s">
        <v>63</v>
      </c>
      <c r="E1315" s="27" t="s">
        <v>2418</v>
      </c>
      <c r="F1315" s="80" t="s">
        <v>120</v>
      </c>
      <c r="G1315" s="81" t="s">
        <v>1413</v>
      </c>
      <c r="H1315" s="80" t="s">
        <v>2419</v>
      </c>
      <c r="I1315" s="92">
        <v>45790</v>
      </c>
      <c r="J1315" s="80" t="s">
        <v>145</v>
      </c>
      <c r="K1315" s="80" t="s">
        <v>146</v>
      </c>
      <c r="L1315" s="84" t="s">
        <v>147</v>
      </c>
      <c r="M1315" s="84" t="s">
        <v>148</v>
      </c>
      <c r="N1315" s="84" t="s">
        <v>72</v>
      </c>
      <c r="O1315" s="129" t="s">
        <v>6425</v>
      </c>
      <c r="P1315" s="153" t="s">
        <v>6426</v>
      </c>
      <c r="Q1315" s="49" t="s">
        <v>75</v>
      </c>
      <c r="R1315" s="25" t="s">
        <v>91</v>
      </c>
      <c r="S1315" s="26">
        <v>18</v>
      </c>
      <c r="T1315" s="26">
        <v>60</v>
      </c>
      <c r="U1315" s="28" t="s">
        <v>4010</v>
      </c>
      <c r="V1315" s="66"/>
      <c r="W1315" s="106"/>
      <c r="X1315" s="106" t="s">
        <v>3375</v>
      </c>
      <c r="Y1315" s="26" t="s">
        <v>76</v>
      </c>
      <c r="Z1315" s="75" t="s">
        <v>76</v>
      </c>
      <c r="AA1315" s="30"/>
    </row>
    <row r="1316" spans="1:28" ht="33" hidden="1">
      <c r="A1316" s="98">
        <v>1306</v>
      </c>
      <c r="B1316" s="79" t="s">
        <v>6427</v>
      </c>
      <c r="C1316" s="148" t="s">
        <v>10</v>
      </c>
      <c r="D1316" s="80" t="s">
        <v>63</v>
      </c>
      <c r="E1316" s="27" t="s">
        <v>6428</v>
      </c>
      <c r="F1316" s="80" t="s">
        <v>120</v>
      </c>
      <c r="G1316" s="81" t="s">
        <v>6429</v>
      </c>
      <c r="H1316" s="80" t="s">
        <v>6430</v>
      </c>
      <c r="I1316" s="92">
        <v>45791</v>
      </c>
      <c r="J1316" s="80" t="s">
        <v>4066</v>
      </c>
      <c r="K1316" s="80" t="s">
        <v>3373</v>
      </c>
      <c r="L1316" s="84" t="s">
        <v>10</v>
      </c>
      <c r="M1316" s="84" t="s">
        <v>252</v>
      </c>
      <c r="N1316" s="84" t="s">
        <v>72</v>
      </c>
      <c r="O1316" s="308" t="s">
        <v>6431</v>
      </c>
      <c r="P1316" s="153" t="s">
        <v>6432</v>
      </c>
      <c r="Q1316" s="49" t="s">
        <v>91</v>
      </c>
      <c r="R1316" s="25"/>
      <c r="S1316" s="26">
        <v>5</v>
      </c>
      <c r="T1316" s="26"/>
      <c r="U1316" s="28" t="s">
        <v>6433</v>
      </c>
      <c r="V1316" s="66"/>
      <c r="W1316" s="106"/>
      <c r="X1316" s="106" t="s">
        <v>76</v>
      </c>
      <c r="Y1316" s="26" t="s">
        <v>76</v>
      </c>
      <c r="Z1316" s="75" t="s">
        <v>193</v>
      </c>
      <c r="AA1316" s="30"/>
      <c r="AB1316" s="25" t="s">
        <v>75</v>
      </c>
    </row>
    <row r="1317" spans="1:28" ht="99" hidden="1">
      <c r="A1317" s="98">
        <v>1307</v>
      </c>
      <c r="B1317" s="79" t="s">
        <v>6434</v>
      </c>
      <c r="C1317" s="148" t="s">
        <v>8</v>
      </c>
      <c r="D1317" s="80" t="s">
        <v>63</v>
      </c>
      <c r="E1317" s="27" t="s">
        <v>6435</v>
      </c>
      <c r="F1317" s="80" t="s">
        <v>120</v>
      </c>
      <c r="G1317" s="81" t="s">
        <v>1368</v>
      </c>
      <c r="H1317" s="80" t="s">
        <v>6436</v>
      </c>
      <c r="I1317" s="92">
        <v>45792</v>
      </c>
      <c r="J1317" s="80" t="s">
        <v>4066</v>
      </c>
      <c r="K1317" s="80" t="s">
        <v>69</v>
      </c>
      <c r="L1317" s="84" t="s">
        <v>10</v>
      </c>
      <c r="M1317" s="84" t="s">
        <v>252</v>
      </c>
      <c r="N1317" s="84" t="s">
        <v>72</v>
      </c>
      <c r="O1317" s="129" t="s">
        <v>6437</v>
      </c>
      <c r="P1317" s="153" t="s">
        <v>6438</v>
      </c>
      <c r="Q1317" s="49" t="s">
        <v>75</v>
      </c>
      <c r="R1317" s="25" t="s">
        <v>91</v>
      </c>
      <c r="S1317" s="26">
        <v>20</v>
      </c>
      <c r="T1317" s="26">
        <v>48</v>
      </c>
      <c r="U1317" s="28" t="s">
        <v>6439</v>
      </c>
      <c r="V1317" s="66"/>
      <c r="W1317" s="106"/>
      <c r="X1317" s="106" t="s">
        <v>3375</v>
      </c>
      <c r="Y1317" s="26" t="s">
        <v>76</v>
      </c>
      <c r="Z1317" s="75" t="s">
        <v>93</v>
      </c>
      <c r="AA1317" s="30"/>
    </row>
    <row r="1318" spans="1:28" ht="66" hidden="1">
      <c r="A1318" s="98">
        <v>1308</v>
      </c>
      <c r="B1318" s="79" t="s">
        <v>6440</v>
      </c>
      <c r="C1318" s="148" t="s">
        <v>8</v>
      </c>
      <c r="D1318" s="80" t="s">
        <v>63</v>
      </c>
      <c r="E1318" s="27" t="s">
        <v>4034</v>
      </c>
      <c r="F1318" s="80"/>
      <c r="G1318" s="81" t="s">
        <v>1132</v>
      </c>
      <c r="H1318" s="80" t="s">
        <v>4035</v>
      </c>
      <c r="I1318" s="92">
        <v>45792</v>
      </c>
      <c r="J1318" s="80" t="s">
        <v>4066</v>
      </c>
      <c r="K1318" s="80" t="s">
        <v>69</v>
      </c>
      <c r="L1318" s="84" t="s">
        <v>10</v>
      </c>
      <c r="M1318" s="84" t="s">
        <v>252</v>
      </c>
      <c r="N1318" s="84" t="s">
        <v>72</v>
      </c>
      <c r="O1318" s="129" t="s">
        <v>6441</v>
      </c>
      <c r="P1318" s="153" t="s">
        <v>6442</v>
      </c>
      <c r="Q1318" s="49" t="s">
        <v>91</v>
      </c>
      <c r="R1318" s="25"/>
      <c r="S1318" s="26">
        <v>12</v>
      </c>
      <c r="T1318" s="26"/>
      <c r="U1318" s="28" t="s">
        <v>6443</v>
      </c>
      <c r="V1318" s="66"/>
      <c r="W1318" s="106"/>
      <c r="X1318" s="106" t="s">
        <v>76</v>
      </c>
      <c r="Y1318" s="26" t="s">
        <v>76</v>
      </c>
      <c r="Z1318" s="75" t="s">
        <v>193</v>
      </c>
      <c r="AA1318" s="30"/>
    </row>
    <row r="1319" spans="1:28" ht="49.5" hidden="1">
      <c r="A1319" s="98">
        <v>1309</v>
      </c>
      <c r="B1319" s="79" t="s">
        <v>6444</v>
      </c>
      <c r="C1319" s="148" t="s">
        <v>8</v>
      </c>
      <c r="D1319" s="80" t="s">
        <v>63</v>
      </c>
      <c r="E1319" s="27" t="s">
        <v>2603</v>
      </c>
      <c r="F1319" s="80" t="s">
        <v>284</v>
      </c>
      <c r="G1319" s="81" t="s">
        <v>6445</v>
      </c>
      <c r="H1319" s="80" t="s">
        <v>2604</v>
      </c>
      <c r="I1319" s="92">
        <v>45793</v>
      </c>
      <c r="J1319" s="80" t="s">
        <v>3565</v>
      </c>
      <c r="K1319" s="80" t="s">
        <v>299</v>
      </c>
      <c r="L1319" s="84" t="s">
        <v>189</v>
      </c>
      <c r="M1319" s="84" t="s">
        <v>601</v>
      </c>
      <c r="N1319" s="84" t="s">
        <v>72</v>
      </c>
      <c r="O1319" s="129" t="s">
        <v>6446</v>
      </c>
      <c r="P1319" s="153" t="s">
        <v>6447</v>
      </c>
      <c r="Q1319" s="49" t="s">
        <v>75</v>
      </c>
      <c r="R1319" s="25" t="s">
        <v>91</v>
      </c>
      <c r="S1319" s="26">
        <v>18</v>
      </c>
      <c r="T1319" s="26">
        <v>53</v>
      </c>
      <c r="U1319" s="28" t="s">
        <v>6448</v>
      </c>
      <c r="V1319" s="66"/>
      <c r="W1319" s="106"/>
      <c r="X1319" s="106" t="s">
        <v>3375</v>
      </c>
      <c r="Y1319" s="26" t="s">
        <v>76</v>
      </c>
      <c r="Z1319" s="93" t="s">
        <v>93</v>
      </c>
      <c r="AA1319" s="30"/>
    </row>
    <row r="1320" spans="1:28" ht="33" hidden="1">
      <c r="A1320" s="98">
        <v>1310</v>
      </c>
      <c r="B1320" s="79" t="s">
        <v>6449</v>
      </c>
      <c r="C1320" s="148" t="s">
        <v>8</v>
      </c>
      <c r="D1320" s="80" t="s">
        <v>63</v>
      </c>
      <c r="E1320" s="27" t="s">
        <v>1412</v>
      </c>
      <c r="F1320" s="80" t="s">
        <v>109</v>
      </c>
      <c r="G1320" s="81" t="s">
        <v>1413</v>
      </c>
      <c r="H1320" s="80" t="s">
        <v>1414</v>
      </c>
      <c r="I1320" s="92">
        <v>45793</v>
      </c>
      <c r="J1320" s="80" t="s">
        <v>3565</v>
      </c>
      <c r="K1320" s="80" t="s">
        <v>299</v>
      </c>
      <c r="L1320" s="84" t="s">
        <v>189</v>
      </c>
      <c r="M1320" s="84" t="s">
        <v>601</v>
      </c>
      <c r="N1320" s="84" t="s">
        <v>72</v>
      </c>
      <c r="O1320" s="129" t="s">
        <v>6450</v>
      </c>
      <c r="P1320" s="153" t="s">
        <v>6451</v>
      </c>
      <c r="Q1320" s="49" t="s">
        <v>91</v>
      </c>
      <c r="R1320" s="25"/>
      <c r="S1320" s="26">
        <v>7</v>
      </c>
      <c r="T1320" s="26"/>
      <c r="U1320" s="28" t="s">
        <v>6452</v>
      </c>
      <c r="V1320" s="66"/>
      <c r="W1320" s="106"/>
      <c r="X1320" s="106" t="s">
        <v>76</v>
      </c>
      <c r="Y1320" s="26" t="s">
        <v>76</v>
      </c>
      <c r="Z1320" s="75" t="s">
        <v>193</v>
      </c>
      <c r="AA1320" s="30"/>
    </row>
    <row r="1321" spans="1:28" ht="49.5" hidden="1">
      <c r="A1321" s="98">
        <v>1311</v>
      </c>
      <c r="B1321" s="79" t="s">
        <v>6453</v>
      </c>
      <c r="C1321" s="148" t="s">
        <v>8</v>
      </c>
      <c r="D1321" s="80" t="s">
        <v>63</v>
      </c>
      <c r="E1321" s="27" t="s">
        <v>6454</v>
      </c>
      <c r="F1321" s="80" t="s">
        <v>65</v>
      </c>
      <c r="G1321" s="81" t="s">
        <v>6445</v>
      </c>
      <c r="H1321" s="80" t="s">
        <v>6455</v>
      </c>
      <c r="I1321" s="92">
        <v>45793</v>
      </c>
      <c r="J1321" s="80" t="s">
        <v>3505</v>
      </c>
      <c r="K1321" s="80" t="s">
        <v>69</v>
      </c>
      <c r="L1321" s="84" t="s">
        <v>100</v>
      </c>
      <c r="M1321" s="84" t="s">
        <v>252</v>
      </c>
      <c r="N1321" s="84" t="s">
        <v>72</v>
      </c>
      <c r="O1321" s="129" t="s">
        <v>6456</v>
      </c>
      <c r="P1321" s="153" t="s">
        <v>6457</v>
      </c>
      <c r="Q1321" s="49" t="s">
        <v>75</v>
      </c>
      <c r="R1321" s="25" t="s">
        <v>91</v>
      </c>
      <c r="S1321" s="26">
        <v>20</v>
      </c>
      <c r="T1321" s="26">
        <v>48</v>
      </c>
      <c r="U1321" s="28" t="s">
        <v>6458</v>
      </c>
      <c r="V1321" s="66"/>
      <c r="W1321" s="106"/>
      <c r="X1321" s="106" t="s">
        <v>3375</v>
      </c>
      <c r="Y1321" s="26" t="s">
        <v>76</v>
      </c>
      <c r="Z1321" s="75" t="s">
        <v>93</v>
      </c>
      <c r="AA1321" s="30"/>
    </row>
    <row r="1322" spans="1:28" ht="148.5" hidden="1">
      <c r="A1322" s="98">
        <v>1312</v>
      </c>
      <c r="B1322" s="79" t="s">
        <v>6459</v>
      </c>
      <c r="C1322" s="148" t="s">
        <v>8</v>
      </c>
      <c r="D1322" s="80" t="s">
        <v>63</v>
      </c>
      <c r="E1322" s="27" t="s">
        <v>2738</v>
      </c>
      <c r="F1322" s="80" t="s">
        <v>65</v>
      </c>
      <c r="G1322" s="81" t="s">
        <v>1413</v>
      </c>
      <c r="H1322" s="80" t="s">
        <v>2739</v>
      </c>
      <c r="I1322" s="92">
        <v>45793</v>
      </c>
      <c r="J1322" s="80" t="s">
        <v>3512</v>
      </c>
      <c r="K1322" s="80" t="s">
        <v>299</v>
      </c>
      <c r="L1322" s="84" t="s">
        <v>189</v>
      </c>
      <c r="M1322" s="84" t="s">
        <v>221</v>
      </c>
      <c r="N1322" s="84" t="s">
        <v>72</v>
      </c>
      <c r="O1322" s="129" t="s">
        <v>6460</v>
      </c>
      <c r="P1322" s="153" t="s">
        <v>6461</v>
      </c>
      <c r="Q1322" s="49" t="s">
        <v>75</v>
      </c>
      <c r="R1322" s="25" t="s">
        <v>91</v>
      </c>
      <c r="S1322" s="26">
        <v>21</v>
      </c>
      <c r="T1322" s="26">
        <v>58</v>
      </c>
      <c r="U1322" s="28" t="s">
        <v>6462</v>
      </c>
      <c r="V1322" s="66"/>
      <c r="W1322" s="106"/>
      <c r="X1322" s="106" t="s">
        <v>3375</v>
      </c>
      <c r="Y1322" s="26" t="s">
        <v>76</v>
      </c>
      <c r="Z1322" s="93" t="s">
        <v>93</v>
      </c>
      <c r="AA1322" s="30"/>
    </row>
    <row r="1323" spans="1:28" ht="33" hidden="1">
      <c r="A1323" s="98">
        <v>1313</v>
      </c>
      <c r="B1323" s="79" t="s">
        <v>6463</v>
      </c>
      <c r="C1323" s="148" t="s">
        <v>8</v>
      </c>
      <c r="D1323" s="80" t="s">
        <v>63</v>
      </c>
      <c r="E1323" s="27" t="s">
        <v>1498</v>
      </c>
      <c r="F1323" s="80" t="s">
        <v>109</v>
      </c>
      <c r="G1323" s="81" t="s">
        <v>1413</v>
      </c>
      <c r="H1323" s="80" t="s">
        <v>1499</v>
      </c>
      <c r="I1323" s="92">
        <v>45793</v>
      </c>
      <c r="J1323" s="80" t="s">
        <v>3526</v>
      </c>
      <c r="K1323" s="80" t="s">
        <v>299</v>
      </c>
      <c r="L1323" s="84" t="s">
        <v>189</v>
      </c>
      <c r="M1323" s="84" t="s">
        <v>114</v>
      </c>
      <c r="N1323" s="84" t="s">
        <v>72</v>
      </c>
      <c r="O1323" s="129" t="s">
        <v>6464</v>
      </c>
      <c r="P1323" s="153" t="s">
        <v>6465</v>
      </c>
      <c r="Q1323" s="49" t="s">
        <v>75</v>
      </c>
      <c r="R1323" s="25" t="s">
        <v>91</v>
      </c>
      <c r="S1323" s="26">
        <v>20</v>
      </c>
      <c r="T1323" s="26">
        <v>57</v>
      </c>
      <c r="U1323" s="28" t="s">
        <v>6466</v>
      </c>
      <c r="V1323" s="66"/>
      <c r="W1323" s="106"/>
      <c r="X1323" s="106" t="s">
        <v>3375</v>
      </c>
      <c r="Y1323" s="26" t="s">
        <v>76</v>
      </c>
      <c r="Z1323" s="93" t="s">
        <v>93</v>
      </c>
      <c r="AA1323" s="30"/>
    </row>
    <row r="1324" spans="1:28" ht="49.5" hidden="1">
      <c r="A1324" s="98">
        <v>1314</v>
      </c>
      <c r="B1324" s="79" t="s">
        <v>6467</v>
      </c>
      <c r="C1324" s="148" t="s">
        <v>8</v>
      </c>
      <c r="D1324" s="80" t="s">
        <v>63</v>
      </c>
      <c r="E1324" s="27" t="s">
        <v>6468</v>
      </c>
      <c r="F1324" s="80" t="s">
        <v>284</v>
      </c>
      <c r="G1324" s="81" t="s">
        <v>6445</v>
      </c>
      <c r="H1324" s="80" t="s">
        <v>6469</v>
      </c>
      <c r="I1324" s="92">
        <v>45793</v>
      </c>
      <c r="J1324" s="80" t="s">
        <v>3526</v>
      </c>
      <c r="K1324" s="80" t="s">
        <v>299</v>
      </c>
      <c r="L1324" s="84" t="s">
        <v>189</v>
      </c>
      <c r="M1324" s="84" t="s">
        <v>114</v>
      </c>
      <c r="N1324" s="84" t="s">
        <v>72</v>
      </c>
      <c r="O1324" s="129" t="s">
        <v>6470</v>
      </c>
      <c r="P1324" s="153" t="s">
        <v>6471</v>
      </c>
      <c r="Q1324" s="49" t="s">
        <v>91</v>
      </c>
      <c r="R1324" s="25"/>
      <c r="S1324" s="26">
        <v>6</v>
      </c>
      <c r="T1324" s="26"/>
      <c r="U1324" s="28" t="s">
        <v>6472</v>
      </c>
      <c r="V1324" s="66"/>
      <c r="W1324" s="106"/>
      <c r="X1324" s="106" t="s">
        <v>76</v>
      </c>
      <c r="Y1324" s="26" t="s">
        <v>76</v>
      </c>
      <c r="Z1324" s="75" t="s">
        <v>193</v>
      </c>
      <c r="AA1324" s="30"/>
    </row>
    <row r="1325" spans="1:28" ht="66" hidden="1">
      <c r="A1325" s="98">
        <v>1315</v>
      </c>
      <c r="B1325" s="79" t="s">
        <v>6473</v>
      </c>
      <c r="C1325" s="148" t="s">
        <v>8</v>
      </c>
      <c r="D1325" s="80" t="s">
        <v>63</v>
      </c>
      <c r="E1325" s="27" t="s">
        <v>2917</v>
      </c>
      <c r="F1325" s="80" t="s">
        <v>284</v>
      </c>
      <c r="G1325" s="81" t="s">
        <v>1413</v>
      </c>
      <c r="H1325" s="80" t="s">
        <v>2918</v>
      </c>
      <c r="I1325" s="92">
        <v>45793</v>
      </c>
      <c r="J1325" s="80" t="s">
        <v>3505</v>
      </c>
      <c r="K1325" s="80" t="s">
        <v>112</v>
      </c>
      <c r="L1325" s="84" t="s">
        <v>251</v>
      </c>
      <c r="M1325" s="84" t="s">
        <v>252</v>
      </c>
      <c r="N1325" s="84" t="s">
        <v>72</v>
      </c>
      <c r="O1325" s="129" t="s">
        <v>6474</v>
      </c>
      <c r="P1325" s="153" t="s">
        <v>6475</v>
      </c>
      <c r="Q1325" s="49" t="s">
        <v>75</v>
      </c>
      <c r="R1325" s="25" t="s">
        <v>91</v>
      </c>
      <c r="S1325" s="26">
        <v>19</v>
      </c>
      <c r="T1325" s="26">
        <v>54</v>
      </c>
      <c r="U1325" s="28" t="s">
        <v>6476</v>
      </c>
      <c r="V1325" s="66"/>
      <c r="W1325" s="106"/>
      <c r="X1325" s="106" t="s">
        <v>3375</v>
      </c>
      <c r="Y1325" s="26" t="s">
        <v>76</v>
      </c>
      <c r="Z1325" s="75" t="s">
        <v>93</v>
      </c>
      <c r="AA1325" s="30"/>
    </row>
    <row r="1326" spans="1:28" ht="33" hidden="1">
      <c r="A1326" s="98">
        <v>1316</v>
      </c>
      <c r="B1326" s="79" t="s">
        <v>6477</v>
      </c>
      <c r="C1326" s="148" t="s">
        <v>8</v>
      </c>
      <c r="D1326" s="80" t="s">
        <v>63</v>
      </c>
      <c r="E1326" s="27" t="s">
        <v>2099</v>
      </c>
      <c r="F1326" s="80" t="s">
        <v>65</v>
      </c>
      <c r="G1326" s="81" t="s">
        <v>2100</v>
      </c>
      <c r="H1326" s="80" t="s">
        <v>2101</v>
      </c>
      <c r="I1326" s="92">
        <v>45793</v>
      </c>
      <c r="J1326" s="80" t="s">
        <v>3543</v>
      </c>
      <c r="K1326" s="80" t="s">
        <v>112</v>
      </c>
      <c r="L1326" s="84" t="s">
        <v>122</v>
      </c>
      <c r="M1326" s="84" t="s">
        <v>114</v>
      </c>
      <c r="N1326" s="84" t="s">
        <v>72</v>
      </c>
      <c r="O1326" s="129" t="s">
        <v>6478</v>
      </c>
      <c r="P1326" s="153" t="s">
        <v>6479</v>
      </c>
      <c r="Q1326" s="49" t="s">
        <v>75</v>
      </c>
      <c r="R1326" s="196" t="s">
        <v>91</v>
      </c>
      <c r="S1326" s="26">
        <v>21</v>
      </c>
      <c r="T1326" s="198"/>
      <c r="U1326" s="28" t="s">
        <v>6480</v>
      </c>
      <c r="V1326" s="66"/>
      <c r="W1326" s="106"/>
      <c r="X1326" s="106" t="s">
        <v>3375</v>
      </c>
      <c r="Y1326" s="26" t="s">
        <v>76</v>
      </c>
      <c r="Z1326" s="75" t="s">
        <v>106</v>
      </c>
      <c r="AA1326" s="30"/>
    </row>
    <row r="1327" spans="1:28" ht="66" hidden="1">
      <c r="A1327" s="98">
        <v>1317</v>
      </c>
      <c r="B1327" s="79" t="s">
        <v>6481</v>
      </c>
      <c r="C1327" s="148" t="s">
        <v>8</v>
      </c>
      <c r="D1327" s="80" t="s">
        <v>63</v>
      </c>
      <c r="E1327" s="27" t="s">
        <v>2099</v>
      </c>
      <c r="F1327" s="80" t="s">
        <v>65</v>
      </c>
      <c r="G1327" s="81" t="s">
        <v>2100</v>
      </c>
      <c r="H1327" s="80" t="s">
        <v>2101</v>
      </c>
      <c r="I1327" s="92">
        <v>45793</v>
      </c>
      <c r="J1327" s="80" t="s">
        <v>3505</v>
      </c>
      <c r="K1327" s="80" t="s">
        <v>69</v>
      </c>
      <c r="L1327" s="84" t="s">
        <v>100</v>
      </c>
      <c r="M1327" s="84" t="s">
        <v>252</v>
      </c>
      <c r="N1327" s="84" t="s">
        <v>72</v>
      </c>
      <c r="O1327" s="129" t="s">
        <v>6482</v>
      </c>
      <c r="P1327" s="153" t="s">
        <v>6483</v>
      </c>
      <c r="Q1327" s="49" t="s">
        <v>91</v>
      </c>
      <c r="R1327" s="25"/>
      <c r="S1327" s="26">
        <v>16</v>
      </c>
      <c r="T1327" s="26"/>
      <c r="U1327" s="28" t="s">
        <v>6484</v>
      </c>
      <c r="V1327" s="66"/>
      <c r="W1327" s="106"/>
      <c r="X1327" s="106" t="s">
        <v>76</v>
      </c>
      <c r="Y1327" s="26" t="s">
        <v>76</v>
      </c>
      <c r="Z1327" s="75" t="s">
        <v>193</v>
      </c>
      <c r="AA1327" s="30"/>
    </row>
    <row r="1328" spans="1:28" ht="296.25" hidden="1">
      <c r="A1328" s="98">
        <v>1318</v>
      </c>
      <c r="B1328" s="79" t="s">
        <v>6485</v>
      </c>
      <c r="C1328" s="148" t="s">
        <v>8</v>
      </c>
      <c r="D1328" s="80" t="s">
        <v>63</v>
      </c>
      <c r="E1328" s="27" t="s">
        <v>2644</v>
      </c>
      <c r="F1328" s="80" t="s">
        <v>284</v>
      </c>
      <c r="G1328" s="81" t="s">
        <v>1413</v>
      </c>
      <c r="H1328" s="80" t="s">
        <v>2645</v>
      </c>
      <c r="I1328" s="92">
        <v>45794</v>
      </c>
      <c r="J1328" s="80" t="s">
        <v>3565</v>
      </c>
      <c r="K1328" s="80" t="s">
        <v>299</v>
      </c>
      <c r="L1328" s="84" t="s">
        <v>189</v>
      </c>
      <c r="M1328" s="84" t="s">
        <v>252</v>
      </c>
      <c r="N1328" s="84" t="s">
        <v>72</v>
      </c>
      <c r="O1328" s="129" t="s">
        <v>6486</v>
      </c>
      <c r="P1328" s="153" t="s">
        <v>6487</v>
      </c>
      <c r="Q1328" s="49" t="s">
        <v>75</v>
      </c>
      <c r="R1328" s="196" t="s">
        <v>91</v>
      </c>
      <c r="S1328" s="26">
        <v>21</v>
      </c>
      <c r="T1328" s="26">
        <v>65</v>
      </c>
      <c r="U1328" s="28" t="s">
        <v>6488</v>
      </c>
      <c r="V1328" s="66"/>
      <c r="W1328" s="106"/>
      <c r="X1328" s="106" t="s">
        <v>3375</v>
      </c>
      <c r="Y1328" s="26" t="s">
        <v>76</v>
      </c>
      <c r="Z1328" s="75" t="s">
        <v>106</v>
      </c>
      <c r="AA1328" s="30"/>
    </row>
    <row r="1329" spans="1:27" ht="49.5" hidden="1">
      <c r="A1329" s="98">
        <v>1319</v>
      </c>
      <c r="B1329" s="79" t="s">
        <v>6489</v>
      </c>
      <c r="C1329" s="148" t="s">
        <v>8</v>
      </c>
      <c r="D1329" s="80" t="s">
        <v>63</v>
      </c>
      <c r="E1329" s="27" t="s">
        <v>6490</v>
      </c>
      <c r="F1329" s="80" t="s">
        <v>284</v>
      </c>
      <c r="G1329" s="81" t="s">
        <v>6445</v>
      </c>
      <c r="H1329" s="80" t="s">
        <v>6491</v>
      </c>
      <c r="I1329" s="92">
        <v>45794</v>
      </c>
      <c r="J1329" s="80" t="s">
        <v>3505</v>
      </c>
      <c r="K1329" s="80" t="s">
        <v>69</v>
      </c>
      <c r="L1329" s="84" t="s">
        <v>100</v>
      </c>
      <c r="M1329" s="84" t="s">
        <v>252</v>
      </c>
      <c r="N1329" s="84" t="s">
        <v>72</v>
      </c>
      <c r="O1329" s="129" t="s">
        <v>6492</v>
      </c>
      <c r="P1329" s="153" t="s">
        <v>6493</v>
      </c>
      <c r="Q1329" s="49" t="s">
        <v>91</v>
      </c>
      <c r="R1329" s="25"/>
      <c r="S1329" s="26">
        <v>8</v>
      </c>
      <c r="T1329" s="26"/>
      <c r="U1329" s="28"/>
      <c r="V1329" s="66"/>
      <c r="W1329" s="106"/>
      <c r="X1329" s="106" t="s">
        <v>76</v>
      </c>
      <c r="Y1329" s="26" t="s">
        <v>76</v>
      </c>
      <c r="Z1329" s="75" t="s">
        <v>193</v>
      </c>
      <c r="AA1329" s="30"/>
    </row>
    <row r="1330" spans="1:27" ht="49.5" hidden="1">
      <c r="A1330" s="98">
        <v>1320</v>
      </c>
      <c r="B1330" s="79" t="s">
        <v>6494</v>
      </c>
      <c r="C1330" s="148" t="s">
        <v>8</v>
      </c>
      <c r="D1330" s="80" t="s">
        <v>63</v>
      </c>
      <c r="E1330" s="27" t="s">
        <v>6495</v>
      </c>
      <c r="F1330" s="80" t="s">
        <v>284</v>
      </c>
      <c r="G1330" s="81" t="s">
        <v>6445</v>
      </c>
      <c r="H1330" s="80" t="s">
        <v>6496</v>
      </c>
      <c r="I1330" s="92">
        <v>45794</v>
      </c>
      <c r="J1330" s="80" t="s">
        <v>3505</v>
      </c>
      <c r="K1330" s="80" t="s">
        <v>69</v>
      </c>
      <c r="L1330" s="84" t="s">
        <v>100</v>
      </c>
      <c r="M1330" s="84" t="s">
        <v>252</v>
      </c>
      <c r="N1330" s="84" t="s">
        <v>72</v>
      </c>
      <c r="O1330" s="129" t="s">
        <v>6497</v>
      </c>
      <c r="P1330" s="153" t="s">
        <v>6498</v>
      </c>
      <c r="Q1330" s="49" t="s">
        <v>91</v>
      </c>
      <c r="R1330" s="25"/>
      <c r="S1330" s="26" t="s">
        <v>6499</v>
      </c>
      <c r="T1330" s="26"/>
      <c r="U1330" s="28" t="s">
        <v>6500</v>
      </c>
      <c r="V1330" s="66"/>
      <c r="W1330" s="106"/>
      <c r="X1330" s="106" t="s">
        <v>76</v>
      </c>
      <c r="Y1330" s="26" t="s">
        <v>76</v>
      </c>
      <c r="Z1330" s="75" t="s">
        <v>193</v>
      </c>
      <c r="AA1330" s="30"/>
    </row>
    <row r="1331" spans="1:27" ht="33" hidden="1">
      <c r="A1331" s="98">
        <v>1321</v>
      </c>
      <c r="B1331" s="79" t="s">
        <v>6501</v>
      </c>
      <c r="C1331" s="148" t="s">
        <v>8</v>
      </c>
      <c r="D1331" s="80" t="s">
        <v>63</v>
      </c>
      <c r="E1331" s="27" t="s">
        <v>2925</v>
      </c>
      <c r="F1331" s="80" t="s">
        <v>65</v>
      </c>
      <c r="G1331" s="81" t="s">
        <v>1413</v>
      </c>
      <c r="H1331" s="80" t="s">
        <v>2926</v>
      </c>
      <c r="I1331" s="92">
        <v>45794</v>
      </c>
      <c r="J1331" s="80" t="s">
        <v>3500</v>
      </c>
      <c r="K1331" s="80" t="s">
        <v>198</v>
      </c>
      <c r="L1331" s="84" t="s">
        <v>199</v>
      </c>
      <c r="M1331" s="84" t="s">
        <v>221</v>
      </c>
      <c r="N1331" s="84" t="s">
        <v>72</v>
      </c>
      <c r="O1331" s="129" t="s">
        <v>6502</v>
      </c>
      <c r="P1331" s="153" t="s">
        <v>6503</v>
      </c>
      <c r="Q1331" s="49" t="s">
        <v>75</v>
      </c>
      <c r="R1331" s="25" t="s">
        <v>91</v>
      </c>
      <c r="S1331" s="26">
        <v>18</v>
      </c>
      <c r="T1331" s="26">
        <v>60</v>
      </c>
      <c r="U1331" s="28" t="s">
        <v>6504</v>
      </c>
      <c r="V1331" s="66"/>
      <c r="W1331" s="106"/>
      <c r="X1331" s="106" t="s">
        <v>3375</v>
      </c>
      <c r="Y1331" s="26" t="s">
        <v>76</v>
      </c>
      <c r="Z1331" s="75" t="s">
        <v>76</v>
      </c>
      <c r="AA1331" s="30"/>
    </row>
    <row r="1332" spans="1:27" ht="99" hidden="1">
      <c r="A1332" s="98">
        <v>1322</v>
      </c>
      <c r="B1332" s="79" t="s">
        <v>6505</v>
      </c>
      <c r="C1332" s="148" t="s">
        <v>8</v>
      </c>
      <c r="D1332" s="80" t="s">
        <v>63</v>
      </c>
      <c r="E1332" s="27" t="s">
        <v>6506</v>
      </c>
      <c r="F1332" s="80" t="s">
        <v>65</v>
      </c>
      <c r="G1332" s="81" t="s">
        <v>1413</v>
      </c>
      <c r="H1332" s="80" t="s">
        <v>6507</v>
      </c>
      <c r="I1332" s="92">
        <v>45794</v>
      </c>
      <c r="J1332" s="80" t="s">
        <v>3565</v>
      </c>
      <c r="K1332" s="80" t="s">
        <v>69</v>
      </c>
      <c r="L1332" s="84" t="s">
        <v>189</v>
      </c>
      <c r="M1332" s="84" t="s">
        <v>252</v>
      </c>
      <c r="N1332" s="84" t="s">
        <v>72</v>
      </c>
      <c r="O1332" s="129" t="s">
        <v>6508</v>
      </c>
      <c r="P1332" s="153" t="s">
        <v>6509</v>
      </c>
      <c r="Q1332" s="49" t="s">
        <v>75</v>
      </c>
      <c r="R1332" s="25" t="s">
        <v>91</v>
      </c>
      <c r="S1332" s="26">
        <v>20</v>
      </c>
      <c r="T1332" s="26">
        <v>52</v>
      </c>
      <c r="U1332" s="28" t="s">
        <v>6510</v>
      </c>
      <c r="V1332" s="66"/>
      <c r="W1332" s="106"/>
      <c r="X1332" s="106" t="s">
        <v>3375</v>
      </c>
      <c r="Y1332" s="26" t="s">
        <v>76</v>
      </c>
      <c r="Z1332" s="75" t="s">
        <v>93</v>
      </c>
      <c r="AA1332" s="30"/>
    </row>
    <row r="1333" spans="1:27" ht="66" hidden="1">
      <c r="A1333" s="98">
        <v>1323</v>
      </c>
      <c r="B1333" s="79" t="s">
        <v>6511</v>
      </c>
      <c r="C1333" s="148" t="s">
        <v>8</v>
      </c>
      <c r="D1333" s="80" t="s">
        <v>63</v>
      </c>
      <c r="E1333" s="27" t="s">
        <v>6512</v>
      </c>
      <c r="F1333" s="80" t="s">
        <v>284</v>
      </c>
      <c r="G1333" s="81" t="s">
        <v>6445</v>
      </c>
      <c r="H1333" s="80" t="s">
        <v>6513</v>
      </c>
      <c r="I1333" s="92">
        <v>45794</v>
      </c>
      <c r="J1333" s="80" t="s">
        <v>3565</v>
      </c>
      <c r="K1333" s="80" t="s">
        <v>86</v>
      </c>
      <c r="L1333" s="84" t="s">
        <v>189</v>
      </c>
      <c r="M1333" s="84" t="s">
        <v>601</v>
      </c>
      <c r="N1333" s="84" t="s">
        <v>72</v>
      </c>
      <c r="O1333" s="129" t="s">
        <v>6514</v>
      </c>
      <c r="P1333" s="153" t="s">
        <v>6515</v>
      </c>
      <c r="Q1333" s="49" t="s">
        <v>75</v>
      </c>
      <c r="R1333" s="25" t="s">
        <v>91</v>
      </c>
      <c r="S1333" s="26">
        <v>18</v>
      </c>
      <c r="T1333" s="26">
        <v>44</v>
      </c>
      <c r="U1333" s="28" t="s">
        <v>6516</v>
      </c>
      <c r="V1333" s="66"/>
      <c r="W1333" s="106"/>
      <c r="X1333" s="106" t="s">
        <v>3375</v>
      </c>
      <c r="Y1333" s="26" t="s">
        <v>76</v>
      </c>
      <c r="Z1333" s="75" t="s">
        <v>76</v>
      </c>
      <c r="AA1333" s="30"/>
    </row>
    <row r="1334" spans="1:27" ht="33" hidden="1">
      <c r="A1334" s="98">
        <v>1324</v>
      </c>
      <c r="B1334" s="79" t="s">
        <v>6517</v>
      </c>
      <c r="C1334" s="148" t="s">
        <v>8</v>
      </c>
      <c r="D1334" s="80" t="s">
        <v>63</v>
      </c>
      <c r="E1334" s="27" t="s">
        <v>6518</v>
      </c>
      <c r="F1334" s="80" t="s">
        <v>65</v>
      </c>
      <c r="G1334" s="81" t="s">
        <v>277</v>
      </c>
      <c r="H1334" s="80" t="s">
        <v>6519</v>
      </c>
      <c r="I1334" s="92">
        <v>45796</v>
      </c>
      <c r="J1334" s="80" t="s">
        <v>3505</v>
      </c>
      <c r="K1334" s="80" t="s">
        <v>69</v>
      </c>
      <c r="L1334" s="84" t="s">
        <v>70</v>
      </c>
      <c r="M1334" s="84" t="s">
        <v>252</v>
      </c>
      <c r="N1334" s="84" t="s">
        <v>72</v>
      </c>
      <c r="O1334" s="129" t="s">
        <v>6520</v>
      </c>
      <c r="P1334" s="153" t="s">
        <v>6521</v>
      </c>
      <c r="Q1334" s="49" t="s">
        <v>75</v>
      </c>
      <c r="R1334" s="25" t="s">
        <v>91</v>
      </c>
      <c r="S1334" s="26">
        <v>20</v>
      </c>
      <c r="T1334" s="26" t="s">
        <v>313</v>
      </c>
      <c r="U1334" s="28" t="s">
        <v>6522</v>
      </c>
      <c r="V1334" s="66"/>
      <c r="W1334" s="106"/>
      <c r="X1334" s="106" t="s">
        <v>3375</v>
      </c>
      <c r="Y1334" s="26" t="s">
        <v>76</v>
      </c>
      <c r="Z1334" s="75" t="s">
        <v>93</v>
      </c>
      <c r="AA1334" s="30"/>
    </row>
    <row r="1335" spans="1:27" ht="49.5" hidden="1">
      <c r="A1335" s="98">
        <v>1325</v>
      </c>
      <c r="B1335" s="79" t="s">
        <v>6523</v>
      </c>
      <c r="C1335" s="148" t="s">
        <v>8</v>
      </c>
      <c r="D1335" s="80" t="s">
        <v>63</v>
      </c>
      <c r="E1335" s="27" t="s">
        <v>3682</v>
      </c>
      <c r="F1335" s="80" t="s">
        <v>65</v>
      </c>
      <c r="G1335" s="81" t="s">
        <v>1701</v>
      </c>
      <c r="H1335" s="80" t="s">
        <v>3683</v>
      </c>
      <c r="I1335" s="92">
        <v>45796</v>
      </c>
      <c r="J1335" s="80" t="s">
        <v>3505</v>
      </c>
      <c r="K1335" s="80" t="s">
        <v>69</v>
      </c>
      <c r="L1335" s="84" t="s">
        <v>70</v>
      </c>
      <c r="M1335" s="84" t="s">
        <v>252</v>
      </c>
      <c r="N1335" s="84" t="s">
        <v>72</v>
      </c>
      <c r="O1335" s="129" t="s">
        <v>6524</v>
      </c>
      <c r="P1335" s="153" t="s">
        <v>6525</v>
      </c>
      <c r="Q1335" s="49" t="s">
        <v>75</v>
      </c>
      <c r="R1335" s="25" t="s">
        <v>91</v>
      </c>
      <c r="S1335" s="26">
        <v>22</v>
      </c>
      <c r="T1335" s="26">
        <v>58</v>
      </c>
      <c r="U1335" s="28" t="s">
        <v>6526</v>
      </c>
      <c r="V1335" s="66"/>
      <c r="W1335" s="106"/>
      <c r="X1335" s="106" t="s">
        <v>3375</v>
      </c>
      <c r="Y1335" s="26" t="s">
        <v>76</v>
      </c>
      <c r="Z1335" s="75" t="s">
        <v>93</v>
      </c>
      <c r="AA1335" s="30"/>
    </row>
    <row r="1336" spans="1:27" ht="49.5" hidden="1">
      <c r="A1336" s="98">
        <v>1326</v>
      </c>
      <c r="B1336" s="79" t="s">
        <v>6527</v>
      </c>
      <c r="C1336" s="148" t="s">
        <v>8</v>
      </c>
      <c r="D1336" s="80" t="s">
        <v>63</v>
      </c>
      <c r="E1336" s="27" t="s">
        <v>1591</v>
      </c>
      <c r="F1336" s="80" t="s">
        <v>109</v>
      </c>
      <c r="G1336" s="81" t="s">
        <v>1132</v>
      </c>
      <c r="H1336" s="80" t="s">
        <v>1592</v>
      </c>
      <c r="I1336" s="92">
        <v>45797</v>
      </c>
      <c r="J1336" s="80" t="s">
        <v>1079</v>
      </c>
      <c r="K1336" s="80" t="s">
        <v>156</v>
      </c>
      <c r="L1336" s="84" t="s">
        <v>122</v>
      </c>
      <c r="M1336" s="84" t="s">
        <v>71</v>
      </c>
      <c r="N1336" s="84" t="s">
        <v>72</v>
      </c>
      <c r="O1336" s="129" t="s">
        <v>6528</v>
      </c>
      <c r="P1336" s="153" t="s">
        <v>6529</v>
      </c>
      <c r="Q1336" s="49" t="s">
        <v>75</v>
      </c>
      <c r="R1336" s="25" t="s">
        <v>91</v>
      </c>
      <c r="S1336" s="26">
        <v>18</v>
      </c>
      <c r="T1336" s="26">
        <v>66</v>
      </c>
      <c r="U1336" s="28" t="s">
        <v>6530</v>
      </c>
      <c r="V1336" s="66"/>
      <c r="W1336" s="106"/>
      <c r="X1336" s="106" t="s">
        <v>3375</v>
      </c>
      <c r="Y1336" s="26" t="s">
        <v>76</v>
      </c>
      <c r="Z1336" s="75" t="s">
        <v>93</v>
      </c>
      <c r="AA1336" s="30"/>
    </row>
    <row r="1337" spans="1:27" ht="82.5" hidden="1">
      <c r="A1337" s="98">
        <v>1327</v>
      </c>
      <c r="B1337" s="79" t="s">
        <v>6531</v>
      </c>
      <c r="C1337" s="148" t="s">
        <v>10</v>
      </c>
      <c r="D1337" s="80" t="s">
        <v>63</v>
      </c>
      <c r="E1337" s="27" t="s">
        <v>6532</v>
      </c>
      <c r="F1337" s="80" t="s">
        <v>120</v>
      </c>
      <c r="G1337" s="81" t="s">
        <v>1826</v>
      </c>
      <c r="H1337" s="80" t="s">
        <v>6533</v>
      </c>
      <c r="I1337" s="92">
        <v>45798</v>
      </c>
      <c r="J1337" s="80" t="s">
        <v>3517</v>
      </c>
      <c r="K1337" s="80" t="s">
        <v>3373</v>
      </c>
      <c r="L1337" s="84" t="s">
        <v>300</v>
      </c>
      <c r="M1337" s="84" t="s">
        <v>784</v>
      </c>
      <c r="N1337" s="84" t="s">
        <v>72</v>
      </c>
      <c r="O1337" s="308" t="s">
        <v>6534</v>
      </c>
      <c r="P1337" s="153" t="s">
        <v>6535</v>
      </c>
      <c r="Q1337" s="49" t="s">
        <v>75</v>
      </c>
      <c r="R1337" s="25" t="s">
        <v>91</v>
      </c>
      <c r="S1337" s="26">
        <v>19</v>
      </c>
      <c r="T1337" s="26"/>
      <c r="U1337" s="28" t="s">
        <v>6536</v>
      </c>
      <c r="V1337" s="66"/>
      <c r="W1337" s="106"/>
      <c r="X1337" s="106" t="s">
        <v>3375</v>
      </c>
      <c r="Y1337" s="26" t="s">
        <v>76</v>
      </c>
      <c r="Z1337" s="75" t="s">
        <v>106</v>
      </c>
      <c r="AA1337" s="30"/>
    </row>
    <row r="1338" spans="1:27" ht="33" hidden="1">
      <c r="A1338" s="98">
        <v>1328</v>
      </c>
      <c r="B1338" s="79" t="s">
        <v>6537</v>
      </c>
      <c r="C1338" s="148" t="s">
        <v>8</v>
      </c>
      <c r="D1338" s="80" t="s">
        <v>63</v>
      </c>
      <c r="E1338" s="27" t="s">
        <v>1412</v>
      </c>
      <c r="F1338" s="80" t="s">
        <v>109</v>
      </c>
      <c r="G1338" s="81" t="s">
        <v>1413</v>
      </c>
      <c r="H1338" s="80" t="s">
        <v>1414</v>
      </c>
      <c r="I1338" s="92">
        <v>45798</v>
      </c>
      <c r="J1338" s="80" t="s">
        <v>3505</v>
      </c>
      <c r="K1338" s="80" t="s">
        <v>69</v>
      </c>
      <c r="L1338" s="84" t="s">
        <v>251</v>
      </c>
      <c r="M1338" s="84" t="s">
        <v>252</v>
      </c>
      <c r="N1338" s="84" t="s">
        <v>72</v>
      </c>
      <c r="O1338" s="129" t="s">
        <v>6538</v>
      </c>
      <c r="P1338" s="153" t="s">
        <v>6539</v>
      </c>
      <c r="Q1338" s="49" t="s">
        <v>75</v>
      </c>
      <c r="R1338" s="25" t="s">
        <v>91</v>
      </c>
      <c r="S1338" s="26">
        <v>18</v>
      </c>
      <c r="T1338" s="26">
        <v>42</v>
      </c>
      <c r="U1338" s="28" t="s">
        <v>6540</v>
      </c>
      <c r="V1338" s="66"/>
      <c r="W1338" s="106"/>
      <c r="X1338" s="106" t="s">
        <v>3375</v>
      </c>
      <c r="Y1338" s="26" t="s">
        <v>76</v>
      </c>
      <c r="Z1338" s="75" t="s">
        <v>93</v>
      </c>
      <c r="AA1338" s="30"/>
    </row>
    <row r="1339" spans="1:27" ht="82.5" hidden="1">
      <c r="A1339" s="98">
        <v>1329</v>
      </c>
      <c r="B1339" s="79" t="s">
        <v>6541</v>
      </c>
      <c r="C1339" s="148" t="s">
        <v>237</v>
      </c>
      <c r="D1339" s="80" t="s">
        <v>83</v>
      </c>
      <c r="E1339" s="27" t="s">
        <v>238</v>
      </c>
      <c r="F1339" s="80" t="s">
        <v>65</v>
      </c>
      <c r="G1339" s="81" t="s">
        <v>239</v>
      </c>
      <c r="H1339" s="80" t="s">
        <v>240</v>
      </c>
      <c r="I1339" s="92">
        <v>45798</v>
      </c>
      <c r="J1339" s="80" t="s">
        <v>1079</v>
      </c>
      <c r="K1339" s="80" t="s">
        <v>112</v>
      </c>
      <c r="L1339" s="84" t="s">
        <v>122</v>
      </c>
      <c r="M1339" s="84" t="s">
        <v>114</v>
      </c>
      <c r="N1339" s="84" t="s">
        <v>72</v>
      </c>
      <c r="O1339" s="129" t="s">
        <v>6542</v>
      </c>
      <c r="P1339" s="153" t="s">
        <v>6543</v>
      </c>
      <c r="Q1339" s="49" t="s">
        <v>75</v>
      </c>
      <c r="R1339" s="25" t="s">
        <v>75</v>
      </c>
      <c r="S1339" s="26">
        <v>24</v>
      </c>
      <c r="T1339" s="26">
        <v>78</v>
      </c>
      <c r="U1339" s="28" t="s">
        <v>6544</v>
      </c>
      <c r="V1339" s="66" t="s">
        <v>75</v>
      </c>
      <c r="W1339" s="106" t="s">
        <v>4017</v>
      </c>
      <c r="X1339" s="106" t="s">
        <v>3375</v>
      </c>
      <c r="Y1339" s="106" t="s">
        <v>3375</v>
      </c>
      <c r="Z1339" s="75" t="s">
        <v>79</v>
      </c>
      <c r="AA1339" s="30"/>
    </row>
    <row r="1340" spans="1:27" ht="33" hidden="1">
      <c r="A1340" s="98">
        <v>1330</v>
      </c>
      <c r="B1340" s="79" t="s">
        <v>6545</v>
      </c>
      <c r="C1340" s="148" t="s">
        <v>5211</v>
      </c>
      <c r="D1340" s="80" t="s">
        <v>83</v>
      </c>
      <c r="E1340" s="27" t="s">
        <v>6546</v>
      </c>
      <c r="F1340" s="80" t="s">
        <v>338</v>
      </c>
      <c r="G1340" s="81" t="s">
        <v>85</v>
      </c>
      <c r="H1340" s="80" t="s">
        <v>5213</v>
      </c>
      <c r="I1340" s="92">
        <v>45798</v>
      </c>
      <c r="J1340" s="80" t="s">
        <v>3565</v>
      </c>
      <c r="K1340" s="80" t="s">
        <v>299</v>
      </c>
      <c r="L1340" s="84" t="s">
        <v>189</v>
      </c>
      <c r="M1340" s="84" t="s">
        <v>252</v>
      </c>
      <c r="N1340" s="84" t="s">
        <v>72</v>
      </c>
      <c r="O1340" s="129" t="s">
        <v>6547</v>
      </c>
      <c r="P1340" s="153" t="s">
        <v>6548</v>
      </c>
      <c r="Q1340" s="49" t="s">
        <v>75</v>
      </c>
      <c r="R1340" s="25" t="s">
        <v>75</v>
      </c>
      <c r="S1340" s="26">
        <v>26</v>
      </c>
      <c r="T1340" s="26">
        <v>88</v>
      </c>
      <c r="U1340" s="28" t="s">
        <v>4016</v>
      </c>
      <c r="V1340" s="66" t="s">
        <v>75</v>
      </c>
      <c r="W1340" s="106" t="s">
        <v>949</v>
      </c>
      <c r="X1340" s="106" t="s">
        <v>3375</v>
      </c>
      <c r="Y1340" s="26" t="s">
        <v>3375</v>
      </c>
      <c r="Z1340" s="93" t="s">
        <v>106</v>
      </c>
      <c r="AA1340" s="30"/>
    </row>
    <row r="1341" spans="1:27" ht="99" hidden="1">
      <c r="A1341" s="98">
        <v>1331</v>
      </c>
      <c r="B1341" s="79" t="s">
        <v>6549</v>
      </c>
      <c r="C1341" s="148" t="s">
        <v>8</v>
      </c>
      <c r="D1341" s="80" t="s">
        <v>83</v>
      </c>
      <c r="E1341" s="27" t="s">
        <v>668</v>
      </c>
      <c r="F1341" s="80" t="s">
        <v>338</v>
      </c>
      <c r="G1341" s="81" t="s">
        <v>669</v>
      </c>
      <c r="H1341" s="80" t="s">
        <v>670</v>
      </c>
      <c r="I1341" s="92">
        <v>45798</v>
      </c>
      <c r="J1341" s="80" t="s">
        <v>3565</v>
      </c>
      <c r="K1341" s="80" t="s">
        <v>299</v>
      </c>
      <c r="L1341" s="84" t="s">
        <v>189</v>
      </c>
      <c r="M1341" s="84" t="s">
        <v>252</v>
      </c>
      <c r="N1341" s="84" t="s">
        <v>72</v>
      </c>
      <c r="O1341" s="129" t="s">
        <v>6550</v>
      </c>
      <c r="P1341" s="153" t="s">
        <v>6551</v>
      </c>
      <c r="Q1341" s="49" t="s">
        <v>75</v>
      </c>
      <c r="R1341" s="25" t="s">
        <v>91</v>
      </c>
      <c r="S1341" s="26">
        <v>19</v>
      </c>
      <c r="T1341" s="26">
        <v>58</v>
      </c>
      <c r="U1341" s="28" t="s">
        <v>6552</v>
      </c>
      <c r="V1341" s="66"/>
      <c r="W1341" s="106"/>
      <c r="X1341" s="106" t="s">
        <v>3375</v>
      </c>
      <c r="Y1341" s="26" t="s">
        <v>76</v>
      </c>
      <c r="Z1341" s="93" t="s">
        <v>93</v>
      </c>
      <c r="AA1341" s="30"/>
    </row>
    <row r="1342" spans="1:27" ht="66" hidden="1">
      <c r="A1342" s="98">
        <v>1332</v>
      </c>
      <c r="B1342" s="79" t="s">
        <v>6553</v>
      </c>
      <c r="C1342" s="148" t="s">
        <v>8</v>
      </c>
      <c r="D1342" s="80" t="s">
        <v>63</v>
      </c>
      <c r="E1342" s="27" t="s">
        <v>2418</v>
      </c>
      <c r="F1342" s="80" t="s">
        <v>120</v>
      </c>
      <c r="G1342" s="81" t="s">
        <v>1413</v>
      </c>
      <c r="H1342" s="80" t="s">
        <v>2419</v>
      </c>
      <c r="I1342" s="92">
        <v>45799</v>
      </c>
      <c r="J1342" s="80" t="s">
        <v>6554</v>
      </c>
      <c r="K1342" s="80" t="s">
        <v>146</v>
      </c>
      <c r="L1342" s="84" t="s">
        <v>147</v>
      </c>
      <c r="M1342" s="84" t="s">
        <v>252</v>
      </c>
      <c r="N1342" s="84" t="s">
        <v>72</v>
      </c>
      <c r="O1342" s="129" t="s">
        <v>6555</v>
      </c>
      <c r="P1342" s="153" t="s">
        <v>6556</v>
      </c>
      <c r="Q1342" s="49" t="s">
        <v>75</v>
      </c>
      <c r="R1342" s="25" t="s">
        <v>91</v>
      </c>
      <c r="S1342" s="26">
        <v>18</v>
      </c>
      <c r="T1342" s="26">
        <v>60</v>
      </c>
      <c r="U1342" s="28" t="s">
        <v>6557</v>
      </c>
      <c r="V1342" s="66"/>
      <c r="W1342" s="106"/>
      <c r="X1342" s="106" t="s">
        <v>3375</v>
      </c>
      <c r="Y1342" s="26" t="s">
        <v>76</v>
      </c>
      <c r="Z1342" s="75" t="s">
        <v>76</v>
      </c>
      <c r="AA1342" s="30"/>
    </row>
    <row r="1343" spans="1:27" ht="99" hidden="1">
      <c r="A1343" s="98">
        <v>1333</v>
      </c>
      <c r="B1343" s="79" t="s">
        <v>6558</v>
      </c>
      <c r="C1343" s="148" t="s">
        <v>10</v>
      </c>
      <c r="D1343" s="80" t="s">
        <v>83</v>
      </c>
      <c r="E1343" s="27" t="s">
        <v>4124</v>
      </c>
      <c r="F1343" s="80" t="s">
        <v>338</v>
      </c>
      <c r="G1343" s="81" t="s">
        <v>3370</v>
      </c>
      <c r="H1343" s="80" t="s">
        <v>4125</v>
      </c>
      <c r="I1343" s="92">
        <v>45799</v>
      </c>
      <c r="J1343" s="80" t="s">
        <v>4066</v>
      </c>
      <c r="K1343" s="80" t="s">
        <v>3373</v>
      </c>
      <c r="L1343" s="84" t="s">
        <v>10</v>
      </c>
      <c r="M1343" s="84" t="s">
        <v>252</v>
      </c>
      <c r="N1343" s="84" t="s">
        <v>72</v>
      </c>
      <c r="O1343" s="308" t="s">
        <v>6559</v>
      </c>
      <c r="P1343" s="153" t="s">
        <v>6560</v>
      </c>
      <c r="Q1343" s="49" t="s">
        <v>75</v>
      </c>
      <c r="R1343" s="25" t="s">
        <v>91</v>
      </c>
      <c r="S1343" s="26">
        <v>22</v>
      </c>
      <c r="T1343" s="26">
        <v>51</v>
      </c>
      <c r="U1343" s="28" t="s">
        <v>6561</v>
      </c>
      <c r="V1343" s="66"/>
      <c r="W1343" s="106"/>
      <c r="X1343" s="106" t="s">
        <v>3375</v>
      </c>
      <c r="Y1343" s="26" t="s">
        <v>76</v>
      </c>
      <c r="Z1343" s="75" t="s">
        <v>93</v>
      </c>
      <c r="AA1343" s="30"/>
    </row>
    <row r="1344" spans="1:27" ht="49.5" hidden="1">
      <c r="A1344" s="98">
        <v>1334</v>
      </c>
      <c r="B1344" s="79" t="s">
        <v>6562</v>
      </c>
      <c r="C1344" s="148" t="s">
        <v>8</v>
      </c>
      <c r="D1344" s="80" t="s">
        <v>63</v>
      </c>
      <c r="E1344" s="27" t="s">
        <v>2600</v>
      </c>
      <c r="F1344" s="80" t="s">
        <v>120</v>
      </c>
      <c r="G1344" s="81" t="s">
        <v>1413</v>
      </c>
      <c r="H1344" s="80" t="s">
        <v>1949</v>
      </c>
      <c r="I1344" s="92">
        <v>45799</v>
      </c>
      <c r="J1344" s="80" t="s">
        <v>3505</v>
      </c>
      <c r="K1344" s="80" t="s">
        <v>69</v>
      </c>
      <c r="L1344" s="84" t="s">
        <v>251</v>
      </c>
      <c r="M1344" s="84" t="s">
        <v>252</v>
      </c>
      <c r="N1344" s="84" t="s">
        <v>72</v>
      </c>
      <c r="O1344" s="129" t="s">
        <v>6563</v>
      </c>
      <c r="P1344" s="153" t="s">
        <v>6564</v>
      </c>
      <c r="Q1344" s="49" t="s">
        <v>91</v>
      </c>
      <c r="R1344" s="25"/>
      <c r="S1344" s="26">
        <v>14</v>
      </c>
      <c r="T1344" s="26"/>
      <c r="U1344" s="28" t="s">
        <v>6565</v>
      </c>
      <c r="V1344" s="66"/>
      <c r="W1344" s="106"/>
      <c r="X1344" s="106" t="s">
        <v>76</v>
      </c>
      <c r="Y1344" s="26" t="s">
        <v>76</v>
      </c>
      <c r="Z1344" s="75" t="s">
        <v>193</v>
      </c>
      <c r="AA1344" s="30"/>
    </row>
    <row r="1345" spans="1:28" ht="82.5" hidden="1">
      <c r="A1345" s="98">
        <v>1335</v>
      </c>
      <c r="B1345" s="79" t="s">
        <v>6566</v>
      </c>
      <c r="C1345" s="148" t="s">
        <v>10</v>
      </c>
      <c r="D1345" s="80" t="s">
        <v>83</v>
      </c>
      <c r="E1345" s="27" t="s">
        <v>4130</v>
      </c>
      <c r="F1345" s="80" t="s">
        <v>338</v>
      </c>
      <c r="G1345" s="81" t="s">
        <v>3370</v>
      </c>
      <c r="H1345" s="80" t="s">
        <v>4131</v>
      </c>
      <c r="I1345" s="92">
        <v>45800</v>
      </c>
      <c r="J1345" s="80" t="s">
        <v>4066</v>
      </c>
      <c r="K1345" s="80" t="s">
        <v>3373</v>
      </c>
      <c r="L1345" s="84" t="s">
        <v>10</v>
      </c>
      <c r="M1345" s="84" t="s">
        <v>601</v>
      </c>
      <c r="N1345" s="84" t="s">
        <v>72</v>
      </c>
      <c r="O1345" s="308" t="s">
        <v>6567</v>
      </c>
      <c r="P1345" s="153" t="s">
        <v>6568</v>
      </c>
      <c r="Q1345" s="49" t="s">
        <v>75</v>
      </c>
      <c r="R1345" s="196" t="s">
        <v>91</v>
      </c>
      <c r="S1345" s="26">
        <v>21</v>
      </c>
      <c r="T1345" s="26"/>
      <c r="U1345" s="28" t="s">
        <v>6569</v>
      </c>
      <c r="V1345" s="66"/>
      <c r="W1345" s="106"/>
      <c r="X1345" s="106" t="s">
        <v>3375</v>
      </c>
      <c r="Y1345" s="26" t="s">
        <v>76</v>
      </c>
      <c r="Z1345" s="75" t="s">
        <v>106</v>
      </c>
      <c r="AA1345" s="30"/>
    </row>
    <row r="1346" spans="1:28" ht="66" hidden="1">
      <c r="A1346" s="98">
        <v>1336</v>
      </c>
      <c r="B1346" s="79" t="s">
        <v>6570</v>
      </c>
      <c r="C1346" s="148" t="s">
        <v>8</v>
      </c>
      <c r="D1346" s="80" t="s">
        <v>63</v>
      </c>
      <c r="E1346" s="27" t="s">
        <v>6506</v>
      </c>
      <c r="F1346" s="80" t="s">
        <v>65</v>
      </c>
      <c r="G1346" s="81" t="s">
        <v>1413</v>
      </c>
      <c r="H1346" s="80" t="s">
        <v>6507</v>
      </c>
      <c r="I1346" s="92">
        <v>45800</v>
      </c>
      <c r="J1346" s="80" t="s">
        <v>3565</v>
      </c>
      <c r="K1346" s="80" t="s">
        <v>299</v>
      </c>
      <c r="L1346" s="84" t="s">
        <v>189</v>
      </c>
      <c r="M1346" s="84" t="s">
        <v>252</v>
      </c>
      <c r="N1346" s="84" t="s">
        <v>72</v>
      </c>
      <c r="O1346" s="129" t="s">
        <v>6571</v>
      </c>
      <c r="P1346" s="153" t="s">
        <v>6572</v>
      </c>
      <c r="Q1346" s="49" t="s">
        <v>75</v>
      </c>
      <c r="R1346" s="25" t="s">
        <v>91</v>
      </c>
      <c r="S1346" s="26">
        <v>19</v>
      </c>
      <c r="T1346" s="26">
        <v>64</v>
      </c>
      <c r="U1346" s="28" t="s">
        <v>6573</v>
      </c>
      <c r="V1346" s="66"/>
      <c r="W1346" s="106"/>
      <c r="X1346" s="106" t="s">
        <v>3375</v>
      </c>
      <c r="Y1346" s="26" t="s">
        <v>76</v>
      </c>
      <c r="Z1346" s="93" t="s">
        <v>93</v>
      </c>
      <c r="AA1346" s="30"/>
    </row>
    <row r="1347" spans="1:28" ht="49.5" hidden="1">
      <c r="A1347" s="98">
        <v>1337</v>
      </c>
      <c r="B1347" s="79" t="s">
        <v>6574</v>
      </c>
      <c r="C1347" s="148" t="s">
        <v>8</v>
      </c>
      <c r="D1347" s="80" t="s">
        <v>63</v>
      </c>
      <c r="E1347" s="27" t="s">
        <v>6454</v>
      </c>
      <c r="F1347" s="80" t="s">
        <v>65</v>
      </c>
      <c r="G1347" s="81" t="s">
        <v>6445</v>
      </c>
      <c r="H1347" s="80" t="s">
        <v>6455</v>
      </c>
      <c r="I1347" s="92">
        <v>45800</v>
      </c>
      <c r="J1347" s="80" t="s">
        <v>3565</v>
      </c>
      <c r="K1347" s="80" t="s">
        <v>299</v>
      </c>
      <c r="L1347" s="84" t="s">
        <v>189</v>
      </c>
      <c r="M1347" s="84" t="s">
        <v>595</v>
      </c>
      <c r="N1347" s="84" t="s">
        <v>72</v>
      </c>
      <c r="O1347" s="129" t="s">
        <v>6575</v>
      </c>
      <c r="P1347" s="153" t="s">
        <v>6576</v>
      </c>
      <c r="Q1347" s="49" t="s">
        <v>75</v>
      </c>
      <c r="R1347" s="196" t="s">
        <v>91</v>
      </c>
      <c r="S1347" s="26">
        <v>24</v>
      </c>
      <c r="T1347" s="198">
        <v>74</v>
      </c>
      <c r="U1347" s="28" t="s">
        <v>6577</v>
      </c>
      <c r="V1347" s="66"/>
      <c r="W1347" s="106"/>
      <c r="X1347" s="106" t="s">
        <v>3375</v>
      </c>
      <c r="Y1347" s="26" t="s">
        <v>76</v>
      </c>
      <c r="Z1347" s="75" t="s">
        <v>106</v>
      </c>
      <c r="AA1347" s="30"/>
    </row>
    <row r="1348" spans="1:28" ht="33" hidden="1">
      <c r="A1348" s="98">
        <v>1338</v>
      </c>
      <c r="B1348" s="79" t="s">
        <v>6578</v>
      </c>
      <c r="C1348" s="148" t="s">
        <v>8</v>
      </c>
      <c r="D1348" s="80" t="s">
        <v>63</v>
      </c>
      <c r="E1348" s="27" t="s">
        <v>2925</v>
      </c>
      <c r="F1348" s="80" t="s">
        <v>65</v>
      </c>
      <c r="G1348" s="81" t="s">
        <v>1413</v>
      </c>
      <c r="H1348" s="80" t="s">
        <v>2926</v>
      </c>
      <c r="I1348" s="92">
        <v>45800</v>
      </c>
      <c r="J1348" s="80" t="s">
        <v>3565</v>
      </c>
      <c r="K1348" s="80" t="s">
        <v>299</v>
      </c>
      <c r="L1348" s="84" t="s">
        <v>189</v>
      </c>
      <c r="M1348" s="84" t="s">
        <v>252</v>
      </c>
      <c r="N1348" s="84" t="s">
        <v>72</v>
      </c>
      <c r="O1348" s="129" t="s">
        <v>6579</v>
      </c>
      <c r="P1348" s="153" t="s">
        <v>6580</v>
      </c>
      <c r="Q1348" s="49" t="s">
        <v>91</v>
      </c>
      <c r="R1348" s="25"/>
      <c r="S1348" s="26">
        <v>6</v>
      </c>
      <c r="T1348" s="26"/>
      <c r="U1348" s="28" t="s">
        <v>6581</v>
      </c>
      <c r="V1348" s="66"/>
      <c r="W1348" s="106"/>
      <c r="X1348" s="106" t="s">
        <v>76</v>
      </c>
      <c r="Y1348" s="26" t="s">
        <v>76</v>
      </c>
      <c r="Z1348" s="75" t="s">
        <v>193</v>
      </c>
      <c r="AA1348" s="30"/>
    </row>
    <row r="1349" spans="1:28" ht="82.5" hidden="1">
      <c r="A1349" s="98">
        <v>1339</v>
      </c>
      <c r="B1349" s="79" t="s">
        <v>6582</v>
      </c>
      <c r="C1349" s="148" t="s">
        <v>8</v>
      </c>
      <c r="D1349" s="80" t="s">
        <v>63</v>
      </c>
      <c r="E1349" s="27" t="s">
        <v>6468</v>
      </c>
      <c r="F1349" s="80" t="s">
        <v>284</v>
      </c>
      <c r="G1349" s="81" t="s">
        <v>6445</v>
      </c>
      <c r="H1349" s="80" t="s">
        <v>6469</v>
      </c>
      <c r="I1349" s="92">
        <v>45801</v>
      </c>
      <c r="J1349" s="80" t="s">
        <v>3565</v>
      </c>
      <c r="K1349" s="80" t="s">
        <v>299</v>
      </c>
      <c r="L1349" s="84" t="s">
        <v>189</v>
      </c>
      <c r="M1349" s="84" t="s">
        <v>252</v>
      </c>
      <c r="N1349" s="84" t="s">
        <v>72</v>
      </c>
      <c r="O1349" s="129" t="s">
        <v>6583</v>
      </c>
      <c r="P1349" s="153" t="s">
        <v>6584</v>
      </c>
      <c r="Q1349" s="49" t="s">
        <v>91</v>
      </c>
      <c r="R1349" s="25"/>
      <c r="S1349" s="26">
        <v>6</v>
      </c>
      <c r="T1349" s="26"/>
      <c r="U1349" s="28" t="s">
        <v>6581</v>
      </c>
      <c r="V1349" s="66"/>
      <c r="W1349" s="106"/>
      <c r="X1349" s="106" t="s">
        <v>76</v>
      </c>
      <c r="Y1349" s="26" t="s">
        <v>76</v>
      </c>
      <c r="Z1349" s="75" t="s">
        <v>193</v>
      </c>
      <c r="AA1349" s="30"/>
    </row>
    <row r="1350" spans="1:28" ht="49.5" hidden="1">
      <c r="A1350" s="98">
        <v>1340</v>
      </c>
      <c r="B1350" s="79" t="s">
        <v>6585</v>
      </c>
      <c r="C1350" s="148" t="s">
        <v>8</v>
      </c>
      <c r="D1350" s="80" t="s">
        <v>63</v>
      </c>
      <c r="E1350" s="27" t="s">
        <v>2917</v>
      </c>
      <c r="F1350" s="80" t="s">
        <v>284</v>
      </c>
      <c r="G1350" s="81" t="s">
        <v>1413</v>
      </c>
      <c r="H1350" s="80" t="s">
        <v>2918</v>
      </c>
      <c r="I1350" s="92">
        <v>45801</v>
      </c>
      <c r="J1350" s="80" t="s">
        <v>3505</v>
      </c>
      <c r="K1350" s="80" t="s">
        <v>69</v>
      </c>
      <c r="L1350" s="84" t="s">
        <v>70</v>
      </c>
      <c r="M1350" s="84" t="s">
        <v>252</v>
      </c>
      <c r="N1350" s="84" t="s">
        <v>72</v>
      </c>
      <c r="O1350" s="129" t="s">
        <v>6586</v>
      </c>
      <c r="P1350" s="153" t="s">
        <v>6587</v>
      </c>
      <c r="Q1350" s="49" t="s">
        <v>75</v>
      </c>
      <c r="R1350" s="25" t="s">
        <v>91</v>
      </c>
      <c r="S1350" s="26">
        <v>22</v>
      </c>
      <c r="T1350" s="26">
        <v>54</v>
      </c>
      <c r="U1350" s="28" t="s">
        <v>6588</v>
      </c>
      <c r="V1350" s="66"/>
      <c r="W1350" s="106"/>
      <c r="X1350" s="106" t="s">
        <v>3375</v>
      </c>
      <c r="Y1350" s="26" t="s">
        <v>76</v>
      </c>
      <c r="Z1350" s="75" t="s">
        <v>93</v>
      </c>
      <c r="AA1350" s="30"/>
    </row>
    <row r="1351" spans="1:28" ht="66" hidden="1">
      <c r="A1351" s="98">
        <v>1341</v>
      </c>
      <c r="B1351" s="79" t="s">
        <v>6589</v>
      </c>
      <c r="C1351" s="148" t="s">
        <v>8</v>
      </c>
      <c r="D1351" s="80" t="s">
        <v>83</v>
      </c>
      <c r="E1351" s="27" t="s">
        <v>315</v>
      </c>
      <c r="F1351" s="80" t="s">
        <v>109</v>
      </c>
      <c r="G1351" s="81" t="s">
        <v>248</v>
      </c>
      <c r="H1351" s="80" t="s">
        <v>316</v>
      </c>
      <c r="I1351" s="92">
        <v>45804</v>
      </c>
      <c r="J1351" s="80" t="s">
        <v>3505</v>
      </c>
      <c r="K1351" s="80" t="s">
        <v>69</v>
      </c>
      <c r="L1351" s="84" t="s">
        <v>251</v>
      </c>
      <c r="M1351" s="84" t="s">
        <v>252</v>
      </c>
      <c r="N1351" s="84" t="s">
        <v>72</v>
      </c>
      <c r="O1351" s="129" t="s">
        <v>6590</v>
      </c>
      <c r="P1351" s="153" t="s">
        <v>6591</v>
      </c>
      <c r="Q1351" s="49" t="s">
        <v>75</v>
      </c>
      <c r="R1351" s="25" t="s">
        <v>91</v>
      </c>
      <c r="S1351" s="26">
        <v>22</v>
      </c>
      <c r="T1351" s="26">
        <v>54</v>
      </c>
      <c r="U1351" s="28" t="s">
        <v>6592</v>
      </c>
      <c r="V1351" s="66"/>
      <c r="W1351" s="106"/>
      <c r="X1351" s="106" t="s">
        <v>3375</v>
      </c>
      <c r="Y1351" s="26" t="s">
        <v>76</v>
      </c>
      <c r="Z1351" s="75" t="s">
        <v>93</v>
      </c>
      <c r="AA1351" s="30"/>
    </row>
    <row r="1352" spans="1:28" ht="33" hidden="1">
      <c r="A1352" s="98">
        <v>1342</v>
      </c>
      <c r="B1352" s="79" t="s">
        <v>6593</v>
      </c>
      <c r="C1352" s="148" t="s">
        <v>399</v>
      </c>
      <c r="D1352" s="80" t="s">
        <v>83</v>
      </c>
      <c r="E1352" s="27" t="s">
        <v>3147</v>
      </c>
      <c r="F1352" s="80" t="s">
        <v>109</v>
      </c>
      <c r="G1352" s="81" t="s">
        <v>2362</v>
      </c>
      <c r="H1352" s="80" t="s">
        <v>3148</v>
      </c>
      <c r="I1352" s="92">
        <v>45804</v>
      </c>
      <c r="J1352" s="80" t="s">
        <v>3505</v>
      </c>
      <c r="K1352" s="80" t="s">
        <v>69</v>
      </c>
      <c r="L1352" s="84" t="s">
        <v>251</v>
      </c>
      <c r="M1352" s="84" t="s">
        <v>252</v>
      </c>
      <c r="N1352" s="84" t="s">
        <v>72</v>
      </c>
      <c r="O1352" s="129" t="s">
        <v>6594</v>
      </c>
      <c r="P1352" s="153" t="s">
        <v>6595</v>
      </c>
      <c r="Q1352" s="49" t="s">
        <v>75</v>
      </c>
      <c r="R1352" s="25" t="s">
        <v>91</v>
      </c>
      <c r="S1352" s="26">
        <v>22</v>
      </c>
      <c r="T1352" s="26">
        <v>58</v>
      </c>
      <c r="U1352" s="28" t="s">
        <v>6596</v>
      </c>
      <c r="V1352" s="66"/>
      <c r="W1352" s="106"/>
      <c r="X1352" s="106" t="s">
        <v>3375</v>
      </c>
      <c r="Y1352" s="26" t="s">
        <v>76</v>
      </c>
      <c r="Z1352" s="75" t="s">
        <v>93</v>
      </c>
      <c r="AA1352" s="30"/>
    </row>
    <row r="1353" spans="1:28" ht="49.5" hidden="1">
      <c r="A1353" s="98">
        <v>1343</v>
      </c>
      <c r="B1353" s="79" t="s">
        <v>6597</v>
      </c>
      <c r="C1353" s="148" t="s">
        <v>8</v>
      </c>
      <c r="D1353" s="80" t="s">
        <v>63</v>
      </c>
      <c r="E1353" s="27" t="s">
        <v>2603</v>
      </c>
      <c r="F1353" s="80" t="s">
        <v>284</v>
      </c>
      <c r="G1353" s="81" t="s">
        <v>6445</v>
      </c>
      <c r="H1353" s="80" t="s">
        <v>2604</v>
      </c>
      <c r="I1353" s="92">
        <v>45806</v>
      </c>
      <c r="J1353" s="80" t="s">
        <v>3505</v>
      </c>
      <c r="K1353" s="80" t="s">
        <v>69</v>
      </c>
      <c r="L1353" s="84" t="s">
        <v>251</v>
      </c>
      <c r="M1353" s="84" t="s">
        <v>252</v>
      </c>
      <c r="N1353" s="84" t="s">
        <v>72</v>
      </c>
      <c r="O1353" s="129" t="s">
        <v>6598</v>
      </c>
      <c r="P1353" s="153" t="s">
        <v>6599</v>
      </c>
      <c r="Q1353" s="49" t="s">
        <v>91</v>
      </c>
      <c r="R1353" s="25"/>
      <c r="S1353" s="26" t="s">
        <v>59</v>
      </c>
      <c r="T1353" s="26"/>
      <c r="U1353" s="28" t="s">
        <v>6600</v>
      </c>
      <c r="V1353" s="66"/>
      <c r="W1353" s="106"/>
      <c r="X1353" s="106" t="s">
        <v>76</v>
      </c>
      <c r="Y1353" s="26" t="s">
        <v>76</v>
      </c>
      <c r="Z1353" s="75" t="s">
        <v>193</v>
      </c>
      <c r="AA1353" s="30"/>
    </row>
    <row r="1354" spans="1:28" ht="49.5" hidden="1">
      <c r="A1354" s="98">
        <v>1344</v>
      </c>
      <c r="B1354" s="79" t="s">
        <v>6601</v>
      </c>
      <c r="C1354" s="148" t="s">
        <v>8</v>
      </c>
      <c r="D1354" s="80" t="s">
        <v>63</v>
      </c>
      <c r="E1354" s="27" t="s">
        <v>6506</v>
      </c>
      <c r="F1354" s="80" t="s">
        <v>65</v>
      </c>
      <c r="G1354" s="81" t="s">
        <v>1413</v>
      </c>
      <c r="H1354" s="80" t="s">
        <v>6507</v>
      </c>
      <c r="I1354" s="92">
        <v>45807</v>
      </c>
      <c r="J1354" s="80" t="s">
        <v>3565</v>
      </c>
      <c r="K1354" s="80" t="s">
        <v>299</v>
      </c>
      <c r="L1354" s="84" t="s">
        <v>189</v>
      </c>
      <c r="M1354" s="84" t="s">
        <v>601</v>
      </c>
      <c r="N1354" s="84" t="s">
        <v>72</v>
      </c>
      <c r="O1354" s="129" t="s">
        <v>6602</v>
      </c>
      <c r="P1354" s="153" t="s">
        <v>6603</v>
      </c>
      <c r="Q1354" s="49" t="s">
        <v>75</v>
      </c>
      <c r="R1354" s="25" t="s">
        <v>91</v>
      </c>
      <c r="S1354" s="26">
        <v>20</v>
      </c>
      <c r="T1354" s="26">
        <v>64</v>
      </c>
      <c r="U1354" s="28" t="s">
        <v>6604</v>
      </c>
      <c r="V1354" s="66"/>
      <c r="W1354" s="106"/>
      <c r="X1354" s="106" t="s">
        <v>3375</v>
      </c>
      <c r="Y1354" s="26" t="s">
        <v>76</v>
      </c>
      <c r="Z1354" s="93" t="s">
        <v>93</v>
      </c>
      <c r="AA1354" s="30"/>
    </row>
    <row r="1355" spans="1:28" ht="132" hidden="1">
      <c r="A1355" s="98">
        <v>1345</v>
      </c>
      <c r="B1355" s="79" t="s">
        <v>6605</v>
      </c>
      <c r="C1355" s="148" t="s">
        <v>8</v>
      </c>
      <c r="D1355" s="80" t="s">
        <v>63</v>
      </c>
      <c r="E1355" s="27" t="s">
        <v>2418</v>
      </c>
      <c r="F1355" s="80" t="s">
        <v>120</v>
      </c>
      <c r="G1355" s="81" t="s">
        <v>1413</v>
      </c>
      <c r="H1355" s="80" t="s">
        <v>2419</v>
      </c>
      <c r="I1355" s="92">
        <v>45808</v>
      </c>
      <c r="J1355" s="80" t="s">
        <v>145</v>
      </c>
      <c r="K1355" s="80" t="s">
        <v>146</v>
      </c>
      <c r="L1355" s="84" t="s">
        <v>147</v>
      </c>
      <c r="M1355" s="84" t="s">
        <v>148</v>
      </c>
      <c r="N1355" s="84" t="s">
        <v>72</v>
      </c>
      <c r="O1355" s="129" t="s">
        <v>6606</v>
      </c>
      <c r="P1355" s="153" t="s">
        <v>6607</v>
      </c>
      <c r="Q1355" s="49" t="s">
        <v>75</v>
      </c>
      <c r="R1355" s="25" t="s">
        <v>504</v>
      </c>
      <c r="S1355" s="26">
        <v>18</v>
      </c>
      <c r="T1355" s="26">
        <v>60</v>
      </c>
      <c r="U1355" s="28" t="s">
        <v>6608</v>
      </c>
      <c r="V1355" s="66"/>
      <c r="W1355" s="106"/>
      <c r="X1355" s="106" t="s">
        <v>3375</v>
      </c>
      <c r="Y1355" s="26" t="s">
        <v>76</v>
      </c>
      <c r="Z1355" s="75" t="s">
        <v>76</v>
      </c>
      <c r="AA1355" s="30"/>
    </row>
    <row r="1356" spans="1:28" ht="49.5" hidden="1">
      <c r="A1356" s="98">
        <v>1346</v>
      </c>
      <c r="B1356" s="79" t="s">
        <v>6609</v>
      </c>
      <c r="C1356" s="148" t="s">
        <v>8</v>
      </c>
      <c r="D1356" s="80" t="s">
        <v>63</v>
      </c>
      <c r="E1356" s="27" t="s">
        <v>6411</v>
      </c>
      <c r="F1356" s="80" t="s">
        <v>120</v>
      </c>
      <c r="G1356" s="81" t="s">
        <v>1413</v>
      </c>
      <c r="H1356" s="80" t="s">
        <v>6412</v>
      </c>
      <c r="I1356" s="92">
        <v>45810</v>
      </c>
      <c r="J1356" s="80" t="s">
        <v>3517</v>
      </c>
      <c r="K1356" s="80" t="s">
        <v>299</v>
      </c>
      <c r="L1356" s="84" t="s">
        <v>189</v>
      </c>
      <c r="M1356" s="84" t="s">
        <v>101</v>
      </c>
      <c r="N1356" s="84" t="s">
        <v>72</v>
      </c>
      <c r="O1356" s="129" t="s">
        <v>6610</v>
      </c>
      <c r="P1356" s="153" t="s">
        <v>6611</v>
      </c>
      <c r="Q1356" s="49" t="s">
        <v>91</v>
      </c>
      <c r="R1356" s="25"/>
      <c r="S1356" s="26">
        <v>6</v>
      </c>
      <c r="T1356" s="26"/>
      <c r="U1356" s="28" t="s">
        <v>6612</v>
      </c>
      <c r="V1356" s="66"/>
      <c r="W1356" s="106"/>
      <c r="X1356" s="106" t="s">
        <v>76</v>
      </c>
      <c r="Y1356" s="26" t="s">
        <v>76</v>
      </c>
      <c r="Z1356" s="75" t="s">
        <v>193</v>
      </c>
      <c r="AA1356" s="30"/>
    </row>
    <row r="1357" spans="1:28" ht="66" hidden="1">
      <c r="A1357" s="98">
        <v>1347</v>
      </c>
      <c r="B1357" s="79" t="s">
        <v>6613</v>
      </c>
      <c r="C1357" s="148" t="s">
        <v>8</v>
      </c>
      <c r="D1357" s="80" t="s">
        <v>63</v>
      </c>
      <c r="E1357" s="27" t="s">
        <v>3208</v>
      </c>
      <c r="F1357" s="80" t="s">
        <v>65</v>
      </c>
      <c r="G1357" s="81" t="s">
        <v>2762</v>
      </c>
      <c r="H1357" s="80" t="s">
        <v>3209</v>
      </c>
      <c r="I1357" s="92">
        <v>45810</v>
      </c>
      <c r="J1357" s="80" t="s">
        <v>3517</v>
      </c>
      <c r="K1357" s="80" t="s">
        <v>299</v>
      </c>
      <c r="L1357" s="84" t="s">
        <v>189</v>
      </c>
      <c r="M1357" s="84" t="s">
        <v>101</v>
      </c>
      <c r="N1357" s="84" t="s">
        <v>72</v>
      </c>
      <c r="O1357" s="129" t="s">
        <v>6614</v>
      </c>
      <c r="P1357" s="153" t="s">
        <v>6615</v>
      </c>
      <c r="Q1357" s="49" t="s">
        <v>91</v>
      </c>
      <c r="R1357" s="25"/>
      <c r="S1357" s="26">
        <v>8</v>
      </c>
      <c r="T1357" s="26"/>
      <c r="U1357" s="28" t="s">
        <v>6616</v>
      </c>
      <c r="V1357" s="66"/>
      <c r="W1357" s="106"/>
      <c r="X1357" s="106" t="s">
        <v>76</v>
      </c>
      <c r="Y1357" s="26" t="s">
        <v>76</v>
      </c>
      <c r="Z1357" s="75" t="s">
        <v>193</v>
      </c>
      <c r="AA1357" s="30"/>
      <c r="AB1357" s="25" t="s">
        <v>75</v>
      </c>
    </row>
    <row r="1358" spans="1:28" ht="49.5" hidden="1">
      <c r="A1358" s="98">
        <v>1348</v>
      </c>
      <c r="B1358" s="79" t="s">
        <v>6617</v>
      </c>
      <c r="C1358" s="148" t="s">
        <v>8</v>
      </c>
      <c r="D1358" s="80" t="s">
        <v>63</v>
      </c>
      <c r="E1358" s="27" t="s">
        <v>2761</v>
      </c>
      <c r="F1358" s="80" t="s">
        <v>284</v>
      </c>
      <c r="G1358" s="81" t="s">
        <v>2762</v>
      </c>
      <c r="H1358" s="80" t="s">
        <v>2763</v>
      </c>
      <c r="I1358" s="92">
        <v>45810</v>
      </c>
      <c r="J1358" s="80" t="s">
        <v>3517</v>
      </c>
      <c r="K1358" s="80" t="s">
        <v>69</v>
      </c>
      <c r="L1358" s="84" t="s">
        <v>189</v>
      </c>
      <c r="M1358" s="84" t="s">
        <v>101</v>
      </c>
      <c r="N1358" s="84" t="s">
        <v>72</v>
      </c>
      <c r="O1358" s="129" t="s">
        <v>6618</v>
      </c>
      <c r="P1358" s="153" t="s">
        <v>6619</v>
      </c>
      <c r="Q1358" s="49" t="s">
        <v>75</v>
      </c>
      <c r="R1358" s="25" t="s">
        <v>91</v>
      </c>
      <c r="S1358" s="26">
        <v>18</v>
      </c>
      <c r="T1358" s="26">
        <v>46</v>
      </c>
      <c r="U1358" s="28" t="s">
        <v>6620</v>
      </c>
      <c r="V1358" s="66"/>
      <c r="W1358" s="106"/>
      <c r="X1358" s="106" t="s">
        <v>3375</v>
      </c>
      <c r="Y1358" s="26" t="s">
        <v>76</v>
      </c>
      <c r="Z1358" s="75" t="s">
        <v>93</v>
      </c>
      <c r="AA1358" s="30"/>
    </row>
    <row r="1359" spans="1:28" ht="148.5" hidden="1">
      <c r="A1359" s="98">
        <v>1349</v>
      </c>
      <c r="B1359" s="79" t="s">
        <v>6621</v>
      </c>
      <c r="C1359" s="148" t="s">
        <v>8</v>
      </c>
      <c r="D1359" s="80" t="s">
        <v>83</v>
      </c>
      <c r="E1359" s="27" t="s">
        <v>315</v>
      </c>
      <c r="F1359" s="80" t="s">
        <v>109</v>
      </c>
      <c r="G1359" s="81" t="s">
        <v>248</v>
      </c>
      <c r="H1359" s="80" t="s">
        <v>316</v>
      </c>
      <c r="I1359" s="92">
        <v>45810</v>
      </c>
      <c r="J1359" s="80" t="s">
        <v>3517</v>
      </c>
      <c r="K1359" s="80" t="s">
        <v>299</v>
      </c>
      <c r="L1359" s="84" t="s">
        <v>189</v>
      </c>
      <c r="M1359" s="84" t="s">
        <v>101</v>
      </c>
      <c r="N1359" s="84" t="s">
        <v>72</v>
      </c>
      <c r="O1359" s="129" t="s">
        <v>6622</v>
      </c>
      <c r="P1359" s="153" t="s">
        <v>6623</v>
      </c>
      <c r="Q1359" s="49" t="s">
        <v>75</v>
      </c>
      <c r="R1359" s="25" t="s">
        <v>91</v>
      </c>
      <c r="S1359" s="26">
        <v>22</v>
      </c>
      <c r="T1359" s="26">
        <v>69</v>
      </c>
      <c r="U1359" s="28" t="s">
        <v>6624</v>
      </c>
      <c r="V1359" s="66"/>
      <c r="W1359" s="106"/>
      <c r="X1359" s="106" t="s">
        <v>3375</v>
      </c>
      <c r="Y1359" s="26" t="s">
        <v>76</v>
      </c>
      <c r="Z1359" s="93" t="s">
        <v>93</v>
      </c>
      <c r="AA1359" s="30"/>
    </row>
    <row r="1360" spans="1:28" ht="49.5" hidden="1">
      <c r="A1360" s="98">
        <v>1350</v>
      </c>
      <c r="B1360" s="79" t="s">
        <v>6625</v>
      </c>
      <c r="C1360" s="148" t="s">
        <v>8</v>
      </c>
      <c r="D1360" s="80" t="s">
        <v>63</v>
      </c>
      <c r="E1360" s="27" t="s">
        <v>6626</v>
      </c>
      <c r="F1360" s="80" t="s">
        <v>120</v>
      </c>
      <c r="G1360" s="81" t="s">
        <v>1132</v>
      </c>
      <c r="H1360" s="80" t="s">
        <v>6627</v>
      </c>
      <c r="I1360" s="92">
        <v>45810</v>
      </c>
      <c r="J1360" s="80" t="s">
        <v>3526</v>
      </c>
      <c r="K1360" s="80" t="s">
        <v>299</v>
      </c>
      <c r="L1360" s="84" t="s">
        <v>189</v>
      </c>
      <c r="M1360" s="84" t="s">
        <v>114</v>
      </c>
      <c r="N1360" s="84" t="s">
        <v>72</v>
      </c>
      <c r="O1360" s="129" t="s">
        <v>6628</v>
      </c>
      <c r="P1360" s="153" t="s">
        <v>6629</v>
      </c>
      <c r="Q1360" s="49" t="s">
        <v>75</v>
      </c>
      <c r="R1360" s="25" t="s">
        <v>91</v>
      </c>
      <c r="S1360" s="26">
        <v>20</v>
      </c>
      <c r="T1360" s="26">
        <v>57</v>
      </c>
      <c r="U1360" s="28" t="s">
        <v>6630</v>
      </c>
      <c r="V1360" s="66"/>
      <c r="W1360" s="106"/>
      <c r="X1360" s="106" t="s">
        <v>3375</v>
      </c>
      <c r="Y1360" s="26" t="s">
        <v>76</v>
      </c>
      <c r="Z1360" s="93" t="s">
        <v>93</v>
      </c>
      <c r="AA1360" s="30"/>
    </row>
    <row r="1361" spans="1:27" ht="49.5" hidden="1">
      <c r="A1361" s="98">
        <v>1351</v>
      </c>
      <c r="B1361" s="79" t="s">
        <v>6631</v>
      </c>
      <c r="C1361" s="148" t="s">
        <v>8</v>
      </c>
      <c r="D1361" s="80" t="s">
        <v>63</v>
      </c>
      <c r="E1361" s="27" t="s">
        <v>6626</v>
      </c>
      <c r="F1361" s="80" t="s">
        <v>120</v>
      </c>
      <c r="G1361" s="81" t="s">
        <v>1132</v>
      </c>
      <c r="H1361" s="80" t="s">
        <v>6627</v>
      </c>
      <c r="I1361" s="92">
        <v>45810</v>
      </c>
      <c r="J1361" s="80" t="s">
        <v>170</v>
      </c>
      <c r="K1361" s="80" t="s">
        <v>112</v>
      </c>
      <c r="L1361" s="84" t="s">
        <v>171</v>
      </c>
      <c r="M1361" s="84" t="s">
        <v>71</v>
      </c>
      <c r="N1361" s="84" t="s">
        <v>72</v>
      </c>
      <c r="O1361" s="129" t="s">
        <v>6632</v>
      </c>
      <c r="P1361" s="153" t="s">
        <v>6633</v>
      </c>
      <c r="Q1361" s="49" t="s">
        <v>75</v>
      </c>
      <c r="R1361" s="25" t="s">
        <v>91</v>
      </c>
      <c r="S1361" s="26">
        <v>25</v>
      </c>
      <c r="T1361" s="198" t="s">
        <v>313</v>
      </c>
      <c r="U1361" s="28" t="s">
        <v>6634</v>
      </c>
      <c r="V1361" s="66"/>
      <c r="W1361" s="106"/>
      <c r="X1361" s="106" t="s">
        <v>3375</v>
      </c>
      <c r="Y1361" s="26" t="s">
        <v>76</v>
      </c>
      <c r="Z1361" s="75" t="s">
        <v>106</v>
      </c>
      <c r="AA1361" s="30"/>
    </row>
    <row r="1362" spans="1:27" ht="49.5" hidden="1">
      <c r="A1362" s="98">
        <v>1352</v>
      </c>
      <c r="B1362" s="79" t="s">
        <v>6635</v>
      </c>
      <c r="C1362" s="148" t="s">
        <v>8</v>
      </c>
      <c r="D1362" s="80" t="s">
        <v>63</v>
      </c>
      <c r="E1362" s="27" t="s">
        <v>6626</v>
      </c>
      <c r="F1362" s="80" t="s">
        <v>120</v>
      </c>
      <c r="G1362" s="81" t="s">
        <v>1132</v>
      </c>
      <c r="H1362" s="80" t="s">
        <v>6627</v>
      </c>
      <c r="I1362" s="92">
        <v>45810</v>
      </c>
      <c r="J1362" s="80" t="s">
        <v>3512</v>
      </c>
      <c r="K1362" s="80" t="s">
        <v>299</v>
      </c>
      <c r="L1362" s="84" t="s">
        <v>189</v>
      </c>
      <c r="M1362" s="84" t="s">
        <v>221</v>
      </c>
      <c r="N1362" s="84" t="s">
        <v>72</v>
      </c>
      <c r="O1362" s="129" t="s">
        <v>6636</v>
      </c>
      <c r="P1362" s="153" t="s">
        <v>6637</v>
      </c>
      <c r="Q1362" s="49" t="s">
        <v>91</v>
      </c>
      <c r="R1362" s="26"/>
      <c r="S1362" s="26">
        <v>6</v>
      </c>
      <c r="T1362" s="26"/>
      <c r="U1362" s="28" t="s">
        <v>59</v>
      </c>
      <c r="V1362" s="66"/>
      <c r="W1362" s="106"/>
      <c r="X1362" s="106" t="s">
        <v>76</v>
      </c>
      <c r="Y1362" s="26" t="s">
        <v>76</v>
      </c>
      <c r="Z1362" s="75" t="s">
        <v>193</v>
      </c>
      <c r="AA1362" s="30"/>
    </row>
    <row r="1363" spans="1:27" ht="66" hidden="1">
      <c r="A1363" s="98">
        <v>1353</v>
      </c>
      <c r="B1363" s="79" t="s">
        <v>6638</v>
      </c>
      <c r="C1363" s="148" t="s">
        <v>8</v>
      </c>
      <c r="D1363" s="80" t="s">
        <v>63</v>
      </c>
      <c r="E1363" s="27" t="s">
        <v>5549</v>
      </c>
      <c r="F1363" s="80" t="s">
        <v>120</v>
      </c>
      <c r="G1363" s="81" t="s">
        <v>1132</v>
      </c>
      <c r="H1363" s="80" t="s">
        <v>5550</v>
      </c>
      <c r="I1363" s="92">
        <v>45813</v>
      </c>
      <c r="J1363" s="80" t="s">
        <v>3526</v>
      </c>
      <c r="K1363" s="80" t="s">
        <v>299</v>
      </c>
      <c r="L1363" s="84" t="s">
        <v>189</v>
      </c>
      <c r="M1363" s="84" t="s">
        <v>114</v>
      </c>
      <c r="N1363" s="84" t="s">
        <v>72</v>
      </c>
      <c r="O1363" s="129" t="s">
        <v>6639</v>
      </c>
      <c r="P1363" s="153" t="s">
        <v>6640</v>
      </c>
      <c r="Q1363" s="49" t="s">
        <v>75</v>
      </c>
      <c r="R1363" s="25" t="s">
        <v>91</v>
      </c>
      <c r="S1363" s="26">
        <v>17</v>
      </c>
      <c r="T1363" s="26">
        <v>54</v>
      </c>
      <c r="U1363" s="28" t="s">
        <v>6641</v>
      </c>
      <c r="V1363" s="66"/>
      <c r="W1363" s="106"/>
      <c r="X1363" s="106" t="s">
        <v>3375</v>
      </c>
      <c r="Y1363" s="26" t="s">
        <v>76</v>
      </c>
      <c r="Z1363" s="93" t="s">
        <v>93</v>
      </c>
      <c r="AA1363" s="30"/>
    </row>
    <row r="1364" spans="1:27" ht="66" hidden="1">
      <c r="A1364" s="98">
        <v>1354</v>
      </c>
      <c r="B1364" s="79" t="s">
        <v>6642</v>
      </c>
      <c r="C1364" s="148" t="s">
        <v>399</v>
      </c>
      <c r="D1364" s="80" t="s">
        <v>83</v>
      </c>
      <c r="E1364" s="27" t="s">
        <v>5792</v>
      </c>
      <c r="F1364" s="80" t="s">
        <v>120</v>
      </c>
      <c r="G1364" s="81" t="s">
        <v>2362</v>
      </c>
      <c r="H1364" s="80" t="s">
        <v>5793</v>
      </c>
      <c r="I1364" s="92">
        <v>45813</v>
      </c>
      <c r="J1364" s="80" t="s">
        <v>3505</v>
      </c>
      <c r="K1364" s="80" t="s">
        <v>69</v>
      </c>
      <c r="L1364" s="84" t="s">
        <v>251</v>
      </c>
      <c r="M1364" s="84" t="s">
        <v>252</v>
      </c>
      <c r="N1364" s="84" t="s">
        <v>72</v>
      </c>
      <c r="O1364" s="129" t="s">
        <v>6643</v>
      </c>
      <c r="P1364" s="153" t="s">
        <v>6644</v>
      </c>
      <c r="Q1364" s="49" t="s">
        <v>75</v>
      </c>
      <c r="R1364" s="25" t="s">
        <v>91</v>
      </c>
      <c r="S1364" s="26">
        <v>20</v>
      </c>
      <c r="T1364" s="26">
        <v>60</v>
      </c>
      <c r="U1364" s="28" t="s">
        <v>6645</v>
      </c>
      <c r="V1364" s="66"/>
      <c r="W1364" s="106"/>
      <c r="X1364" s="106" t="s">
        <v>3375</v>
      </c>
      <c r="Y1364" s="26" t="s">
        <v>76</v>
      </c>
      <c r="Z1364" s="75" t="s">
        <v>93</v>
      </c>
      <c r="AA1364" s="30"/>
    </row>
    <row r="1365" spans="1:27" ht="66" hidden="1">
      <c r="A1365" s="98">
        <v>1355</v>
      </c>
      <c r="B1365" s="79" t="s">
        <v>6646</v>
      </c>
      <c r="C1365" s="148" t="s">
        <v>8</v>
      </c>
      <c r="D1365" s="80" t="s">
        <v>63</v>
      </c>
      <c r="E1365" s="27" t="s">
        <v>2677</v>
      </c>
      <c r="F1365" s="80" t="s">
        <v>120</v>
      </c>
      <c r="G1365" s="81" t="s">
        <v>651</v>
      </c>
      <c r="H1365" s="80" t="s">
        <v>2678</v>
      </c>
      <c r="I1365" s="92">
        <v>45814</v>
      </c>
      <c r="J1365" s="80" t="s">
        <v>3821</v>
      </c>
      <c r="K1365" s="80" t="s">
        <v>112</v>
      </c>
      <c r="L1365" s="84" t="s">
        <v>113</v>
      </c>
      <c r="M1365" s="84" t="s">
        <v>252</v>
      </c>
      <c r="N1365" s="84" t="s">
        <v>1191</v>
      </c>
      <c r="O1365" s="129" t="s">
        <v>6647</v>
      </c>
      <c r="P1365" s="153" t="s">
        <v>6648</v>
      </c>
      <c r="Q1365" s="49" t="s">
        <v>75</v>
      </c>
      <c r="R1365" s="25" t="s">
        <v>91</v>
      </c>
      <c r="S1365" s="26">
        <v>20</v>
      </c>
      <c r="T1365" s="26">
        <v>62</v>
      </c>
      <c r="U1365" s="28" t="s">
        <v>6649</v>
      </c>
      <c r="V1365" s="66"/>
      <c r="W1365" s="106"/>
      <c r="X1365" s="106" t="s">
        <v>3375</v>
      </c>
      <c r="Y1365" s="26" t="s">
        <v>76</v>
      </c>
      <c r="Z1365" s="75" t="s">
        <v>93</v>
      </c>
      <c r="AA1365" s="30"/>
    </row>
    <row r="1366" spans="1:27" ht="49.5" hidden="1">
      <c r="A1366" s="98">
        <v>1356</v>
      </c>
      <c r="B1366" s="79" t="s">
        <v>6650</v>
      </c>
      <c r="C1366" s="148" t="s">
        <v>10</v>
      </c>
      <c r="D1366" s="80" t="s">
        <v>63</v>
      </c>
      <c r="E1366" s="27" t="s">
        <v>6651</v>
      </c>
      <c r="F1366" s="80" t="s">
        <v>109</v>
      </c>
      <c r="G1366" s="81" t="s">
        <v>3103</v>
      </c>
      <c r="H1366" s="80" t="s">
        <v>6652</v>
      </c>
      <c r="I1366" s="92">
        <v>45815</v>
      </c>
      <c r="J1366" s="80" t="s">
        <v>3565</v>
      </c>
      <c r="K1366" s="80" t="s">
        <v>69</v>
      </c>
      <c r="L1366" s="84" t="s">
        <v>189</v>
      </c>
      <c r="M1366" s="84" t="s">
        <v>601</v>
      </c>
      <c r="N1366" s="84" t="s">
        <v>72</v>
      </c>
      <c r="O1366" s="308" t="s">
        <v>6653</v>
      </c>
      <c r="P1366" s="153" t="s">
        <v>6654</v>
      </c>
      <c r="Q1366" s="49" t="s">
        <v>75</v>
      </c>
      <c r="R1366" s="25" t="s">
        <v>91</v>
      </c>
      <c r="S1366" s="26">
        <v>22</v>
      </c>
      <c r="T1366" s="55" t="s">
        <v>6221</v>
      </c>
      <c r="U1366" s="28" t="s">
        <v>6655</v>
      </c>
      <c r="V1366" s="66"/>
      <c r="W1366" s="106"/>
      <c r="X1366" s="106" t="s">
        <v>3375</v>
      </c>
      <c r="Y1366" s="26" t="s">
        <v>76</v>
      </c>
      <c r="Z1366" s="75" t="s">
        <v>93</v>
      </c>
      <c r="AA1366" s="30"/>
    </row>
    <row r="1367" spans="1:27" ht="115.5" hidden="1">
      <c r="A1367" s="98">
        <v>1357</v>
      </c>
      <c r="B1367" s="79" t="s">
        <v>6656</v>
      </c>
      <c r="C1367" s="148" t="s">
        <v>8</v>
      </c>
      <c r="D1367" s="80" t="s">
        <v>63</v>
      </c>
      <c r="E1367" s="27" t="s">
        <v>3166</v>
      </c>
      <c r="F1367" s="80" t="s">
        <v>65</v>
      </c>
      <c r="G1367" s="81" t="s">
        <v>1701</v>
      </c>
      <c r="H1367" s="80" t="s">
        <v>3167</v>
      </c>
      <c r="I1367" s="92">
        <v>45815</v>
      </c>
      <c r="J1367" s="80" t="s">
        <v>3565</v>
      </c>
      <c r="K1367" s="80" t="s">
        <v>299</v>
      </c>
      <c r="L1367" s="84" t="s">
        <v>189</v>
      </c>
      <c r="M1367" s="84" t="s">
        <v>252</v>
      </c>
      <c r="N1367" s="84" t="s">
        <v>72</v>
      </c>
      <c r="O1367" s="129" t="s">
        <v>6657</v>
      </c>
      <c r="P1367" s="153" t="s">
        <v>6658</v>
      </c>
      <c r="Q1367" s="49" t="s">
        <v>75</v>
      </c>
      <c r="R1367" s="25" t="s">
        <v>91</v>
      </c>
      <c r="S1367" s="26">
        <v>19</v>
      </c>
      <c r="T1367" s="26">
        <v>63</v>
      </c>
      <c r="U1367" s="28" t="s">
        <v>6659</v>
      </c>
      <c r="V1367" s="66"/>
      <c r="W1367" s="106"/>
      <c r="X1367" s="106" t="s">
        <v>3375</v>
      </c>
      <c r="Y1367" s="26" t="s">
        <v>76</v>
      </c>
      <c r="Z1367" s="75" t="s">
        <v>106</v>
      </c>
      <c r="AA1367" s="30"/>
    </row>
    <row r="1368" spans="1:27" ht="49.5" hidden="1">
      <c r="A1368" s="98">
        <v>1358</v>
      </c>
      <c r="B1368" s="79" t="s">
        <v>6660</v>
      </c>
      <c r="C1368" s="148" t="s">
        <v>8</v>
      </c>
      <c r="D1368" s="80" t="s">
        <v>63</v>
      </c>
      <c r="E1368" s="27" t="s">
        <v>3166</v>
      </c>
      <c r="F1368" s="80" t="s">
        <v>65</v>
      </c>
      <c r="G1368" s="81" t="s">
        <v>1701</v>
      </c>
      <c r="H1368" s="80" t="s">
        <v>3167</v>
      </c>
      <c r="I1368" s="92">
        <v>45815</v>
      </c>
      <c r="J1368" s="80" t="s">
        <v>3526</v>
      </c>
      <c r="K1368" s="80" t="s">
        <v>299</v>
      </c>
      <c r="L1368" s="84" t="s">
        <v>189</v>
      </c>
      <c r="M1368" s="84" t="s">
        <v>114</v>
      </c>
      <c r="N1368" s="84" t="s">
        <v>72</v>
      </c>
      <c r="O1368" s="129" t="s">
        <v>6661</v>
      </c>
      <c r="P1368" s="153" t="s">
        <v>6662</v>
      </c>
      <c r="Q1368" s="49" t="s">
        <v>75</v>
      </c>
      <c r="R1368" s="25" t="s">
        <v>91</v>
      </c>
      <c r="S1368" s="26">
        <v>19</v>
      </c>
      <c r="T1368" s="26">
        <v>64</v>
      </c>
      <c r="U1368" s="28" t="s">
        <v>6663</v>
      </c>
      <c r="V1368" s="66"/>
      <c r="W1368" s="106"/>
      <c r="X1368" s="106" t="s">
        <v>3375</v>
      </c>
      <c r="Y1368" s="26" t="s">
        <v>76</v>
      </c>
      <c r="Z1368" s="93" t="s">
        <v>93</v>
      </c>
      <c r="AA1368" s="30"/>
    </row>
    <row r="1369" spans="1:27" ht="49.5" hidden="1">
      <c r="A1369" s="98">
        <v>1359</v>
      </c>
      <c r="B1369" s="79" t="s">
        <v>6664</v>
      </c>
      <c r="C1369" s="148" t="s">
        <v>8</v>
      </c>
      <c r="D1369" s="80" t="s">
        <v>63</v>
      </c>
      <c r="E1369" s="27" t="s">
        <v>6665</v>
      </c>
      <c r="F1369" s="80" t="s">
        <v>65</v>
      </c>
      <c r="G1369" s="81" t="s">
        <v>1132</v>
      </c>
      <c r="H1369" s="80" t="s">
        <v>6666</v>
      </c>
      <c r="I1369" s="92">
        <v>45816</v>
      </c>
      <c r="J1369" s="80" t="s">
        <v>3565</v>
      </c>
      <c r="K1369" s="80" t="s">
        <v>299</v>
      </c>
      <c r="L1369" s="84" t="s">
        <v>189</v>
      </c>
      <c r="M1369" s="84" t="s">
        <v>252</v>
      </c>
      <c r="N1369" s="84" t="s">
        <v>72</v>
      </c>
      <c r="O1369" s="129" t="s">
        <v>6667</v>
      </c>
      <c r="P1369" s="153" t="s">
        <v>6668</v>
      </c>
      <c r="Q1369" s="49" t="s">
        <v>91</v>
      </c>
      <c r="R1369" s="25"/>
      <c r="S1369" s="26">
        <v>7</v>
      </c>
      <c r="T1369" s="26"/>
      <c r="U1369" s="28" t="s">
        <v>6669</v>
      </c>
      <c r="V1369" s="66"/>
      <c r="W1369" s="106"/>
      <c r="X1369" s="106" t="s">
        <v>76</v>
      </c>
      <c r="Y1369" s="26" t="s">
        <v>76</v>
      </c>
      <c r="Z1369" s="75" t="s">
        <v>193</v>
      </c>
      <c r="AA1369" s="30"/>
    </row>
    <row r="1370" spans="1:27" ht="66" hidden="1">
      <c r="A1370" s="98">
        <v>1360</v>
      </c>
      <c r="B1370" s="79" t="s">
        <v>6670</v>
      </c>
      <c r="C1370" s="148" t="s">
        <v>8</v>
      </c>
      <c r="D1370" s="80" t="s">
        <v>63</v>
      </c>
      <c r="E1370" s="27" t="s">
        <v>6671</v>
      </c>
      <c r="F1370" s="80" t="s">
        <v>65</v>
      </c>
      <c r="G1370" s="81" t="s">
        <v>1132</v>
      </c>
      <c r="H1370" s="80" t="s">
        <v>6672</v>
      </c>
      <c r="I1370" s="92">
        <v>45817</v>
      </c>
      <c r="J1370" s="80" t="s">
        <v>3999</v>
      </c>
      <c r="K1370" s="80" t="s">
        <v>198</v>
      </c>
      <c r="L1370" s="84" t="s">
        <v>199</v>
      </c>
      <c r="M1370" s="84" t="s">
        <v>114</v>
      </c>
      <c r="N1370" s="84" t="s">
        <v>72</v>
      </c>
      <c r="O1370" s="129" t="s">
        <v>6673</v>
      </c>
      <c r="P1370" s="153" t="s">
        <v>6674</v>
      </c>
      <c r="Q1370" s="49" t="s">
        <v>75</v>
      </c>
      <c r="R1370" s="25" t="s">
        <v>91</v>
      </c>
      <c r="S1370" s="26">
        <v>18</v>
      </c>
      <c r="T1370" s="26">
        <v>60</v>
      </c>
      <c r="U1370" s="28" t="s">
        <v>6292</v>
      </c>
      <c r="V1370" s="66"/>
      <c r="W1370" s="106"/>
      <c r="X1370" s="106" t="s">
        <v>3375</v>
      </c>
      <c r="Y1370" s="26" t="s">
        <v>76</v>
      </c>
      <c r="Z1370" s="75" t="s">
        <v>76</v>
      </c>
      <c r="AA1370" s="30"/>
    </row>
    <row r="1371" spans="1:27" ht="49.5" hidden="1">
      <c r="A1371" s="98">
        <v>1361</v>
      </c>
      <c r="B1371" s="79" t="s">
        <v>6675</v>
      </c>
      <c r="C1371" s="148" t="s">
        <v>8</v>
      </c>
      <c r="D1371" s="80" t="s">
        <v>63</v>
      </c>
      <c r="E1371" s="27" t="s">
        <v>1131</v>
      </c>
      <c r="F1371" s="80" t="s">
        <v>109</v>
      </c>
      <c r="G1371" s="81" t="s">
        <v>1132</v>
      </c>
      <c r="H1371" s="80" t="s">
        <v>1133</v>
      </c>
      <c r="I1371" s="92">
        <v>45818</v>
      </c>
      <c r="J1371" s="80" t="s">
        <v>3526</v>
      </c>
      <c r="K1371" s="80" t="s">
        <v>299</v>
      </c>
      <c r="L1371" s="84" t="s">
        <v>189</v>
      </c>
      <c r="M1371" s="84" t="s">
        <v>114</v>
      </c>
      <c r="N1371" s="84" t="s">
        <v>72</v>
      </c>
      <c r="O1371" s="129" t="s">
        <v>6676</v>
      </c>
      <c r="P1371" s="153" t="s">
        <v>6677</v>
      </c>
      <c r="Q1371" s="49" t="s">
        <v>75</v>
      </c>
      <c r="R1371" s="25" t="s">
        <v>91</v>
      </c>
      <c r="S1371" s="26">
        <v>20</v>
      </c>
      <c r="T1371" s="26">
        <v>65</v>
      </c>
      <c r="U1371" s="28" t="s">
        <v>6678</v>
      </c>
      <c r="V1371" s="66"/>
      <c r="W1371" s="106"/>
      <c r="X1371" s="106" t="s">
        <v>3375</v>
      </c>
      <c r="Y1371" s="26" t="s">
        <v>76</v>
      </c>
      <c r="Z1371" s="93" t="s">
        <v>93</v>
      </c>
      <c r="AA1371" s="30"/>
    </row>
    <row r="1372" spans="1:27" ht="213.75" hidden="1">
      <c r="A1372" s="98">
        <v>1362</v>
      </c>
      <c r="B1372" s="79" t="s">
        <v>6679</v>
      </c>
      <c r="C1372" s="148" t="s">
        <v>8</v>
      </c>
      <c r="D1372" s="80" t="s">
        <v>63</v>
      </c>
      <c r="E1372" s="27" t="s">
        <v>1131</v>
      </c>
      <c r="F1372" s="80" t="s">
        <v>109</v>
      </c>
      <c r="G1372" s="81" t="s">
        <v>1132</v>
      </c>
      <c r="H1372" s="80" t="s">
        <v>1133</v>
      </c>
      <c r="I1372" s="92">
        <v>45818</v>
      </c>
      <c r="J1372" s="80" t="s">
        <v>3526</v>
      </c>
      <c r="K1372" s="80" t="s">
        <v>299</v>
      </c>
      <c r="L1372" s="84" t="s">
        <v>189</v>
      </c>
      <c r="M1372" s="84" t="s">
        <v>114</v>
      </c>
      <c r="N1372" s="84" t="s">
        <v>72</v>
      </c>
      <c r="O1372" s="129" t="s">
        <v>6680</v>
      </c>
      <c r="P1372" s="153" t="s">
        <v>6681</v>
      </c>
      <c r="Q1372" s="49" t="s">
        <v>75</v>
      </c>
      <c r="R1372" s="25" t="s">
        <v>91</v>
      </c>
      <c r="S1372" s="26">
        <v>22</v>
      </c>
      <c r="T1372" s="26">
        <v>67</v>
      </c>
      <c r="U1372" s="28" t="s">
        <v>6678</v>
      </c>
      <c r="V1372" s="66"/>
      <c r="W1372" s="106"/>
      <c r="X1372" s="106" t="s">
        <v>3375</v>
      </c>
      <c r="Y1372" s="26" t="s">
        <v>76</v>
      </c>
      <c r="Z1372" s="93" t="s">
        <v>93</v>
      </c>
      <c r="AA1372" s="30"/>
    </row>
    <row r="1373" spans="1:27" ht="246.75" hidden="1">
      <c r="A1373" s="98">
        <v>1363</v>
      </c>
      <c r="B1373" s="79" t="s">
        <v>6682</v>
      </c>
      <c r="C1373" s="148" t="s">
        <v>8</v>
      </c>
      <c r="D1373" s="80" t="s">
        <v>83</v>
      </c>
      <c r="E1373" s="27" t="s">
        <v>1224</v>
      </c>
      <c r="F1373" s="80" t="s">
        <v>109</v>
      </c>
      <c r="G1373" s="81" t="s">
        <v>910</v>
      </c>
      <c r="H1373" s="80" t="s">
        <v>1225</v>
      </c>
      <c r="I1373" s="92">
        <v>45818</v>
      </c>
      <c r="J1373" s="80" t="s">
        <v>5766</v>
      </c>
      <c r="K1373" s="80" t="s">
        <v>112</v>
      </c>
      <c r="L1373" s="84" t="s">
        <v>113</v>
      </c>
      <c r="M1373" s="84" t="s">
        <v>853</v>
      </c>
      <c r="N1373" s="84" t="s">
        <v>72</v>
      </c>
      <c r="O1373" s="129" t="s">
        <v>6683</v>
      </c>
      <c r="P1373" s="153" t="s">
        <v>6684</v>
      </c>
      <c r="Q1373" s="49" t="s">
        <v>75</v>
      </c>
      <c r="R1373" s="25" t="s">
        <v>75</v>
      </c>
      <c r="S1373" s="26">
        <v>25</v>
      </c>
      <c r="T1373" s="26">
        <v>73</v>
      </c>
      <c r="U1373" s="28" t="s">
        <v>6685</v>
      </c>
      <c r="V1373" s="66" t="s">
        <v>75</v>
      </c>
      <c r="W1373" s="106" t="s">
        <v>6686</v>
      </c>
      <c r="X1373" s="106" t="s">
        <v>3375</v>
      </c>
      <c r="Y1373" s="26" t="s">
        <v>176</v>
      </c>
      <c r="Z1373" s="75" t="s">
        <v>79</v>
      </c>
      <c r="AA1373" s="30"/>
    </row>
    <row r="1374" spans="1:27" ht="49.5" hidden="1">
      <c r="A1374" s="98">
        <v>1364</v>
      </c>
      <c r="B1374" s="79" t="s">
        <v>6687</v>
      </c>
      <c r="C1374" s="148" t="s">
        <v>8</v>
      </c>
      <c r="D1374" s="80" t="s">
        <v>63</v>
      </c>
      <c r="E1374" s="27" t="s">
        <v>6688</v>
      </c>
      <c r="F1374" s="80" t="s">
        <v>120</v>
      </c>
      <c r="G1374" s="81" t="s">
        <v>1132</v>
      </c>
      <c r="H1374" s="80" t="s">
        <v>6689</v>
      </c>
      <c r="I1374" s="92">
        <v>45818</v>
      </c>
      <c r="J1374" s="80" t="s">
        <v>3999</v>
      </c>
      <c r="K1374" s="80" t="s">
        <v>198</v>
      </c>
      <c r="L1374" s="84" t="s">
        <v>199</v>
      </c>
      <c r="M1374" s="84" t="s">
        <v>114</v>
      </c>
      <c r="N1374" s="84" t="s">
        <v>72</v>
      </c>
      <c r="O1374" s="129" t="s">
        <v>6690</v>
      </c>
      <c r="P1374" s="153" t="s">
        <v>6691</v>
      </c>
      <c r="Q1374" s="49" t="s">
        <v>75</v>
      </c>
      <c r="R1374" s="25" t="s">
        <v>91</v>
      </c>
      <c r="S1374" s="26">
        <v>18</v>
      </c>
      <c r="T1374" s="26">
        <v>60</v>
      </c>
      <c r="U1374" s="28" t="s">
        <v>6292</v>
      </c>
      <c r="V1374" s="66"/>
      <c r="W1374" s="106"/>
      <c r="X1374" s="106" t="s">
        <v>3375</v>
      </c>
      <c r="Y1374" s="26" t="s">
        <v>76</v>
      </c>
      <c r="Z1374" s="75" t="s">
        <v>76</v>
      </c>
      <c r="AA1374" s="30"/>
    </row>
    <row r="1375" spans="1:27" ht="66" hidden="1">
      <c r="A1375" s="98">
        <v>1365</v>
      </c>
      <c r="B1375" s="79" t="s">
        <v>6692</v>
      </c>
      <c r="C1375" s="148" t="s">
        <v>10</v>
      </c>
      <c r="D1375" s="80" t="s">
        <v>63</v>
      </c>
      <c r="E1375" s="27" t="s">
        <v>3197</v>
      </c>
      <c r="F1375" s="80" t="s">
        <v>120</v>
      </c>
      <c r="G1375" s="81" t="s">
        <v>3198</v>
      </c>
      <c r="H1375" s="80" t="s">
        <v>3199</v>
      </c>
      <c r="I1375" s="92">
        <v>45819</v>
      </c>
      <c r="J1375" s="80" t="s">
        <v>4066</v>
      </c>
      <c r="K1375" s="80" t="s">
        <v>3373</v>
      </c>
      <c r="L1375" s="84" t="s">
        <v>10</v>
      </c>
      <c r="M1375" s="84" t="s">
        <v>252</v>
      </c>
      <c r="N1375" s="84" t="s">
        <v>72</v>
      </c>
      <c r="O1375" s="308" t="s">
        <v>6693</v>
      </c>
      <c r="P1375" s="153" t="s">
        <v>6694</v>
      </c>
      <c r="Q1375" s="49" t="s">
        <v>75</v>
      </c>
      <c r="R1375" s="25" t="s">
        <v>91</v>
      </c>
      <c r="S1375" s="26">
        <v>20</v>
      </c>
      <c r="T1375" s="26">
        <v>50</v>
      </c>
      <c r="U1375" s="28" t="s">
        <v>6695</v>
      </c>
      <c r="V1375" s="66"/>
      <c r="W1375" s="106"/>
      <c r="X1375" s="106" t="s">
        <v>3375</v>
      </c>
      <c r="Y1375" s="26" t="s">
        <v>76</v>
      </c>
      <c r="Z1375" s="75" t="s">
        <v>93</v>
      </c>
      <c r="AA1375" s="30"/>
    </row>
    <row r="1376" spans="1:27" ht="115.5" hidden="1">
      <c r="A1376" s="98">
        <v>1366</v>
      </c>
      <c r="B1376" s="79" t="s">
        <v>6696</v>
      </c>
      <c r="C1376" s="148" t="s">
        <v>8</v>
      </c>
      <c r="D1376" s="80" t="s">
        <v>63</v>
      </c>
      <c r="E1376" s="27" t="s">
        <v>2152</v>
      </c>
      <c r="F1376" s="80" t="s">
        <v>65</v>
      </c>
      <c r="G1376" s="81" t="s">
        <v>1047</v>
      </c>
      <c r="H1376" s="80" t="s">
        <v>2153</v>
      </c>
      <c r="I1376" s="92">
        <v>45819</v>
      </c>
      <c r="J1376" s="80" t="s">
        <v>3565</v>
      </c>
      <c r="K1376" s="80" t="s">
        <v>299</v>
      </c>
      <c r="L1376" s="84" t="s">
        <v>189</v>
      </c>
      <c r="M1376" s="84" t="s">
        <v>601</v>
      </c>
      <c r="N1376" s="84" t="s">
        <v>72</v>
      </c>
      <c r="O1376" s="129" t="s">
        <v>6697</v>
      </c>
      <c r="P1376" s="153" t="s">
        <v>6698</v>
      </c>
      <c r="Q1376" s="49" t="s">
        <v>75</v>
      </c>
      <c r="R1376" s="25" t="s">
        <v>91</v>
      </c>
      <c r="S1376" s="26">
        <v>19</v>
      </c>
      <c r="T1376" s="26">
        <v>64</v>
      </c>
      <c r="U1376" s="28" t="s">
        <v>6699</v>
      </c>
      <c r="V1376" s="66"/>
      <c r="W1376" s="106"/>
      <c r="X1376" s="106" t="s">
        <v>3375</v>
      </c>
      <c r="Y1376" s="26" t="s">
        <v>76</v>
      </c>
      <c r="Z1376" s="93" t="s">
        <v>93</v>
      </c>
      <c r="AA1376" s="30"/>
    </row>
    <row r="1377" spans="1:27" ht="279.75" hidden="1">
      <c r="A1377" s="98">
        <v>1367</v>
      </c>
      <c r="B1377" s="79" t="s">
        <v>6700</v>
      </c>
      <c r="C1377" s="148" t="s">
        <v>8</v>
      </c>
      <c r="D1377" s="80" t="s">
        <v>63</v>
      </c>
      <c r="E1377" s="27" t="s">
        <v>6701</v>
      </c>
      <c r="F1377" s="80" t="s">
        <v>284</v>
      </c>
      <c r="G1377" s="81" t="s">
        <v>1701</v>
      </c>
      <c r="H1377" s="80" t="s">
        <v>6702</v>
      </c>
      <c r="I1377" s="92">
        <v>45820</v>
      </c>
      <c r="J1377" s="80" t="s">
        <v>3565</v>
      </c>
      <c r="K1377" s="80" t="s">
        <v>299</v>
      </c>
      <c r="L1377" s="84" t="s">
        <v>189</v>
      </c>
      <c r="M1377" s="84" t="s">
        <v>252</v>
      </c>
      <c r="N1377" s="84" t="s">
        <v>72</v>
      </c>
      <c r="O1377" s="129" t="s">
        <v>6703</v>
      </c>
      <c r="P1377" s="153" t="s">
        <v>6704</v>
      </c>
      <c r="Q1377" s="49" t="s">
        <v>75</v>
      </c>
      <c r="R1377" s="25" t="s">
        <v>91</v>
      </c>
      <c r="S1377" s="26">
        <v>21</v>
      </c>
      <c r="T1377" s="26">
        <v>66</v>
      </c>
      <c r="U1377" s="28" t="s">
        <v>6705</v>
      </c>
      <c r="V1377" s="66"/>
      <c r="W1377" s="106"/>
      <c r="X1377" s="106" t="s">
        <v>3375</v>
      </c>
      <c r="Y1377" s="26" t="s">
        <v>76</v>
      </c>
      <c r="Z1377" s="93" t="s">
        <v>93</v>
      </c>
      <c r="AA1377" s="30"/>
    </row>
    <row r="1378" spans="1:27" ht="49.5" hidden="1">
      <c r="A1378" s="98">
        <v>1368</v>
      </c>
      <c r="B1378" s="79" t="s">
        <v>6706</v>
      </c>
      <c r="C1378" s="148" t="s">
        <v>8</v>
      </c>
      <c r="D1378" s="80" t="s">
        <v>63</v>
      </c>
      <c r="E1378" s="27" t="s">
        <v>4034</v>
      </c>
      <c r="F1378" s="80" t="s">
        <v>338</v>
      </c>
      <c r="G1378" s="81" t="s">
        <v>1132</v>
      </c>
      <c r="H1378" s="80" t="s">
        <v>4035</v>
      </c>
      <c r="I1378" s="92">
        <v>45820</v>
      </c>
      <c r="J1378" s="80" t="s">
        <v>3505</v>
      </c>
      <c r="K1378" s="80" t="s">
        <v>69</v>
      </c>
      <c r="L1378" s="84" t="s">
        <v>100</v>
      </c>
      <c r="M1378" s="84" t="s">
        <v>595</v>
      </c>
      <c r="N1378" s="84" t="s">
        <v>72</v>
      </c>
      <c r="O1378" s="129" t="s">
        <v>6707</v>
      </c>
      <c r="P1378" s="153" t="s">
        <v>6708</v>
      </c>
      <c r="Q1378" s="49" t="s">
        <v>91</v>
      </c>
      <c r="R1378" s="25"/>
      <c r="S1378" s="55" t="s">
        <v>6709</v>
      </c>
      <c r="T1378" s="26"/>
      <c r="U1378" s="28" t="s">
        <v>948</v>
      </c>
      <c r="V1378" s="66"/>
      <c r="W1378" s="106"/>
      <c r="X1378" s="106" t="s">
        <v>76</v>
      </c>
      <c r="Y1378" s="26" t="s">
        <v>76</v>
      </c>
      <c r="Z1378" s="75" t="s">
        <v>193</v>
      </c>
      <c r="AA1378" s="30"/>
    </row>
    <row r="1379" spans="1:27" ht="49.5" hidden="1">
      <c r="A1379" s="98">
        <v>1369</v>
      </c>
      <c r="B1379" s="79" t="s">
        <v>6710</v>
      </c>
      <c r="C1379" s="148" t="s">
        <v>8</v>
      </c>
      <c r="D1379" s="80" t="s">
        <v>63</v>
      </c>
      <c r="E1379" s="27" t="s">
        <v>4034</v>
      </c>
      <c r="F1379" s="80" t="s">
        <v>338</v>
      </c>
      <c r="G1379" s="81" t="s">
        <v>1132</v>
      </c>
      <c r="H1379" s="80" t="s">
        <v>4035</v>
      </c>
      <c r="I1379" s="92">
        <v>45820</v>
      </c>
      <c r="J1379" s="80" t="s">
        <v>3505</v>
      </c>
      <c r="K1379" s="80" t="s">
        <v>69</v>
      </c>
      <c r="L1379" s="84" t="s">
        <v>251</v>
      </c>
      <c r="M1379" s="84" t="s">
        <v>252</v>
      </c>
      <c r="N1379" s="84" t="s">
        <v>72</v>
      </c>
      <c r="O1379" s="129" t="s">
        <v>6711</v>
      </c>
      <c r="P1379" s="153" t="s">
        <v>6712</v>
      </c>
      <c r="Q1379" s="49" t="s">
        <v>91</v>
      </c>
      <c r="R1379" s="25"/>
      <c r="S1379" s="26">
        <v>12</v>
      </c>
      <c r="T1379" s="26"/>
      <c r="U1379" s="28" t="s">
        <v>6713</v>
      </c>
      <c r="V1379" s="66"/>
      <c r="W1379" s="106"/>
      <c r="X1379" s="106" t="s">
        <v>76</v>
      </c>
      <c r="Y1379" s="26" t="s">
        <v>76</v>
      </c>
      <c r="Z1379" s="75" t="s">
        <v>193</v>
      </c>
      <c r="AA1379" s="30"/>
    </row>
    <row r="1380" spans="1:27" ht="49.5" hidden="1">
      <c r="A1380" s="98">
        <v>1370</v>
      </c>
      <c r="B1380" s="79" t="s">
        <v>6714</v>
      </c>
      <c r="C1380" s="148" t="s">
        <v>8</v>
      </c>
      <c r="D1380" s="80" t="s">
        <v>63</v>
      </c>
      <c r="E1380" s="27" t="s">
        <v>4034</v>
      </c>
      <c r="F1380" s="80" t="s">
        <v>338</v>
      </c>
      <c r="G1380" s="81" t="s">
        <v>1132</v>
      </c>
      <c r="H1380" s="80" t="s">
        <v>4035</v>
      </c>
      <c r="I1380" s="92">
        <v>45820</v>
      </c>
      <c r="J1380" s="80" t="s">
        <v>3505</v>
      </c>
      <c r="K1380" s="80" t="s">
        <v>69</v>
      </c>
      <c r="L1380" s="84" t="s">
        <v>251</v>
      </c>
      <c r="M1380" s="84" t="s">
        <v>252</v>
      </c>
      <c r="N1380" s="84" t="s">
        <v>920</v>
      </c>
      <c r="O1380" s="129" t="s">
        <v>6715</v>
      </c>
      <c r="P1380" s="153" t="s">
        <v>6716</v>
      </c>
      <c r="Q1380" s="49" t="s">
        <v>91</v>
      </c>
      <c r="R1380" s="25"/>
      <c r="S1380" s="55" t="s">
        <v>6717</v>
      </c>
      <c r="T1380" s="26"/>
      <c r="U1380" s="28"/>
      <c r="V1380" s="66"/>
      <c r="W1380" s="106"/>
      <c r="X1380" s="106" t="s">
        <v>76</v>
      </c>
      <c r="Y1380" s="26" t="s">
        <v>76</v>
      </c>
      <c r="Z1380" s="75" t="s">
        <v>193</v>
      </c>
      <c r="AA1380" s="30"/>
    </row>
    <row r="1381" spans="1:27" ht="49.5" hidden="1">
      <c r="A1381" s="98">
        <v>1371</v>
      </c>
      <c r="B1381" s="79" t="s">
        <v>6718</v>
      </c>
      <c r="C1381" s="148" t="s">
        <v>8</v>
      </c>
      <c r="D1381" s="80" t="s">
        <v>63</v>
      </c>
      <c r="E1381" s="27" t="s">
        <v>6411</v>
      </c>
      <c r="F1381" s="80" t="s">
        <v>120</v>
      </c>
      <c r="G1381" s="81" t="s">
        <v>1413</v>
      </c>
      <c r="H1381" s="80" t="s">
        <v>6412</v>
      </c>
      <c r="I1381" s="92">
        <v>45821</v>
      </c>
      <c r="J1381" s="80" t="s">
        <v>3494</v>
      </c>
      <c r="K1381" s="80" t="s">
        <v>198</v>
      </c>
      <c r="L1381" s="84" t="s">
        <v>199</v>
      </c>
      <c r="M1381" s="84" t="s">
        <v>200</v>
      </c>
      <c r="N1381" s="84" t="s">
        <v>72</v>
      </c>
      <c r="O1381" s="129" t="s">
        <v>6719</v>
      </c>
      <c r="P1381" s="153" t="s">
        <v>6720</v>
      </c>
      <c r="Q1381" s="49" t="s">
        <v>91</v>
      </c>
      <c r="R1381" s="25"/>
      <c r="S1381" s="26">
        <v>14</v>
      </c>
      <c r="T1381" s="26"/>
      <c r="U1381" s="28" t="s">
        <v>6721</v>
      </c>
      <c r="V1381" s="66"/>
      <c r="W1381" s="106"/>
      <c r="X1381" s="106" t="s">
        <v>76</v>
      </c>
      <c r="Y1381" s="26" t="s">
        <v>76</v>
      </c>
      <c r="Z1381" s="75" t="s">
        <v>76</v>
      </c>
      <c r="AA1381" s="30"/>
    </row>
    <row r="1382" spans="1:27" ht="82.5" hidden="1">
      <c r="A1382" s="98">
        <v>1372</v>
      </c>
      <c r="B1382" s="79" t="s">
        <v>6722</v>
      </c>
      <c r="C1382" s="148" t="s">
        <v>10</v>
      </c>
      <c r="D1382" s="80" t="s">
        <v>63</v>
      </c>
      <c r="E1382" s="27" t="s">
        <v>3197</v>
      </c>
      <c r="F1382" s="80" t="s">
        <v>120</v>
      </c>
      <c r="G1382" s="81" t="s">
        <v>3198</v>
      </c>
      <c r="H1382" s="80" t="s">
        <v>3199</v>
      </c>
      <c r="I1382" s="92">
        <v>45821</v>
      </c>
      <c r="J1382" s="80" t="s">
        <v>3505</v>
      </c>
      <c r="K1382" s="80" t="s">
        <v>3373</v>
      </c>
      <c r="L1382" s="84" t="s">
        <v>251</v>
      </c>
      <c r="M1382" s="84" t="s">
        <v>252</v>
      </c>
      <c r="N1382" s="84" t="s">
        <v>920</v>
      </c>
      <c r="O1382" s="308" t="s">
        <v>6723</v>
      </c>
      <c r="P1382" s="153" t="s">
        <v>6724</v>
      </c>
      <c r="Q1382" s="49" t="s">
        <v>91</v>
      </c>
      <c r="R1382" s="25"/>
      <c r="S1382" s="26">
        <v>14</v>
      </c>
      <c r="T1382" s="26"/>
      <c r="U1382" s="28" t="s">
        <v>6725</v>
      </c>
      <c r="V1382" s="66"/>
      <c r="W1382" s="106"/>
      <c r="X1382" s="106" t="s">
        <v>76</v>
      </c>
      <c r="Y1382" s="26" t="s">
        <v>76</v>
      </c>
      <c r="Z1382" s="75" t="s">
        <v>193</v>
      </c>
      <c r="AA1382" s="30"/>
    </row>
    <row r="1383" spans="1:27" ht="82.5" hidden="1">
      <c r="A1383" s="98">
        <v>1373</v>
      </c>
      <c r="B1383" s="79" t="s">
        <v>6726</v>
      </c>
      <c r="C1383" s="148" t="s">
        <v>8</v>
      </c>
      <c r="D1383" s="80" t="s">
        <v>83</v>
      </c>
      <c r="E1383" s="27" t="s">
        <v>6727</v>
      </c>
      <c r="F1383" s="80" t="s">
        <v>338</v>
      </c>
      <c r="G1383" s="81" t="s">
        <v>488</v>
      </c>
      <c r="H1383" s="80" t="s">
        <v>6728</v>
      </c>
      <c r="I1383" s="92">
        <v>45825</v>
      </c>
      <c r="J1383" s="80" t="s">
        <v>3500</v>
      </c>
      <c r="K1383" s="80" t="s">
        <v>198</v>
      </c>
      <c r="L1383" s="84" t="s">
        <v>199</v>
      </c>
      <c r="M1383" s="84" t="s">
        <v>221</v>
      </c>
      <c r="N1383" s="84" t="s">
        <v>72</v>
      </c>
      <c r="O1383" s="129" t="s">
        <v>6729</v>
      </c>
      <c r="P1383" s="153" t="s">
        <v>6730</v>
      </c>
      <c r="Q1383" s="49" t="s">
        <v>75</v>
      </c>
      <c r="R1383" s="25" t="s">
        <v>91</v>
      </c>
      <c r="S1383" s="26">
        <v>18</v>
      </c>
      <c r="T1383" s="26">
        <v>60</v>
      </c>
      <c r="U1383" s="28" t="s">
        <v>6292</v>
      </c>
      <c r="V1383" s="66"/>
      <c r="W1383" s="106"/>
      <c r="X1383" s="106" t="s">
        <v>3375</v>
      </c>
      <c r="Y1383" s="26" t="s">
        <v>76</v>
      </c>
      <c r="Z1383" s="75" t="s">
        <v>76</v>
      </c>
      <c r="AA1383" s="30" t="s">
        <v>1536</v>
      </c>
    </row>
    <row r="1384" spans="1:27" ht="49.5" hidden="1">
      <c r="A1384" s="98">
        <v>1374</v>
      </c>
      <c r="B1384" s="79" t="s">
        <v>6731</v>
      </c>
      <c r="C1384" s="148" t="s">
        <v>8</v>
      </c>
      <c r="D1384" s="80" t="s">
        <v>83</v>
      </c>
      <c r="E1384" s="27" t="s">
        <v>588</v>
      </c>
      <c r="F1384" s="80" t="s">
        <v>109</v>
      </c>
      <c r="G1384" s="81" t="s">
        <v>589</v>
      </c>
      <c r="H1384" s="80" t="s">
        <v>590</v>
      </c>
      <c r="I1384" s="92">
        <v>45827</v>
      </c>
      <c r="J1384" s="80" t="s">
        <v>145</v>
      </c>
      <c r="K1384" s="80" t="s">
        <v>146</v>
      </c>
      <c r="L1384" s="84" t="s">
        <v>147</v>
      </c>
      <c r="M1384" s="84" t="s">
        <v>148</v>
      </c>
      <c r="N1384" s="84" t="s">
        <v>72</v>
      </c>
      <c r="O1384" s="129" t="s">
        <v>6732</v>
      </c>
      <c r="P1384" s="153" t="s">
        <v>6733</v>
      </c>
      <c r="Q1384" s="49" t="s">
        <v>75</v>
      </c>
      <c r="R1384" s="25" t="s">
        <v>91</v>
      </c>
      <c r="S1384" s="26">
        <v>18</v>
      </c>
      <c r="T1384" s="26">
        <v>60</v>
      </c>
      <c r="U1384" s="28" t="s">
        <v>6557</v>
      </c>
      <c r="V1384" s="66"/>
      <c r="W1384" s="106"/>
      <c r="X1384" s="106" t="s">
        <v>3375</v>
      </c>
      <c r="Y1384" s="26" t="s">
        <v>76</v>
      </c>
      <c r="Z1384" s="75" t="s">
        <v>76</v>
      </c>
      <c r="AA1384" s="30"/>
    </row>
    <row r="1385" spans="1:27" ht="82.5" hidden="1">
      <c r="A1385" s="98">
        <v>1375</v>
      </c>
      <c r="B1385" s="79" t="s">
        <v>6734</v>
      </c>
      <c r="C1385" s="148" t="s">
        <v>8</v>
      </c>
      <c r="D1385" s="80" t="s">
        <v>63</v>
      </c>
      <c r="E1385" s="27" t="s">
        <v>6735</v>
      </c>
      <c r="F1385" s="80" t="s">
        <v>65</v>
      </c>
      <c r="G1385" s="81" t="s">
        <v>1132</v>
      </c>
      <c r="H1385" s="80" t="s">
        <v>6736</v>
      </c>
      <c r="I1385" s="92">
        <v>45827</v>
      </c>
      <c r="J1385" s="80" t="s">
        <v>3565</v>
      </c>
      <c r="K1385" s="80" t="s">
        <v>299</v>
      </c>
      <c r="L1385" s="84" t="s">
        <v>189</v>
      </c>
      <c r="M1385" s="84" t="s">
        <v>252</v>
      </c>
      <c r="N1385" s="84" t="s">
        <v>72</v>
      </c>
      <c r="O1385" s="129" t="s">
        <v>6737</v>
      </c>
      <c r="P1385" s="153" t="s">
        <v>6738</v>
      </c>
      <c r="Q1385" s="49" t="s">
        <v>91</v>
      </c>
      <c r="R1385" s="25"/>
      <c r="S1385" s="26">
        <v>9</v>
      </c>
      <c r="T1385" s="26"/>
      <c r="U1385" s="28" t="s">
        <v>6739</v>
      </c>
      <c r="V1385" s="66"/>
      <c r="W1385" s="106"/>
      <c r="X1385" s="106" t="s">
        <v>76</v>
      </c>
      <c r="Y1385" s="26" t="s">
        <v>76</v>
      </c>
      <c r="Z1385" s="75" t="s">
        <v>193</v>
      </c>
      <c r="AA1385" s="30"/>
    </row>
    <row r="1386" spans="1:27" ht="49.5" hidden="1">
      <c r="A1386" s="98">
        <v>1376</v>
      </c>
      <c r="B1386" s="79" t="s">
        <v>6740</v>
      </c>
      <c r="C1386" s="148" t="s">
        <v>8</v>
      </c>
      <c r="D1386" s="80" t="s">
        <v>63</v>
      </c>
      <c r="E1386" s="27" t="s">
        <v>4034</v>
      </c>
      <c r="F1386" s="80" t="s">
        <v>338</v>
      </c>
      <c r="G1386" s="81" t="s">
        <v>1132</v>
      </c>
      <c r="H1386" s="80" t="s">
        <v>4035</v>
      </c>
      <c r="I1386" s="92">
        <v>45828</v>
      </c>
      <c r="J1386" s="80" t="s">
        <v>3565</v>
      </c>
      <c r="K1386" s="80" t="s">
        <v>299</v>
      </c>
      <c r="L1386" s="84" t="s">
        <v>189</v>
      </c>
      <c r="M1386" s="84" t="s">
        <v>252</v>
      </c>
      <c r="N1386" s="84" t="s">
        <v>72</v>
      </c>
      <c r="O1386" s="129" t="s">
        <v>6741</v>
      </c>
      <c r="P1386" s="153" t="s">
        <v>6711</v>
      </c>
      <c r="Q1386" s="49" t="s">
        <v>91</v>
      </c>
      <c r="R1386" s="25"/>
      <c r="S1386" s="26">
        <v>3</v>
      </c>
      <c r="T1386" s="26"/>
      <c r="U1386" s="28"/>
      <c r="V1386" s="66"/>
      <c r="W1386" s="106"/>
      <c r="X1386" s="106" t="s">
        <v>76</v>
      </c>
      <c r="Y1386" s="26" t="s">
        <v>76</v>
      </c>
      <c r="Z1386" s="75" t="s">
        <v>193</v>
      </c>
      <c r="AA1386" s="30"/>
    </row>
    <row r="1387" spans="1:27" ht="99" hidden="1">
      <c r="A1387" s="98">
        <v>1377</v>
      </c>
      <c r="B1387" s="79" t="s">
        <v>6742</v>
      </c>
      <c r="C1387" s="148" t="s">
        <v>8</v>
      </c>
      <c r="D1387" s="80" t="s">
        <v>63</v>
      </c>
      <c r="E1387" s="27" t="s">
        <v>2600</v>
      </c>
      <c r="F1387" s="80" t="s">
        <v>120</v>
      </c>
      <c r="G1387" s="81" t="s">
        <v>1413</v>
      </c>
      <c r="H1387" s="80" t="s">
        <v>1949</v>
      </c>
      <c r="I1387" s="92">
        <v>45829</v>
      </c>
      <c r="J1387" s="80" t="s">
        <v>3565</v>
      </c>
      <c r="K1387" s="80" t="s">
        <v>69</v>
      </c>
      <c r="L1387" s="84" t="s">
        <v>189</v>
      </c>
      <c r="M1387" s="84" t="s">
        <v>252</v>
      </c>
      <c r="N1387" s="84" t="s">
        <v>72</v>
      </c>
      <c r="O1387" s="129" t="s">
        <v>6743</v>
      </c>
      <c r="P1387" s="153" t="s">
        <v>6744</v>
      </c>
      <c r="Q1387" s="49" t="s">
        <v>75</v>
      </c>
      <c r="R1387" s="25" t="s">
        <v>504</v>
      </c>
      <c r="S1387" s="26">
        <v>24</v>
      </c>
      <c r="T1387" s="26"/>
      <c r="U1387" s="28" t="s">
        <v>6745</v>
      </c>
      <c r="V1387" s="66"/>
      <c r="W1387" s="106"/>
      <c r="X1387" s="106" t="s">
        <v>3375</v>
      </c>
      <c r="Y1387" s="26" t="s">
        <v>76</v>
      </c>
      <c r="Z1387" s="75" t="s">
        <v>106</v>
      </c>
      <c r="AA1387" s="30"/>
    </row>
    <row r="1388" spans="1:27" ht="33" hidden="1">
      <c r="A1388" s="98">
        <v>1378</v>
      </c>
      <c r="B1388" s="79" t="s">
        <v>6746</v>
      </c>
      <c r="C1388" s="148" t="s">
        <v>8</v>
      </c>
      <c r="D1388" s="80" t="s">
        <v>63</v>
      </c>
      <c r="E1388" s="27" t="s">
        <v>2703</v>
      </c>
      <c r="F1388" s="80" t="s">
        <v>65</v>
      </c>
      <c r="G1388" s="81" t="s">
        <v>2076</v>
      </c>
      <c r="H1388" s="80" t="s">
        <v>2704</v>
      </c>
      <c r="I1388" s="92">
        <v>45829</v>
      </c>
      <c r="J1388" s="80" t="s">
        <v>3526</v>
      </c>
      <c r="K1388" s="80" t="s">
        <v>299</v>
      </c>
      <c r="L1388" s="84" t="s">
        <v>189</v>
      </c>
      <c r="M1388" s="84" t="s">
        <v>114</v>
      </c>
      <c r="N1388" s="84" t="s">
        <v>72</v>
      </c>
      <c r="O1388" s="129" t="s">
        <v>6747</v>
      </c>
      <c r="P1388" s="153" t="s">
        <v>6748</v>
      </c>
      <c r="Q1388" s="49" t="s">
        <v>91</v>
      </c>
      <c r="R1388" s="25"/>
      <c r="S1388" s="26">
        <v>7</v>
      </c>
      <c r="T1388" s="26"/>
      <c r="U1388" s="28" t="s">
        <v>6749</v>
      </c>
      <c r="V1388" s="66"/>
      <c r="W1388" s="106"/>
      <c r="X1388" s="106" t="s">
        <v>76</v>
      </c>
      <c r="Y1388" s="26" t="s">
        <v>76</v>
      </c>
      <c r="Z1388" s="75" t="s">
        <v>193</v>
      </c>
      <c r="AA1388" s="30"/>
    </row>
    <row r="1389" spans="1:27" ht="115.5" hidden="1">
      <c r="A1389" s="98">
        <v>1379</v>
      </c>
      <c r="B1389" s="79" t="s">
        <v>6750</v>
      </c>
      <c r="C1389" s="148" t="s">
        <v>8</v>
      </c>
      <c r="D1389" s="80" t="s">
        <v>63</v>
      </c>
      <c r="E1389" s="27" t="s">
        <v>1591</v>
      </c>
      <c r="F1389" s="80" t="s">
        <v>109</v>
      </c>
      <c r="G1389" s="81" t="s">
        <v>1132</v>
      </c>
      <c r="H1389" s="80" t="s">
        <v>1592</v>
      </c>
      <c r="I1389" s="92">
        <v>45832</v>
      </c>
      <c r="J1389" s="80" t="s">
        <v>3517</v>
      </c>
      <c r="K1389" s="80" t="s">
        <v>299</v>
      </c>
      <c r="L1389" s="84" t="s">
        <v>189</v>
      </c>
      <c r="M1389" s="84" t="s">
        <v>101</v>
      </c>
      <c r="N1389" s="84" t="s">
        <v>72</v>
      </c>
      <c r="O1389" s="129" t="s">
        <v>6751</v>
      </c>
      <c r="P1389" s="153" t="s">
        <v>6752</v>
      </c>
      <c r="Q1389" s="49" t="s">
        <v>75</v>
      </c>
      <c r="R1389" s="25" t="s">
        <v>91</v>
      </c>
      <c r="S1389" s="26">
        <v>20</v>
      </c>
      <c r="T1389" s="26">
        <v>67</v>
      </c>
      <c r="U1389" s="28" t="s">
        <v>6753</v>
      </c>
      <c r="V1389" s="66"/>
      <c r="W1389" s="106"/>
      <c r="X1389" s="106" t="s">
        <v>3375</v>
      </c>
      <c r="Y1389" s="26" t="s">
        <v>76</v>
      </c>
      <c r="Z1389" s="93" t="s">
        <v>93</v>
      </c>
      <c r="AA1389" s="30"/>
    </row>
    <row r="1390" spans="1:27" ht="99" hidden="1">
      <c r="A1390" s="98">
        <v>1380</v>
      </c>
      <c r="B1390" s="79" t="s">
        <v>6754</v>
      </c>
      <c r="C1390" s="148" t="s">
        <v>8</v>
      </c>
      <c r="D1390" s="80" t="s">
        <v>63</v>
      </c>
      <c r="E1390" s="27" t="s">
        <v>2613</v>
      </c>
      <c r="F1390" s="80" t="s">
        <v>109</v>
      </c>
      <c r="G1390" s="81" t="s">
        <v>995</v>
      </c>
      <c r="H1390" s="80" t="s">
        <v>2614</v>
      </c>
      <c r="I1390" s="92">
        <v>45832</v>
      </c>
      <c r="J1390" s="80" t="s">
        <v>3565</v>
      </c>
      <c r="K1390" s="80" t="s">
        <v>299</v>
      </c>
      <c r="L1390" s="84" t="s">
        <v>189</v>
      </c>
      <c r="M1390" s="84" t="s">
        <v>252</v>
      </c>
      <c r="N1390" s="84" t="s">
        <v>72</v>
      </c>
      <c r="O1390" s="129" t="s">
        <v>6755</v>
      </c>
      <c r="P1390" s="153" t="s">
        <v>6756</v>
      </c>
      <c r="Q1390" s="49" t="s">
        <v>91</v>
      </c>
      <c r="R1390" s="25"/>
      <c r="S1390" s="26">
        <v>6</v>
      </c>
      <c r="T1390" s="26"/>
      <c r="U1390" s="28" t="s">
        <v>6757</v>
      </c>
      <c r="V1390" s="66"/>
      <c r="W1390" s="106"/>
      <c r="X1390" s="106" t="s">
        <v>76</v>
      </c>
      <c r="Y1390" s="26" t="s">
        <v>76</v>
      </c>
      <c r="Z1390" s="75" t="s">
        <v>193</v>
      </c>
      <c r="AA1390" s="30"/>
    </row>
    <row r="1391" spans="1:27" ht="49.5" hidden="1">
      <c r="A1391" s="98">
        <v>1381</v>
      </c>
      <c r="B1391" s="79" t="s">
        <v>6758</v>
      </c>
      <c r="C1391" s="148" t="s">
        <v>10</v>
      </c>
      <c r="D1391" s="80" t="s">
        <v>63</v>
      </c>
      <c r="E1391" s="27" t="s">
        <v>3197</v>
      </c>
      <c r="F1391" s="80" t="s">
        <v>120</v>
      </c>
      <c r="G1391" s="81" t="s">
        <v>3198</v>
      </c>
      <c r="H1391" s="80" t="s">
        <v>3199</v>
      </c>
      <c r="I1391" s="92">
        <v>45833</v>
      </c>
      <c r="J1391" s="80" t="s">
        <v>3505</v>
      </c>
      <c r="K1391" s="80" t="s">
        <v>69</v>
      </c>
      <c r="L1391" s="84" t="s">
        <v>70</v>
      </c>
      <c r="M1391" s="84" t="s">
        <v>252</v>
      </c>
      <c r="N1391" s="84" t="s">
        <v>72</v>
      </c>
      <c r="O1391" s="308" t="s">
        <v>6759</v>
      </c>
      <c r="P1391" s="153" t="s">
        <v>6760</v>
      </c>
      <c r="Q1391" s="49" t="s">
        <v>75</v>
      </c>
      <c r="R1391" s="25" t="s">
        <v>91</v>
      </c>
      <c r="S1391" s="26">
        <v>22</v>
      </c>
      <c r="T1391" s="26">
        <v>62</v>
      </c>
      <c r="U1391" s="28" t="s">
        <v>6761</v>
      </c>
      <c r="V1391" s="66"/>
      <c r="W1391" s="106"/>
      <c r="X1391" s="106" t="s">
        <v>3375</v>
      </c>
      <c r="Y1391" s="26" t="s">
        <v>76</v>
      </c>
      <c r="Z1391" s="75" t="s">
        <v>93</v>
      </c>
      <c r="AA1391" s="30"/>
    </row>
    <row r="1392" spans="1:27" ht="246.75" hidden="1">
      <c r="A1392" s="98">
        <v>1382</v>
      </c>
      <c r="B1392" s="79" t="s">
        <v>6762</v>
      </c>
      <c r="C1392" s="148" t="s">
        <v>8</v>
      </c>
      <c r="D1392" s="80" t="s">
        <v>63</v>
      </c>
      <c r="E1392" s="27" t="s">
        <v>3395</v>
      </c>
      <c r="F1392" s="80" t="s">
        <v>109</v>
      </c>
      <c r="G1392" s="81" t="s">
        <v>154</v>
      </c>
      <c r="H1392" s="80" t="s">
        <v>3396</v>
      </c>
      <c r="I1392" s="92">
        <v>45833</v>
      </c>
      <c r="J1392" s="80" t="s">
        <v>3505</v>
      </c>
      <c r="K1392" s="80" t="s">
        <v>69</v>
      </c>
      <c r="L1392" s="84" t="s">
        <v>251</v>
      </c>
      <c r="M1392" s="84" t="s">
        <v>252</v>
      </c>
      <c r="N1392" s="84" t="s">
        <v>72</v>
      </c>
      <c r="O1392" s="129" t="s">
        <v>6763</v>
      </c>
      <c r="P1392" s="153" t="s">
        <v>6764</v>
      </c>
      <c r="Q1392" s="49" t="s">
        <v>75</v>
      </c>
      <c r="R1392" s="25" t="s">
        <v>91</v>
      </c>
      <c r="S1392" s="26">
        <v>22</v>
      </c>
      <c r="T1392" s="26">
        <v>50</v>
      </c>
      <c r="U1392" s="28" t="s">
        <v>6765</v>
      </c>
      <c r="V1392" s="66"/>
      <c r="W1392" s="106"/>
      <c r="X1392" s="106" t="s">
        <v>3375</v>
      </c>
      <c r="Y1392" s="26" t="s">
        <v>76</v>
      </c>
      <c r="Z1392" s="75" t="s">
        <v>93</v>
      </c>
      <c r="AA1392" s="30"/>
    </row>
    <row r="1393" spans="1:27" ht="49.5" hidden="1">
      <c r="A1393" s="98">
        <v>1383</v>
      </c>
      <c r="B1393" s="79" t="s">
        <v>6766</v>
      </c>
      <c r="C1393" s="148" t="s">
        <v>8</v>
      </c>
      <c r="D1393" s="80" t="s">
        <v>63</v>
      </c>
      <c r="E1393" s="27" t="s">
        <v>6767</v>
      </c>
      <c r="F1393" s="80" t="s">
        <v>65</v>
      </c>
      <c r="G1393" s="81" t="s">
        <v>995</v>
      </c>
      <c r="H1393" s="80" t="s">
        <v>6768</v>
      </c>
      <c r="I1393" s="92">
        <v>45833</v>
      </c>
      <c r="J1393" s="80" t="s">
        <v>3512</v>
      </c>
      <c r="K1393" s="80" t="s">
        <v>198</v>
      </c>
      <c r="L1393" s="84" t="s">
        <v>189</v>
      </c>
      <c r="M1393" s="84" t="s">
        <v>221</v>
      </c>
      <c r="N1393" s="84" t="s">
        <v>72</v>
      </c>
      <c r="O1393" s="129" t="s">
        <v>6769</v>
      </c>
      <c r="P1393" s="153" t="s">
        <v>6770</v>
      </c>
      <c r="Q1393" s="49" t="s">
        <v>75</v>
      </c>
      <c r="R1393" s="181" t="s">
        <v>504</v>
      </c>
      <c r="S1393" s="26">
        <v>18</v>
      </c>
      <c r="T1393" s="26"/>
      <c r="U1393" s="28" t="s">
        <v>6771</v>
      </c>
      <c r="V1393" s="66"/>
      <c r="W1393" s="106"/>
      <c r="X1393" s="106" t="s">
        <v>3375</v>
      </c>
      <c r="Y1393" s="26" t="s">
        <v>76</v>
      </c>
      <c r="Z1393" s="75" t="s">
        <v>76</v>
      </c>
      <c r="AA1393" s="30"/>
    </row>
    <row r="1394" spans="1:27" ht="66" hidden="1">
      <c r="A1394" s="98">
        <v>1384</v>
      </c>
      <c r="B1394" s="79" t="s">
        <v>6772</v>
      </c>
      <c r="C1394" s="148" t="s">
        <v>8</v>
      </c>
      <c r="D1394" s="80" t="s">
        <v>63</v>
      </c>
      <c r="E1394" s="27" t="s">
        <v>6773</v>
      </c>
      <c r="F1394" s="80" t="s">
        <v>65</v>
      </c>
      <c r="G1394" s="81" t="s">
        <v>995</v>
      </c>
      <c r="H1394" s="80" t="s">
        <v>6774</v>
      </c>
      <c r="I1394" s="92">
        <v>45834</v>
      </c>
      <c r="J1394" s="80" t="s">
        <v>3500</v>
      </c>
      <c r="K1394" s="80" t="s">
        <v>198</v>
      </c>
      <c r="L1394" s="84" t="s">
        <v>199</v>
      </c>
      <c r="M1394" s="84" t="s">
        <v>221</v>
      </c>
      <c r="N1394" s="84" t="s">
        <v>72</v>
      </c>
      <c r="O1394" s="129" t="s">
        <v>6775</v>
      </c>
      <c r="P1394" s="153" t="s">
        <v>6776</v>
      </c>
      <c r="Q1394" s="49" t="s">
        <v>75</v>
      </c>
      <c r="R1394" s="25" t="s">
        <v>91</v>
      </c>
      <c r="S1394" s="26">
        <v>18</v>
      </c>
      <c r="T1394" s="26">
        <v>60</v>
      </c>
      <c r="U1394" s="28" t="s">
        <v>6777</v>
      </c>
      <c r="V1394" s="66"/>
      <c r="W1394" s="106"/>
      <c r="X1394" s="106" t="s">
        <v>3375</v>
      </c>
      <c r="Y1394" s="26" t="s">
        <v>76</v>
      </c>
      <c r="Z1394" s="75" t="s">
        <v>76</v>
      </c>
      <c r="AA1394" s="30"/>
    </row>
    <row r="1395" spans="1:27" ht="49.5" hidden="1">
      <c r="A1395" s="98">
        <v>1385</v>
      </c>
      <c r="B1395" s="79" t="s">
        <v>6778</v>
      </c>
      <c r="C1395" s="148" t="s">
        <v>8</v>
      </c>
      <c r="D1395" s="80" t="s">
        <v>63</v>
      </c>
      <c r="E1395" s="27" t="s">
        <v>4034</v>
      </c>
      <c r="F1395" s="80" t="s">
        <v>338</v>
      </c>
      <c r="G1395" s="81" t="s">
        <v>1132</v>
      </c>
      <c r="H1395" s="80" t="s">
        <v>4035</v>
      </c>
      <c r="I1395" s="92">
        <v>45835</v>
      </c>
      <c r="J1395" s="80" t="s">
        <v>3505</v>
      </c>
      <c r="K1395" s="80" t="s">
        <v>69</v>
      </c>
      <c r="L1395" s="84" t="s">
        <v>100</v>
      </c>
      <c r="M1395" s="84" t="s">
        <v>252</v>
      </c>
      <c r="N1395" s="84" t="s">
        <v>72</v>
      </c>
      <c r="O1395" s="129" t="s">
        <v>6779</v>
      </c>
      <c r="P1395" s="153" t="s">
        <v>6780</v>
      </c>
      <c r="Q1395" s="49" t="s">
        <v>75</v>
      </c>
      <c r="R1395" s="25" t="s">
        <v>91</v>
      </c>
      <c r="S1395" s="26">
        <v>18</v>
      </c>
      <c r="T1395" s="26">
        <v>38</v>
      </c>
      <c r="U1395" s="28" t="s">
        <v>6781</v>
      </c>
      <c r="V1395" s="66"/>
      <c r="W1395" s="106"/>
      <c r="X1395" s="106" t="s">
        <v>3375</v>
      </c>
      <c r="Y1395" s="26" t="s">
        <v>76</v>
      </c>
      <c r="Z1395" s="75" t="s">
        <v>93</v>
      </c>
      <c r="AA1395" s="30"/>
    </row>
    <row r="1396" spans="1:27" ht="49.5" hidden="1">
      <c r="A1396" s="98">
        <v>1386</v>
      </c>
      <c r="B1396" s="79" t="s">
        <v>6782</v>
      </c>
      <c r="C1396" s="148" t="s">
        <v>8</v>
      </c>
      <c r="D1396" s="80" t="s">
        <v>63</v>
      </c>
      <c r="E1396" s="27" t="s">
        <v>3770</v>
      </c>
      <c r="F1396" s="80" t="s">
        <v>120</v>
      </c>
      <c r="G1396" s="81" t="s">
        <v>995</v>
      </c>
      <c r="H1396" s="80" t="s">
        <v>3771</v>
      </c>
      <c r="I1396" s="92">
        <v>45835</v>
      </c>
      <c r="J1396" s="80" t="s">
        <v>3543</v>
      </c>
      <c r="K1396" s="80" t="s">
        <v>112</v>
      </c>
      <c r="L1396" s="84" t="s">
        <v>122</v>
      </c>
      <c r="M1396" s="84" t="s">
        <v>114</v>
      </c>
      <c r="N1396" s="84" t="s">
        <v>72</v>
      </c>
      <c r="O1396" s="129" t="s">
        <v>6783</v>
      </c>
      <c r="P1396" s="153" t="s">
        <v>6784</v>
      </c>
      <c r="Q1396" s="49" t="s">
        <v>91</v>
      </c>
      <c r="R1396" s="25"/>
      <c r="S1396" s="26">
        <v>15</v>
      </c>
      <c r="T1396" s="26"/>
      <c r="U1396" s="28" t="s">
        <v>6785</v>
      </c>
      <c r="V1396" s="66"/>
      <c r="W1396" s="106"/>
      <c r="X1396" s="106" t="s">
        <v>76</v>
      </c>
      <c r="Y1396" s="26" t="s">
        <v>76</v>
      </c>
      <c r="Z1396" s="75" t="s">
        <v>193</v>
      </c>
      <c r="AA1396" s="30"/>
    </row>
    <row r="1397" spans="1:27" ht="49.5" hidden="1">
      <c r="A1397" s="98">
        <v>1387</v>
      </c>
      <c r="B1397" s="79" t="s">
        <v>6786</v>
      </c>
      <c r="C1397" s="148" t="s">
        <v>8</v>
      </c>
      <c r="D1397" s="80" t="s">
        <v>63</v>
      </c>
      <c r="E1397" s="27" t="s">
        <v>3666</v>
      </c>
      <c r="F1397" s="80" t="s">
        <v>65</v>
      </c>
      <c r="G1397" s="81" t="s">
        <v>995</v>
      </c>
      <c r="H1397" s="80" t="s">
        <v>3667</v>
      </c>
      <c r="I1397" s="92">
        <v>45835</v>
      </c>
      <c r="J1397" s="80" t="s">
        <v>3543</v>
      </c>
      <c r="K1397" s="80" t="s">
        <v>112</v>
      </c>
      <c r="L1397" s="84" t="s">
        <v>113</v>
      </c>
      <c r="M1397" s="84" t="s">
        <v>114</v>
      </c>
      <c r="N1397" s="84" t="s">
        <v>72</v>
      </c>
      <c r="O1397" s="129" t="s">
        <v>6787</v>
      </c>
      <c r="P1397" s="153" t="s">
        <v>6788</v>
      </c>
      <c r="Q1397" s="49" t="s">
        <v>91</v>
      </c>
      <c r="R1397" s="25"/>
      <c r="S1397" s="26">
        <v>12</v>
      </c>
      <c r="T1397" s="26"/>
      <c r="U1397" s="28" t="s">
        <v>6789</v>
      </c>
      <c r="V1397" s="66"/>
      <c r="W1397" s="106"/>
      <c r="X1397" s="106" t="s">
        <v>76</v>
      </c>
      <c r="Y1397" s="26" t="s">
        <v>76</v>
      </c>
      <c r="Z1397" s="75" t="s">
        <v>193</v>
      </c>
      <c r="AA1397" s="30"/>
    </row>
    <row r="1398" spans="1:27" ht="165" hidden="1">
      <c r="A1398" s="98">
        <v>1388</v>
      </c>
      <c r="B1398" s="79" t="s">
        <v>6790</v>
      </c>
      <c r="C1398" s="148" t="s">
        <v>8</v>
      </c>
      <c r="D1398" s="80" t="s">
        <v>63</v>
      </c>
      <c r="E1398" s="27" t="s">
        <v>1992</v>
      </c>
      <c r="F1398" s="80" t="s">
        <v>338</v>
      </c>
      <c r="G1398" s="81" t="s">
        <v>995</v>
      </c>
      <c r="H1398" s="80" t="s">
        <v>1993</v>
      </c>
      <c r="I1398" s="92">
        <v>45835</v>
      </c>
      <c r="J1398" s="80" t="s">
        <v>6791</v>
      </c>
      <c r="K1398" s="80" t="s">
        <v>146</v>
      </c>
      <c r="L1398" s="84" t="s">
        <v>147</v>
      </c>
      <c r="M1398" s="84" t="s">
        <v>114</v>
      </c>
      <c r="N1398" s="84" t="s">
        <v>72</v>
      </c>
      <c r="O1398" s="129" t="s">
        <v>6792</v>
      </c>
      <c r="P1398" s="153" t="s">
        <v>6793</v>
      </c>
      <c r="Q1398" s="49" t="s">
        <v>75</v>
      </c>
      <c r="R1398" s="25" t="s">
        <v>91</v>
      </c>
      <c r="S1398" s="26">
        <v>18</v>
      </c>
      <c r="T1398" s="26">
        <v>60</v>
      </c>
      <c r="U1398" s="28" t="s">
        <v>6794</v>
      </c>
      <c r="V1398" s="66"/>
      <c r="W1398" s="106"/>
      <c r="X1398" s="106" t="s">
        <v>3375</v>
      </c>
      <c r="Y1398" s="26" t="s">
        <v>76</v>
      </c>
      <c r="Z1398" s="75" t="s">
        <v>76</v>
      </c>
      <c r="AA1398" s="30"/>
    </row>
    <row r="1399" spans="1:27" ht="56.25" hidden="1" customHeight="1">
      <c r="A1399" s="98">
        <v>1389</v>
      </c>
      <c r="B1399" s="79" t="s">
        <v>6795</v>
      </c>
      <c r="C1399" s="148" t="s">
        <v>10</v>
      </c>
      <c r="D1399" s="80" t="s">
        <v>63</v>
      </c>
      <c r="E1399" s="27" t="s">
        <v>5832</v>
      </c>
      <c r="F1399" s="80" t="s">
        <v>109</v>
      </c>
      <c r="G1399" s="81" t="s">
        <v>3103</v>
      </c>
      <c r="H1399" s="80" t="s">
        <v>5833</v>
      </c>
      <c r="I1399" s="92">
        <v>45838</v>
      </c>
      <c r="J1399" s="80" t="s">
        <v>4109</v>
      </c>
      <c r="K1399" s="80" t="s">
        <v>3373</v>
      </c>
      <c r="L1399" s="84" t="s">
        <v>10</v>
      </c>
      <c r="M1399" s="84" t="s">
        <v>101</v>
      </c>
      <c r="N1399" s="84" t="s">
        <v>72</v>
      </c>
      <c r="O1399" s="308" t="s">
        <v>6796</v>
      </c>
      <c r="P1399" s="153" t="s">
        <v>6797</v>
      </c>
      <c r="Q1399" s="49" t="s">
        <v>75</v>
      </c>
      <c r="R1399" s="25" t="s">
        <v>91</v>
      </c>
      <c r="S1399" s="26">
        <v>21</v>
      </c>
      <c r="T1399" s="26">
        <v>42</v>
      </c>
      <c r="U1399" s="28" t="s">
        <v>6798</v>
      </c>
      <c r="V1399" s="66"/>
      <c r="W1399" s="106"/>
      <c r="X1399" s="106" t="s">
        <v>3375</v>
      </c>
      <c r="Y1399" s="26" t="s">
        <v>76</v>
      </c>
      <c r="Z1399" s="75" t="s">
        <v>93</v>
      </c>
      <c r="AA1399" s="30"/>
    </row>
    <row r="1400" spans="1:27" ht="28.5" hidden="1" customHeight="1">
      <c r="A1400" s="98">
        <v>1390</v>
      </c>
      <c r="B1400" s="79" t="s">
        <v>6799</v>
      </c>
      <c r="C1400" s="148" t="s">
        <v>8</v>
      </c>
      <c r="D1400" s="80" t="s">
        <v>83</v>
      </c>
      <c r="E1400" s="27" t="s">
        <v>487</v>
      </c>
      <c r="F1400" s="80" t="s">
        <v>109</v>
      </c>
      <c r="G1400" s="81" t="s">
        <v>488</v>
      </c>
      <c r="H1400" s="80" t="s">
        <v>489</v>
      </c>
      <c r="I1400" s="92">
        <v>45838</v>
      </c>
      <c r="J1400" s="80" t="s">
        <v>170</v>
      </c>
      <c r="K1400" s="80" t="s">
        <v>156</v>
      </c>
      <c r="L1400" s="84" t="s">
        <v>171</v>
      </c>
      <c r="M1400" s="84" t="s">
        <v>71</v>
      </c>
      <c r="N1400" s="84" t="s">
        <v>72</v>
      </c>
      <c r="O1400" s="129" t="s">
        <v>6800</v>
      </c>
      <c r="P1400" s="153" t="s">
        <v>6801</v>
      </c>
      <c r="Q1400" s="49" t="s">
        <v>75</v>
      </c>
      <c r="R1400" s="25" t="s">
        <v>75</v>
      </c>
      <c r="S1400" s="26">
        <v>25</v>
      </c>
      <c r="T1400" s="26">
        <v>80</v>
      </c>
      <c r="U1400" s="28" t="s">
        <v>6802</v>
      </c>
      <c r="V1400" s="66" t="s">
        <v>75</v>
      </c>
      <c r="W1400" s="106" t="s">
        <v>6686</v>
      </c>
      <c r="X1400" s="106" t="s">
        <v>3375</v>
      </c>
      <c r="Y1400" s="26" t="s">
        <v>176</v>
      </c>
      <c r="Z1400" s="75" t="s">
        <v>106</v>
      </c>
      <c r="AA1400" s="30"/>
    </row>
    <row r="1401" spans="1:27" ht="28.5" hidden="1" customHeight="1">
      <c r="A1401" s="98">
        <v>1391</v>
      </c>
      <c r="B1401" s="79" t="s">
        <v>6803</v>
      </c>
      <c r="C1401" s="148" t="s">
        <v>5211</v>
      </c>
      <c r="D1401" s="80" t="s">
        <v>83</v>
      </c>
      <c r="E1401" s="27" t="s">
        <v>6804</v>
      </c>
      <c r="F1401" s="80" t="s">
        <v>120</v>
      </c>
      <c r="G1401" s="81" t="s">
        <v>85</v>
      </c>
      <c r="H1401" s="80" t="s">
        <v>146</v>
      </c>
      <c r="I1401" s="92">
        <v>45838</v>
      </c>
      <c r="J1401" s="80" t="s">
        <v>145</v>
      </c>
      <c r="K1401" s="80" t="s">
        <v>146</v>
      </c>
      <c r="L1401" s="84" t="s">
        <v>147</v>
      </c>
      <c r="M1401" s="84" t="s">
        <v>148</v>
      </c>
      <c r="N1401" s="84" t="s">
        <v>72</v>
      </c>
      <c r="O1401" s="129" t="s">
        <v>6805</v>
      </c>
      <c r="P1401" s="128" t="s">
        <v>6806</v>
      </c>
      <c r="Q1401" s="49" t="s">
        <v>75</v>
      </c>
      <c r="R1401" s="25" t="s">
        <v>75</v>
      </c>
      <c r="S1401" s="26">
        <v>22</v>
      </c>
      <c r="T1401" s="26">
        <v>78</v>
      </c>
      <c r="U1401" s="28" t="s">
        <v>6807</v>
      </c>
      <c r="V1401" s="66" t="s">
        <v>75</v>
      </c>
      <c r="W1401" s="106" t="s">
        <v>949</v>
      </c>
      <c r="X1401" s="106" t="s">
        <v>3375</v>
      </c>
      <c r="Y1401" s="26" t="s">
        <v>3375</v>
      </c>
      <c r="Z1401" s="75" t="s">
        <v>76</v>
      </c>
      <c r="AA1401" s="30"/>
    </row>
    <row r="1402" spans="1:27" ht="28.5" hidden="1" customHeight="1">
      <c r="A1402" s="98">
        <v>1392</v>
      </c>
      <c r="B1402" s="79" t="s">
        <v>6808</v>
      </c>
      <c r="C1402" s="148" t="s">
        <v>8</v>
      </c>
      <c r="D1402" s="80" t="s">
        <v>63</v>
      </c>
      <c r="E1402" s="27" t="s">
        <v>1983</v>
      </c>
      <c r="F1402" s="80" t="s">
        <v>109</v>
      </c>
      <c r="G1402" s="81" t="s">
        <v>1041</v>
      </c>
      <c r="H1402" s="80" t="s">
        <v>1984</v>
      </c>
      <c r="I1402" s="92">
        <v>45839</v>
      </c>
      <c r="J1402" s="80" t="s">
        <v>3505</v>
      </c>
      <c r="K1402" s="80" t="s">
        <v>69</v>
      </c>
      <c r="L1402" s="84" t="s">
        <v>251</v>
      </c>
      <c r="M1402" s="84" t="s">
        <v>252</v>
      </c>
      <c r="N1402" s="84" t="s">
        <v>72</v>
      </c>
      <c r="O1402" s="129" t="s">
        <v>6809</v>
      </c>
      <c r="P1402" s="153" t="s">
        <v>6810</v>
      </c>
      <c r="Q1402" s="49" t="s">
        <v>91</v>
      </c>
      <c r="R1402" s="25"/>
      <c r="S1402" s="26">
        <v>6</v>
      </c>
      <c r="T1402" s="26"/>
      <c r="U1402" s="28" t="s">
        <v>1276</v>
      </c>
      <c r="V1402" s="66"/>
      <c r="W1402" s="106"/>
      <c r="X1402" s="106"/>
      <c r="Y1402" s="26" t="s">
        <v>76</v>
      </c>
      <c r="Z1402" s="75" t="s">
        <v>193</v>
      </c>
      <c r="AA1402" s="30"/>
    </row>
    <row r="1403" spans="1:27" ht="49.5" hidden="1">
      <c r="A1403" s="98">
        <v>1393</v>
      </c>
      <c r="B1403" s="79" t="s">
        <v>6811</v>
      </c>
      <c r="C1403" s="148" t="s">
        <v>8</v>
      </c>
      <c r="D1403" s="80" t="s">
        <v>63</v>
      </c>
      <c r="E1403" s="27" t="s">
        <v>1983</v>
      </c>
      <c r="F1403" s="80" t="s">
        <v>109</v>
      </c>
      <c r="G1403" s="81" t="s">
        <v>1041</v>
      </c>
      <c r="H1403" s="80" t="s">
        <v>1984</v>
      </c>
      <c r="I1403" s="92">
        <v>45839</v>
      </c>
      <c r="J1403" s="80" t="s">
        <v>3505</v>
      </c>
      <c r="K1403" s="80" t="s">
        <v>69</v>
      </c>
      <c r="L1403" s="84" t="s">
        <v>251</v>
      </c>
      <c r="M1403" s="84" t="s">
        <v>252</v>
      </c>
      <c r="N1403" s="84" t="s">
        <v>72</v>
      </c>
      <c r="O1403" s="129" t="s">
        <v>6812</v>
      </c>
      <c r="P1403" s="153" t="s">
        <v>6813</v>
      </c>
      <c r="Q1403" s="49" t="s">
        <v>75</v>
      </c>
      <c r="R1403" s="25" t="s">
        <v>91</v>
      </c>
      <c r="S1403" s="26"/>
      <c r="T1403" s="26"/>
      <c r="U1403" s="28" t="s">
        <v>6814</v>
      </c>
      <c r="V1403" s="66"/>
      <c r="W1403" s="215"/>
      <c r="X1403" s="106" t="s">
        <v>176</v>
      </c>
      <c r="Y1403" s="26" t="s">
        <v>76</v>
      </c>
      <c r="Z1403" s="75" t="s">
        <v>93</v>
      </c>
      <c r="AA1403" s="30"/>
    </row>
    <row r="1404" spans="1:27" ht="82.5" hidden="1">
      <c r="A1404" s="98">
        <v>1394</v>
      </c>
      <c r="B1404" s="79" t="s">
        <v>6815</v>
      </c>
      <c r="C1404" s="148" t="s">
        <v>8</v>
      </c>
      <c r="D1404" s="80" t="s">
        <v>63</v>
      </c>
      <c r="E1404" s="27" t="s">
        <v>2636</v>
      </c>
      <c r="F1404" s="80" t="s">
        <v>120</v>
      </c>
      <c r="G1404" s="81" t="s">
        <v>995</v>
      </c>
      <c r="H1404" s="80" t="s">
        <v>2637</v>
      </c>
      <c r="I1404" s="202">
        <v>45840</v>
      </c>
      <c r="J1404" s="80" t="s">
        <v>3500</v>
      </c>
      <c r="K1404" s="80" t="s">
        <v>198</v>
      </c>
      <c r="L1404" s="84" t="s">
        <v>199</v>
      </c>
      <c r="M1404" s="84" t="s">
        <v>221</v>
      </c>
      <c r="N1404" s="84" t="s">
        <v>72</v>
      </c>
      <c r="O1404" s="129" t="s">
        <v>6816</v>
      </c>
      <c r="P1404" s="153" t="s">
        <v>6817</v>
      </c>
      <c r="Q1404" s="49" t="s">
        <v>75</v>
      </c>
      <c r="R1404" s="25" t="s">
        <v>91</v>
      </c>
      <c r="S1404" s="26">
        <v>18</v>
      </c>
      <c r="T1404" s="26">
        <v>66</v>
      </c>
      <c r="U1404" s="28" t="s">
        <v>6818</v>
      </c>
      <c r="V1404" s="66"/>
      <c r="W1404" s="215"/>
      <c r="X1404" s="106" t="s">
        <v>176</v>
      </c>
      <c r="Y1404" s="26" t="s">
        <v>76</v>
      </c>
      <c r="Z1404" s="75" t="s">
        <v>93</v>
      </c>
      <c r="AA1404" s="30"/>
    </row>
    <row r="1405" spans="1:27" ht="38.25" hidden="1" customHeight="1">
      <c r="A1405" s="98">
        <v>1395</v>
      </c>
      <c r="B1405" s="79" t="s">
        <v>6819</v>
      </c>
      <c r="C1405" s="148" t="s">
        <v>8</v>
      </c>
      <c r="D1405" s="80" t="s">
        <v>63</v>
      </c>
      <c r="E1405" s="27" t="s">
        <v>2636</v>
      </c>
      <c r="F1405" s="80" t="s">
        <v>120</v>
      </c>
      <c r="G1405" s="81" t="s">
        <v>995</v>
      </c>
      <c r="H1405" s="80" t="s">
        <v>2637</v>
      </c>
      <c r="I1405" s="92">
        <v>45840</v>
      </c>
      <c r="J1405" s="80" t="s">
        <v>3526</v>
      </c>
      <c r="K1405" s="80" t="s">
        <v>299</v>
      </c>
      <c r="L1405" s="84" t="s">
        <v>189</v>
      </c>
      <c r="M1405" s="84" t="s">
        <v>114</v>
      </c>
      <c r="N1405" s="84" t="s">
        <v>72</v>
      </c>
      <c r="O1405" s="129" t="s">
        <v>6387</v>
      </c>
      <c r="P1405" s="153" t="s">
        <v>6388</v>
      </c>
      <c r="Q1405" s="49" t="s">
        <v>91</v>
      </c>
      <c r="R1405" s="25"/>
      <c r="S1405" s="26">
        <v>7</v>
      </c>
      <c r="T1405" s="26"/>
      <c r="U1405" s="28" t="s">
        <v>6820</v>
      </c>
      <c r="V1405" s="66"/>
      <c r="W1405" s="106"/>
      <c r="X1405" s="106" t="s">
        <v>76</v>
      </c>
      <c r="Y1405" s="26" t="s">
        <v>76</v>
      </c>
      <c r="Z1405" s="75" t="s">
        <v>193</v>
      </c>
      <c r="AA1405" s="30"/>
    </row>
    <row r="1406" spans="1:27" ht="38.25" hidden="1" customHeight="1">
      <c r="A1406" s="98">
        <v>1396</v>
      </c>
      <c r="B1406" s="79" t="s">
        <v>6821</v>
      </c>
      <c r="C1406" s="148" t="s">
        <v>8</v>
      </c>
      <c r="D1406" s="80" t="s">
        <v>63</v>
      </c>
      <c r="E1406" s="27" t="s">
        <v>2631</v>
      </c>
      <c r="F1406" s="80" t="s">
        <v>109</v>
      </c>
      <c r="G1406" s="81" t="s">
        <v>995</v>
      </c>
      <c r="H1406" s="80" t="s">
        <v>2632</v>
      </c>
      <c r="I1406" s="92">
        <v>45841</v>
      </c>
      <c r="J1406" s="80" t="s">
        <v>3565</v>
      </c>
      <c r="K1406" s="80" t="s">
        <v>299</v>
      </c>
      <c r="L1406" s="84" t="s">
        <v>189</v>
      </c>
      <c r="M1406" s="84" t="s">
        <v>601</v>
      </c>
      <c r="N1406" s="84" t="s">
        <v>72</v>
      </c>
      <c r="O1406" s="129" t="s">
        <v>6822</v>
      </c>
      <c r="P1406" s="153" t="s">
        <v>6823</v>
      </c>
      <c r="Q1406" s="49" t="s">
        <v>91</v>
      </c>
      <c r="R1406" s="25"/>
      <c r="S1406" s="26">
        <v>15</v>
      </c>
      <c r="T1406" s="26"/>
      <c r="U1406" s="28" t="s">
        <v>6824</v>
      </c>
      <c r="V1406" s="66"/>
      <c r="W1406" s="106"/>
      <c r="X1406" s="106" t="s">
        <v>76</v>
      </c>
      <c r="Y1406" s="26" t="s">
        <v>76</v>
      </c>
      <c r="Z1406" s="75" t="s">
        <v>193</v>
      </c>
      <c r="AA1406" s="30"/>
    </row>
    <row r="1407" spans="1:27" ht="38.25" hidden="1" customHeight="1">
      <c r="A1407" s="98">
        <v>1397</v>
      </c>
      <c r="B1407" s="79" t="s">
        <v>6825</v>
      </c>
      <c r="C1407" s="148" t="s">
        <v>8</v>
      </c>
      <c r="D1407" s="80" t="s">
        <v>83</v>
      </c>
      <c r="E1407" s="27" t="s">
        <v>407</v>
      </c>
      <c r="F1407" s="80" t="s">
        <v>120</v>
      </c>
      <c r="G1407" s="81" t="s">
        <v>339</v>
      </c>
      <c r="H1407" s="80" t="s">
        <v>408</v>
      </c>
      <c r="I1407" s="92">
        <v>45841</v>
      </c>
      <c r="J1407" s="80" t="s">
        <v>3505</v>
      </c>
      <c r="K1407" s="80" t="s">
        <v>69</v>
      </c>
      <c r="L1407" s="84" t="s">
        <v>251</v>
      </c>
      <c r="M1407" s="84" t="s">
        <v>252</v>
      </c>
      <c r="N1407" s="84" t="s">
        <v>72</v>
      </c>
      <c r="O1407" s="129" t="s">
        <v>6826</v>
      </c>
      <c r="P1407" s="153" t="s">
        <v>6827</v>
      </c>
      <c r="Q1407" s="49" t="s">
        <v>91</v>
      </c>
      <c r="R1407" s="25"/>
      <c r="S1407" s="55" t="s">
        <v>6828</v>
      </c>
      <c r="T1407" s="26"/>
      <c r="U1407" s="28" t="s">
        <v>6829</v>
      </c>
      <c r="V1407" s="66"/>
      <c r="W1407" s="106"/>
      <c r="X1407" s="106" t="s">
        <v>76</v>
      </c>
      <c r="Y1407" s="26" t="s">
        <v>76</v>
      </c>
      <c r="Z1407" s="75" t="s">
        <v>193</v>
      </c>
      <c r="AA1407" s="30"/>
    </row>
    <row r="1408" spans="1:27" ht="38.25" hidden="1" customHeight="1">
      <c r="A1408" s="98">
        <v>1398</v>
      </c>
      <c r="B1408" s="79" t="s">
        <v>6830</v>
      </c>
      <c r="C1408" s="148" t="s">
        <v>8</v>
      </c>
      <c r="D1408" s="80" t="s">
        <v>63</v>
      </c>
      <c r="E1408" s="27" t="s">
        <v>3166</v>
      </c>
      <c r="F1408" s="80" t="s">
        <v>65</v>
      </c>
      <c r="G1408" s="81" t="s">
        <v>1701</v>
      </c>
      <c r="H1408" s="80" t="s">
        <v>3167</v>
      </c>
      <c r="I1408" s="92">
        <v>45841</v>
      </c>
      <c r="J1408" s="80" t="s">
        <v>5766</v>
      </c>
      <c r="K1408" s="80" t="s">
        <v>112</v>
      </c>
      <c r="L1408" s="84" t="s">
        <v>113</v>
      </c>
      <c r="M1408" s="84" t="s">
        <v>853</v>
      </c>
      <c r="N1408" s="84" t="s">
        <v>72</v>
      </c>
      <c r="O1408" s="129" t="s">
        <v>6831</v>
      </c>
      <c r="P1408" s="153" t="s">
        <v>6832</v>
      </c>
      <c r="Q1408" s="49" t="s">
        <v>75</v>
      </c>
      <c r="R1408" s="25" t="s">
        <v>91</v>
      </c>
      <c r="S1408" s="26">
        <v>21</v>
      </c>
      <c r="T1408" s="26">
        <v>68</v>
      </c>
      <c r="U1408" s="28" t="s">
        <v>6833</v>
      </c>
      <c r="V1408" s="66"/>
      <c r="W1408" s="215"/>
      <c r="X1408" s="106" t="s">
        <v>176</v>
      </c>
      <c r="Y1408" s="26" t="s">
        <v>76</v>
      </c>
      <c r="Z1408" s="75" t="s">
        <v>93</v>
      </c>
      <c r="AA1408" s="30"/>
    </row>
    <row r="1409" spans="1:28" ht="38.25" hidden="1" customHeight="1">
      <c r="A1409" s="98">
        <v>1399</v>
      </c>
      <c r="B1409" s="79" t="s">
        <v>6834</v>
      </c>
      <c r="C1409" s="148" t="s">
        <v>8</v>
      </c>
      <c r="D1409" s="80" t="s">
        <v>63</v>
      </c>
      <c r="E1409" s="27" t="s">
        <v>3166</v>
      </c>
      <c r="F1409" s="80" t="s">
        <v>65</v>
      </c>
      <c r="G1409" s="81" t="s">
        <v>1701</v>
      </c>
      <c r="H1409" s="80" t="s">
        <v>3167</v>
      </c>
      <c r="I1409" s="92">
        <v>45841</v>
      </c>
      <c r="J1409" s="80" t="s">
        <v>3526</v>
      </c>
      <c r="K1409" s="80" t="s">
        <v>299</v>
      </c>
      <c r="L1409" s="84" t="s">
        <v>189</v>
      </c>
      <c r="M1409" s="84" t="s">
        <v>114</v>
      </c>
      <c r="N1409" s="84" t="s">
        <v>72</v>
      </c>
      <c r="O1409" s="129" t="s">
        <v>6835</v>
      </c>
      <c r="P1409" s="153" t="s">
        <v>6836</v>
      </c>
      <c r="Q1409" s="49" t="s">
        <v>75</v>
      </c>
      <c r="R1409" s="25" t="s">
        <v>91</v>
      </c>
      <c r="S1409" s="26">
        <v>22</v>
      </c>
      <c r="T1409" s="26">
        <v>65</v>
      </c>
      <c r="U1409" s="28" t="s">
        <v>6837</v>
      </c>
      <c r="V1409" s="66"/>
      <c r="W1409" s="106"/>
      <c r="X1409" s="106" t="s">
        <v>176</v>
      </c>
      <c r="Y1409" s="26" t="s">
        <v>76</v>
      </c>
      <c r="Z1409" s="75" t="s">
        <v>93</v>
      </c>
      <c r="AA1409" s="30"/>
    </row>
    <row r="1410" spans="1:28" ht="38.25" hidden="1" customHeight="1">
      <c r="A1410" s="98">
        <v>1400</v>
      </c>
      <c r="B1410" s="79" t="s">
        <v>6838</v>
      </c>
      <c r="C1410" s="148" t="s">
        <v>10</v>
      </c>
      <c r="D1410" s="80" t="s">
        <v>63</v>
      </c>
      <c r="E1410" s="27" t="s">
        <v>3854</v>
      </c>
      <c r="F1410" s="80" t="s">
        <v>120</v>
      </c>
      <c r="G1410" s="81" t="s">
        <v>3855</v>
      </c>
      <c r="H1410" s="80" t="s">
        <v>3856</v>
      </c>
      <c r="I1410" s="92">
        <v>45845</v>
      </c>
      <c r="J1410" s="80" t="s">
        <v>3526</v>
      </c>
      <c r="K1410" s="80" t="s">
        <v>69</v>
      </c>
      <c r="L1410" s="84" t="s">
        <v>189</v>
      </c>
      <c r="M1410" s="84" t="s">
        <v>114</v>
      </c>
      <c r="N1410" s="84" t="s">
        <v>72</v>
      </c>
      <c r="O1410" s="308" t="s">
        <v>6839</v>
      </c>
      <c r="P1410" s="153" t="s">
        <v>6840</v>
      </c>
      <c r="Q1410" s="49" t="s">
        <v>91</v>
      </c>
      <c r="R1410" s="25"/>
      <c r="S1410" s="26">
        <v>10</v>
      </c>
      <c r="T1410" s="26"/>
      <c r="U1410" s="28" t="s">
        <v>6841</v>
      </c>
      <c r="V1410" s="66"/>
      <c r="W1410" s="106"/>
      <c r="X1410" s="106" t="s">
        <v>76</v>
      </c>
      <c r="Y1410" s="26" t="s">
        <v>76</v>
      </c>
      <c r="Z1410" s="75" t="s">
        <v>193</v>
      </c>
      <c r="AA1410" s="30"/>
    </row>
    <row r="1411" spans="1:28" ht="38.25" hidden="1" customHeight="1">
      <c r="A1411" s="98">
        <v>1401</v>
      </c>
      <c r="B1411" s="79" t="s">
        <v>6541</v>
      </c>
      <c r="C1411" s="148" t="s">
        <v>8</v>
      </c>
      <c r="D1411" s="80" t="s">
        <v>63</v>
      </c>
      <c r="E1411" s="27" t="s">
        <v>2636</v>
      </c>
      <c r="F1411" s="80" t="s">
        <v>120</v>
      </c>
      <c r="G1411" s="81" t="s">
        <v>995</v>
      </c>
      <c r="H1411" s="80" t="s">
        <v>2637</v>
      </c>
      <c r="I1411" s="92">
        <v>45845</v>
      </c>
      <c r="J1411" s="80" t="s">
        <v>1079</v>
      </c>
      <c r="K1411" s="80" t="s">
        <v>112</v>
      </c>
      <c r="L1411" s="84" t="s">
        <v>122</v>
      </c>
      <c r="M1411" s="84" t="s">
        <v>71</v>
      </c>
      <c r="N1411" s="84" t="s">
        <v>72</v>
      </c>
      <c r="O1411" s="129" t="s">
        <v>6842</v>
      </c>
      <c r="P1411" s="153" t="s">
        <v>6843</v>
      </c>
      <c r="Q1411" s="49" t="s">
        <v>75</v>
      </c>
      <c r="R1411" s="25" t="s">
        <v>91</v>
      </c>
      <c r="S1411" s="26">
        <v>18</v>
      </c>
      <c r="T1411" s="26">
        <v>51</v>
      </c>
      <c r="U1411" s="28" t="s">
        <v>6844</v>
      </c>
      <c r="V1411" s="66"/>
      <c r="W1411" s="106"/>
      <c r="X1411" s="106" t="s">
        <v>176</v>
      </c>
      <c r="Y1411" s="26" t="s">
        <v>76</v>
      </c>
      <c r="Z1411" s="75" t="s">
        <v>93</v>
      </c>
      <c r="AA1411" s="30"/>
    </row>
    <row r="1412" spans="1:28" ht="38.25" hidden="1" customHeight="1">
      <c r="A1412" s="98">
        <v>1402</v>
      </c>
      <c r="B1412" s="79" t="s">
        <v>6845</v>
      </c>
      <c r="C1412" s="148" t="s">
        <v>8</v>
      </c>
      <c r="D1412" s="80" t="s">
        <v>63</v>
      </c>
      <c r="E1412" s="27" t="s">
        <v>2636</v>
      </c>
      <c r="F1412" s="80" t="s">
        <v>120</v>
      </c>
      <c r="G1412" s="81" t="s">
        <v>995</v>
      </c>
      <c r="H1412" s="80" t="s">
        <v>2637</v>
      </c>
      <c r="I1412" s="92">
        <v>45847</v>
      </c>
      <c r="J1412" s="80" t="s">
        <v>3810</v>
      </c>
      <c r="K1412" s="80" t="s">
        <v>112</v>
      </c>
      <c r="L1412" s="84" t="s">
        <v>113</v>
      </c>
      <c r="M1412" s="84" t="s">
        <v>221</v>
      </c>
      <c r="N1412" s="84" t="s">
        <v>72</v>
      </c>
      <c r="O1412" s="129" t="s">
        <v>6846</v>
      </c>
      <c r="P1412" s="153" t="s">
        <v>6847</v>
      </c>
      <c r="Q1412" s="49" t="s">
        <v>91</v>
      </c>
      <c r="R1412" s="25"/>
      <c r="S1412" s="26">
        <v>10</v>
      </c>
      <c r="T1412" s="26"/>
      <c r="U1412" s="28" t="s">
        <v>6848</v>
      </c>
      <c r="V1412" s="66"/>
      <c r="W1412" s="106"/>
      <c r="X1412" s="106" t="s">
        <v>76</v>
      </c>
      <c r="Y1412" s="26" t="s">
        <v>76</v>
      </c>
      <c r="Z1412" s="75" t="s">
        <v>193</v>
      </c>
      <c r="AA1412" s="30"/>
    </row>
    <row r="1413" spans="1:28" ht="38.25" hidden="1" customHeight="1">
      <c r="A1413" s="98">
        <v>1403</v>
      </c>
      <c r="B1413" s="79" t="s">
        <v>6849</v>
      </c>
      <c r="C1413" s="148" t="s">
        <v>8</v>
      </c>
      <c r="D1413" s="80" t="s">
        <v>63</v>
      </c>
      <c r="E1413" s="27" t="s">
        <v>6850</v>
      </c>
      <c r="F1413" s="80" t="s">
        <v>109</v>
      </c>
      <c r="G1413" s="81" t="s">
        <v>1889</v>
      </c>
      <c r="H1413" s="80" t="s">
        <v>6851</v>
      </c>
      <c r="I1413" s="92">
        <v>45847</v>
      </c>
      <c r="J1413" s="80" t="s">
        <v>3505</v>
      </c>
      <c r="K1413" s="80" t="s">
        <v>491</v>
      </c>
      <c r="L1413" s="84" t="s">
        <v>100</v>
      </c>
      <c r="M1413" s="84" t="s">
        <v>595</v>
      </c>
      <c r="N1413" s="84" t="s">
        <v>72</v>
      </c>
      <c r="O1413" s="129" t="s">
        <v>6852</v>
      </c>
      <c r="P1413" s="153" t="s">
        <v>6853</v>
      </c>
      <c r="Q1413" s="49" t="s">
        <v>91</v>
      </c>
      <c r="R1413" s="25"/>
      <c r="S1413" s="26"/>
      <c r="T1413" s="26"/>
      <c r="U1413" s="28" t="s">
        <v>59</v>
      </c>
      <c r="V1413" s="66"/>
      <c r="W1413" s="106"/>
      <c r="X1413" s="106" t="s">
        <v>76</v>
      </c>
      <c r="Y1413" s="26" t="s">
        <v>76</v>
      </c>
      <c r="Z1413" s="75" t="s">
        <v>76</v>
      </c>
      <c r="AA1413" s="30"/>
      <c r="AB1413" s="25" t="s">
        <v>75</v>
      </c>
    </row>
    <row r="1414" spans="1:28" ht="38.25" hidden="1" customHeight="1">
      <c r="A1414" s="98">
        <v>1404</v>
      </c>
      <c r="B1414" s="79" t="s">
        <v>6854</v>
      </c>
      <c r="C1414" s="148" t="s">
        <v>8</v>
      </c>
      <c r="D1414" s="80" t="s">
        <v>63</v>
      </c>
      <c r="E1414" s="27" t="s">
        <v>2990</v>
      </c>
      <c r="F1414" s="80" t="s">
        <v>65</v>
      </c>
      <c r="G1414" s="81" t="s">
        <v>2076</v>
      </c>
      <c r="H1414" s="80" t="s">
        <v>2991</v>
      </c>
      <c r="I1414" s="92">
        <v>45849</v>
      </c>
      <c r="J1414" s="80" t="s">
        <v>3526</v>
      </c>
      <c r="K1414" s="80" t="s">
        <v>299</v>
      </c>
      <c r="L1414" s="84" t="s">
        <v>189</v>
      </c>
      <c r="M1414" s="84" t="s">
        <v>114</v>
      </c>
      <c r="N1414" s="84" t="s">
        <v>72</v>
      </c>
      <c r="O1414" s="129" t="s">
        <v>6855</v>
      </c>
      <c r="P1414" s="153" t="s">
        <v>6856</v>
      </c>
      <c r="Q1414" s="199" t="s">
        <v>91</v>
      </c>
      <c r="R1414" s="25"/>
      <c r="S1414" s="26">
        <v>10</v>
      </c>
      <c r="T1414" s="26" t="s">
        <v>313</v>
      </c>
      <c r="U1414" s="28" t="s">
        <v>6857</v>
      </c>
      <c r="V1414" s="66"/>
      <c r="W1414" s="106"/>
      <c r="X1414" s="106" t="s">
        <v>76</v>
      </c>
      <c r="Y1414" s="26" t="s">
        <v>76</v>
      </c>
      <c r="Z1414" s="75" t="s">
        <v>193</v>
      </c>
      <c r="AA1414" s="30"/>
      <c r="AB1414" s="25" t="s">
        <v>75</v>
      </c>
    </row>
    <row r="1415" spans="1:28" ht="38.25" hidden="1" customHeight="1">
      <c r="A1415" s="98">
        <v>1405</v>
      </c>
      <c r="B1415" s="79" t="s">
        <v>6858</v>
      </c>
      <c r="C1415" s="148" t="s">
        <v>8</v>
      </c>
      <c r="D1415" s="80" t="s">
        <v>63</v>
      </c>
      <c r="E1415" s="27">
        <v>2403237</v>
      </c>
      <c r="F1415" s="80" t="s">
        <v>65</v>
      </c>
      <c r="G1415" s="81" t="s">
        <v>2762</v>
      </c>
      <c r="H1415" s="80" t="s">
        <v>3209</v>
      </c>
      <c r="I1415" s="202">
        <v>45849</v>
      </c>
      <c r="J1415" s="80" t="s">
        <v>3526</v>
      </c>
      <c r="K1415" s="80" t="s">
        <v>198</v>
      </c>
      <c r="L1415" s="84" t="s">
        <v>189</v>
      </c>
      <c r="M1415" s="84" t="s">
        <v>114</v>
      </c>
      <c r="N1415" s="84" t="s">
        <v>72</v>
      </c>
      <c r="O1415" s="129" t="s">
        <v>6859</v>
      </c>
      <c r="P1415" s="153" t="s">
        <v>6860</v>
      </c>
      <c r="Q1415" s="49" t="s">
        <v>75</v>
      </c>
      <c r="R1415" s="25" t="s">
        <v>504</v>
      </c>
      <c r="S1415" s="26">
        <v>18</v>
      </c>
      <c r="T1415" s="26"/>
      <c r="U1415" s="28" t="s">
        <v>6861</v>
      </c>
      <c r="V1415" s="66"/>
      <c r="W1415" s="106"/>
      <c r="X1415" s="106" t="s">
        <v>176</v>
      </c>
      <c r="Y1415" s="26" t="s">
        <v>76</v>
      </c>
      <c r="Z1415" s="75" t="s">
        <v>106</v>
      </c>
      <c r="AA1415" s="30"/>
    </row>
    <row r="1416" spans="1:28" ht="38.25" hidden="1" customHeight="1">
      <c r="A1416" s="98">
        <v>1406</v>
      </c>
      <c r="B1416" s="79" t="s">
        <v>6862</v>
      </c>
      <c r="C1416" s="148" t="s">
        <v>10</v>
      </c>
      <c r="D1416" s="80" t="s">
        <v>63</v>
      </c>
      <c r="E1416" s="27" t="s">
        <v>3854</v>
      </c>
      <c r="F1416" s="80" t="s">
        <v>120</v>
      </c>
      <c r="G1416" s="81" t="s">
        <v>3855</v>
      </c>
      <c r="H1416" s="80" t="s">
        <v>3856</v>
      </c>
      <c r="I1416" s="92">
        <v>45850</v>
      </c>
      <c r="J1416" s="80" t="s">
        <v>3505</v>
      </c>
      <c r="K1416" s="80" t="s">
        <v>491</v>
      </c>
      <c r="L1416" s="84" t="s">
        <v>251</v>
      </c>
      <c r="M1416" s="84" t="s">
        <v>252</v>
      </c>
      <c r="N1416" s="84" t="s">
        <v>72</v>
      </c>
      <c r="O1416" s="308" t="s">
        <v>6863</v>
      </c>
      <c r="P1416" s="153" t="s">
        <v>6864</v>
      </c>
      <c r="Q1416" s="49" t="s">
        <v>91</v>
      </c>
      <c r="R1416" s="25"/>
      <c r="S1416" s="26"/>
      <c r="T1416" s="26"/>
      <c r="U1416" s="28"/>
      <c r="V1416" s="66"/>
      <c r="W1416" s="106"/>
      <c r="X1416" s="106" t="s">
        <v>76</v>
      </c>
      <c r="Y1416" s="26" t="s">
        <v>76</v>
      </c>
      <c r="Z1416" s="75" t="s">
        <v>76</v>
      </c>
      <c r="AA1416" s="30"/>
    </row>
    <row r="1417" spans="1:28" ht="38.25" hidden="1" customHeight="1">
      <c r="A1417" s="98">
        <v>1407</v>
      </c>
      <c r="B1417" s="79" t="s">
        <v>6865</v>
      </c>
      <c r="C1417" s="148" t="s">
        <v>8</v>
      </c>
      <c r="D1417" s="80" t="s">
        <v>63</v>
      </c>
      <c r="E1417" s="27" t="s">
        <v>3439</v>
      </c>
      <c r="F1417" s="80" t="s">
        <v>109</v>
      </c>
      <c r="G1417" s="81" t="s">
        <v>818</v>
      </c>
      <c r="H1417" s="80" t="s">
        <v>3440</v>
      </c>
      <c r="I1417" s="202">
        <v>45850</v>
      </c>
      <c r="J1417" s="80" t="s">
        <v>3500</v>
      </c>
      <c r="K1417" s="80" t="s">
        <v>198</v>
      </c>
      <c r="L1417" s="84" t="s">
        <v>199</v>
      </c>
      <c r="M1417" s="84" t="s">
        <v>221</v>
      </c>
      <c r="N1417" s="84" t="s">
        <v>72</v>
      </c>
      <c r="O1417" s="129" t="s">
        <v>6866</v>
      </c>
      <c r="P1417" s="153" t="s">
        <v>6867</v>
      </c>
      <c r="Q1417" s="49" t="s">
        <v>75</v>
      </c>
      <c r="R1417" s="25" t="s">
        <v>91</v>
      </c>
      <c r="S1417" s="26">
        <v>18</v>
      </c>
      <c r="T1417" s="26">
        <v>69</v>
      </c>
      <c r="U1417" s="28" t="s">
        <v>6868</v>
      </c>
      <c r="V1417" s="66"/>
      <c r="W1417" s="106"/>
      <c r="X1417" s="106" t="s">
        <v>176</v>
      </c>
      <c r="Y1417" s="26" t="s">
        <v>76</v>
      </c>
      <c r="Z1417" s="75" t="s">
        <v>93</v>
      </c>
      <c r="AA1417" s="30"/>
    </row>
    <row r="1418" spans="1:28" ht="36.75" hidden="1" customHeight="1">
      <c r="A1418" s="98">
        <v>1408</v>
      </c>
      <c r="B1418" s="79" t="s">
        <v>6869</v>
      </c>
      <c r="C1418" s="148" t="s">
        <v>8</v>
      </c>
      <c r="D1418" s="80" t="s">
        <v>63</v>
      </c>
      <c r="E1418" s="27" t="s">
        <v>6870</v>
      </c>
      <c r="F1418" s="80" t="s">
        <v>120</v>
      </c>
      <c r="G1418" s="81" t="s">
        <v>6871</v>
      </c>
      <c r="H1418" s="80" t="s">
        <v>6872</v>
      </c>
      <c r="I1418" s="92">
        <v>45852</v>
      </c>
      <c r="J1418" s="80" t="s">
        <v>3565</v>
      </c>
      <c r="K1418" s="80" t="s">
        <v>3373</v>
      </c>
      <c r="L1418" s="84" t="s">
        <v>189</v>
      </c>
      <c r="M1418" s="84" t="s">
        <v>252</v>
      </c>
      <c r="N1418" s="84" t="s">
        <v>72</v>
      </c>
      <c r="O1418" s="129" t="s">
        <v>6873</v>
      </c>
      <c r="P1418" s="153" t="s">
        <v>6874</v>
      </c>
      <c r="Q1418" s="49" t="s">
        <v>91</v>
      </c>
      <c r="R1418" s="25"/>
      <c r="S1418" s="26">
        <v>7</v>
      </c>
      <c r="T1418" s="26"/>
      <c r="U1418" s="28" t="s">
        <v>6875</v>
      </c>
      <c r="V1418" s="66"/>
      <c r="W1418" s="106"/>
      <c r="X1418" s="106" t="s">
        <v>76</v>
      </c>
      <c r="Y1418" s="26" t="s">
        <v>76</v>
      </c>
      <c r="Z1418" s="75" t="s">
        <v>193</v>
      </c>
      <c r="AA1418" s="30"/>
      <c r="AB1418" s="25" t="s">
        <v>75</v>
      </c>
    </row>
    <row r="1419" spans="1:28" ht="36.75" hidden="1" customHeight="1">
      <c r="A1419" s="98">
        <v>1409</v>
      </c>
      <c r="B1419" s="79" t="s">
        <v>6876</v>
      </c>
      <c r="C1419" s="148" t="s">
        <v>8</v>
      </c>
      <c r="D1419" s="80" t="s">
        <v>63</v>
      </c>
      <c r="E1419" s="27" t="s">
        <v>6870</v>
      </c>
      <c r="F1419" s="80" t="s">
        <v>120</v>
      </c>
      <c r="G1419" s="81" t="s">
        <v>6871</v>
      </c>
      <c r="H1419" s="80" t="s">
        <v>6872</v>
      </c>
      <c r="I1419" s="92">
        <v>45853</v>
      </c>
      <c r="J1419" s="80" t="s">
        <v>3543</v>
      </c>
      <c r="K1419" s="80" t="s">
        <v>112</v>
      </c>
      <c r="L1419" s="84" t="s">
        <v>113</v>
      </c>
      <c r="M1419" s="84" t="s">
        <v>114</v>
      </c>
      <c r="N1419" s="84" t="s">
        <v>72</v>
      </c>
      <c r="O1419" s="129" t="s">
        <v>6877</v>
      </c>
      <c r="P1419" s="153" t="s">
        <v>6878</v>
      </c>
      <c r="Q1419" s="49" t="s">
        <v>91</v>
      </c>
      <c r="R1419" s="25"/>
      <c r="S1419" s="26">
        <v>15</v>
      </c>
      <c r="T1419" s="26"/>
      <c r="U1419" s="28" t="s">
        <v>6879</v>
      </c>
      <c r="V1419" s="66"/>
      <c r="W1419" s="106"/>
      <c r="X1419" s="106" t="s">
        <v>76</v>
      </c>
      <c r="Y1419" s="26" t="s">
        <v>76</v>
      </c>
      <c r="Z1419" s="75" t="s">
        <v>193</v>
      </c>
      <c r="AA1419" s="30"/>
    </row>
    <row r="1420" spans="1:28" ht="66.75" hidden="1" customHeight="1">
      <c r="A1420" s="98">
        <v>1410</v>
      </c>
      <c r="B1420" s="79" t="s">
        <v>6880</v>
      </c>
      <c r="C1420" s="148" t="s">
        <v>8</v>
      </c>
      <c r="D1420" s="80" t="s">
        <v>63</v>
      </c>
      <c r="E1420" s="27" t="s">
        <v>2152</v>
      </c>
      <c r="F1420" s="80" t="s">
        <v>65</v>
      </c>
      <c r="G1420" s="81" t="s">
        <v>1047</v>
      </c>
      <c r="H1420" s="80" t="s">
        <v>2153</v>
      </c>
      <c r="I1420" s="92">
        <v>45854</v>
      </c>
      <c r="J1420" s="80" t="s">
        <v>3505</v>
      </c>
      <c r="K1420" s="80" t="s">
        <v>69</v>
      </c>
      <c r="L1420" s="84" t="s">
        <v>100</v>
      </c>
      <c r="M1420" s="84" t="s">
        <v>252</v>
      </c>
      <c r="N1420" s="84" t="s">
        <v>72</v>
      </c>
      <c r="O1420" s="129" t="s">
        <v>6881</v>
      </c>
      <c r="P1420" s="153" t="s">
        <v>6882</v>
      </c>
      <c r="Q1420" s="49" t="s">
        <v>75</v>
      </c>
      <c r="R1420" s="25" t="s">
        <v>91</v>
      </c>
      <c r="S1420" s="26">
        <v>20</v>
      </c>
      <c r="T1420" s="26">
        <v>56</v>
      </c>
      <c r="U1420" s="28" t="s">
        <v>6883</v>
      </c>
      <c r="V1420" s="66"/>
      <c r="W1420" s="106"/>
      <c r="X1420" s="106" t="s">
        <v>176</v>
      </c>
      <c r="Y1420" s="26" t="s">
        <v>76</v>
      </c>
      <c r="Z1420" s="75" t="s">
        <v>93</v>
      </c>
      <c r="AA1420" s="30"/>
    </row>
    <row r="1421" spans="1:28" ht="132" hidden="1">
      <c r="A1421" s="98">
        <v>1411</v>
      </c>
      <c r="B1421" s="79" t="s">
        <v>6884</v>
      </c>
      <c r="C1421" s="148" t="s">
        <v>8</v>
      </c>
      <c r="D1421" s="80" t="s">
        <v>63</v>
      </c>
      <c r="E1421" s="27" t="s">
        <v>2636</v>
      </c>
      <c r="F1421" s="80" t="s">
        <v>120</v>
      </c>
      <c r="G1421" s="81" t="s">
        <v>995</v>
      </c>
      <c r="H1421" s="80" t="s">
        <v>2637</v>
      </c>
      <c r="I1421" s="92">
        <v>45854</v>
      </c>
      <c r="J1421" s="80" t="s">
        <v>3543</v>
      </c>
      <c r="K1421" s="80" t="s">
        <v>112</v>
      </c>
      <c r="L1421" s="84" t="s">
        <v>122</v>
      </c>
      <c r="M1421" s="84" t="s">
        <v>114</v>
      </c>
      <c r="N1421" s="84" t="s">
        <v>72</v>
      </c>
      <c r="O1421" s="129" t="s">
        <v>6885</v>
      </c>
      <c r="P1421" s="153" t="s">
        <v>6886</v>
      </c>
      <c r="Q1421" s="49" t="s">
        <v>91</v>
      </c>
      <c r="R1421" s="25"/>
      <c r="S1421" s="26">
        <v>12</v>
      </c>
      <c r="T1421" s="26"/>
      <c r="U1421" s="28" t="s">
        <v>6887</v>
      </c>
      <c r="V1421" s="66"/>
      <c r="W1421" s="106"/>
      <c r="X1421" s="106" t="s">
        <v>76</v>
      </c>
      <c r="Y1421" s="26" t="s">
        <v>76</v>
      </c>
      <c r="Z1421" s="75" t="s">
        <v>193</v>
      </c>
      <c r="AA1421" s="30"/>
    </row>
    <row r="1422" spans="1:28" ht="132" hidden="1">
      <c r="A1422" s="98">
        <v>1412</v>
      </c>
      <c r="B1422" s="79" t="s">
        <v>6888</v>
      </c>
      <c r="C1422" s="148" t="s">
        <v>8</v>
      </c>
      <c r="D1422" s="80" t="s">
        <v>63</v>
      </c>
      <c r="E1422" s="27" t="s">
        <v>2636</v>
      </c>
      <c r="F1422" s="80" t="s">
        <v>120</v>
      </c>
      <c r="G1422" s="81" t="s">
        <v>995</v>
      </c>
      <c r="H1422" s="80" t="s">
        <v>2637</v>
      </c>
      <c r="I1422" s="92">
        <v>45854</v>
      </c>
      <c r="J1422" s="80" t="s">
        <v>3543</v>
      </c>
      <c r="K1422" s="80" t="s">
        <v>112</v>
      </c>
      <c r="L1422" s="84" t="s">
        <v>122</v>
      </c>
      <c r="M1422" s="84" t="s">
        <v>114</v>
      </c>
      <c r="N1422" s="84" t="s">
        <v>72</v>
      </c>
      <c r="O1422" s="129" t="s">
        <v>6889</v>
      </c>
      <c r="P1422" s="153" t="s">
        <v>6890</v>
      </c>
      <c r="Q1422" s="49" t="s">
        <v>75</v>
      </c>
      <c r="R1422" s="25" t="s">
        <v>91</v>
      </c>
      <c r="S1422" s="26">
        <v>23</v>
      </c>
      <c r="T1422" s="26">
        <v>63</v>
      </c>
      <c r="U1422" s="28" t="s">
        <v>6891</v>
      </c>
      <c r="V1422" s="66"/>
      <c r="W1422" s="106"/>
      <c r="X1422" s="106" t="s">
        <v>176</v>
      </c>
      <c r="Y1422" s="26" t="s">
        <v>76</v>
      </c>
      <c r="Z1422" s="75" t="s">
        <v>93</v>
      </c>
      <c r="AA1422" s="30"/>
    </row>
    <row r="1423" spans="1:28" ht="165" hidden="1">
      <c r="A1423" s="98">
        <v>1413</v>
      </c>
      <c r="B1423" s="79" t="s">
        <v>6892</v>
      </c>
      <c r="C1423" s="148" t="s">
        <v>399</v>
      </c>
      <c r="D1423" s="80" t="s">
        <v>83</v>
      </c>
      <c r="E1423" s="27" t="s">
        <v>6893</v>
      </c>
      <c r="F1423" s="80" t="s">
        <v>120</v>
      </c>
      <c r="G1423" s="81" t="s">
        <v>1375</v>
      </c>
      <c r="H1423" s="80" t="s">
        <v>1818</v>
      </c>
      <c r="I1423" s="92">
        <v>45854</v>
      </c>
      <c r="J1423" s="80" t="s">
        <v>3543</v>
      </c>
      <c r="K1423" s="80" t="s">
        <v>112</v>
      </c>
      <c r="L1423" s="84" t="s">
        <v>122</v>
      </c>
      <c r="M1423" s="84" t="s">
        <v>114</v>
      </c>
      <c r="N1423" s="84" t="s">
        <v>72</v>
      </c>
      <c r="O1423" s="129" t="s">
        <v>6894</v>
      </c>
      <c r="P1423" s="153" t="s">
        <v>6895</v>
      </c>
      <c r="Q1423" s="49" t="s">
        <v>75</v>
      </c>
      <c r="R1423" s="25" t="s">
        <v>91</v>
      </c>
      <c r="S1423" s="26">
        <v>19</v>
      </c>
      <c r="T1423" s="26">
        <v>50</v>
      </c>
      <c r="U1423" s="28" t="s">
        <v>6896</v>
      </c>
      <c r="V1423" s="66"/>
      <c r="W1423" s="106"/>
      <c r="X1423" s="106" t="s">
        <v>176</v>
      </c>
      <c r="Y1423" s="26" t="s">
        <v>76</v>
      </c>
      <c r="Z1423" s="75" t="s">
        <v>93</v>
      </c>
      <c r="AA1423" s="30"/>
    </row>
    <row r="1424" spans="1:28" ht="27.75" hidden="1" customHeight="1">
      <c r="A1424" s="98">
        <v>1414</v>
      </c>
      <c r="B1424" s="79" t="s">
        <v>6897</v>
      </c>
      <c r="C1424" s="148" t="s">
        <v>399</v>
      </c>
      <c r="D1424" s="80" t="s">
        <v>83</v>
      </c>
      <c r="E1424" s="27" t="s">
        <v>6893</v>
      </c>
      <c r="F1424" s="80" t="s">
        <v>120</v>
      </c>
      <c r="G1424" s="81" t="s">
        <v>1375</v>
      </c>
      <c r="H1424" s="80" t="s">
        <v>1818</v>
      </c>
      <c r="I1424" s="92">
        <v>45854</v>
      </c>
      <c r="J1424" s="80" t="s">
        <v>3505</v>
      </c>
      <c r="K1424" s="80" t="s">
        <v>69</v>
      </c>
      <c r="L1424" s="84" t="s">
        <v>251</v>
      </c>
      <c r="M1424" s="84" t="s">
        <v>252</v>
      </c>
      <c r="N1424" s="84" t="s">
        <v>72</v>
      </c>
      <c r="O1424" s="129" t="s">
        <v>6898</v>
      </c>
      <c r="P1424" s="153" t="s">
        <v>6899</v>
      </c>
      <c r="Q1424" s="49" t="s">
        <v>91</v>
      </c>
      <c r="R1424" s="25"/>
      <c r="S1424" s="26">
        <v>16</v>
      </c>
      <c r="T1424" s="26"/>
      <c r="U1424" s="28" t="s">
        <v>6900</v>
      </c>
      <c r="V1424" s="66"/>
      <c r="W1424" s="106"/>
      <c r="X1424" s="106" t="s">
        <v>76</v>
      </c>
      <c r="Y1424" s="26" t="s">
        <v>76</v>
      </c>
      <c r="Z1424" s="75" t="s">
        <v>193</v>
      </c>
      <c r="AA1424" s="30"/>
    </row>
    <row r="1425" spans="1:27" ht="57" hidden="1" customHeight="1">
      <c r="A1425" s="98">
        <v>1415</v>
      </c>
      <c r="B1425" s="79" t="s">
        <v>6901</v>
      </c>
      <c r="C1425" s="148" t="s">
        <v>399</v>
      </c>
      <c r="D1425" s="80" t="s">
        <v>83</v>
      </c>
      <c r="E1425" s="27" t="s">
        <v>6902</v>
      </c>
      <c r="F1425" s="80" t="s">
        <v>109</v>
      </c>
      <c r="G1425" s="81" t="s">
        <v>401</v>
      </c>
      <c r="H1425" s="80" t="s">
        <v>6903</v>
      </c>
      <c r="I1425" s="92">
        <v>45854</v>
      </c>
      <c r="J1425" s="80" t="s">
        <v>3505</v>
      </c>
      <c r="K1425" s="80" t="s">
        <v>69</v>
      </c>
      <c r="L1425" s="84" t="s">
        <v>251</v>
      </c>
      <c r="M1425" s="84" t="s">
        <v>252</v>
      </c>
      <c r="N1425" s="84" t="s">
        <v>920</v>
      </c>
      <c r="O1425" s="129" t="s">
        <v>6904</v>
      </c>
      <c r="P1425" s="153" t="s">
        <v>6905</v>
      </c>
      <c r="Q1425" s="49" t="s">
        <v>75</v>
      </c>
      <c r="R1425" s="25" t="s">
        <v>91</v>
      </c>
      <c r="S1425" s="26">
        <v>18</v>
      </c>
      <c r="T1425" s="26">
        <v>46</v>
      </c>
      <c r="U1425" s="28" t="s">
        <v>6906</v>
      </c>
      <c r="V1425" s="66"/>
      <c r="W1425" s="106"/>
      <c r="X1425" s="106" t="s">
        <v>176</v>
      </c>
      <c r="Y1425" s="26" t="s">
        <v>76</v>
      </c>
      <c r="Z1425" s="75" t="s">
        <v>93</v>
      </c>
      <c r="AA1425" s="30"/>
    </row>
    <row r="1426" spans="1:27" ht="27.75" customHeight="1">
      <c r="A1426" s="98">
        <v>1416</v>
      </c>
      <c r="B1426" s="79" t="s">
        <v>6907</v>
      </c>
      <c r="C1426" s="148" t="s">
        <v>8</v>
      </c>
      <c r="D1426" s="80" t="s">
        <v>63</v>
      </c>
      <c r="E1426" s="27" t="s">
        <v>2389</v>
      </c>
      <c r="F1426" s="80" t="s">
        <v>120</v>
      </c>
      <c r="G1426" s="81" t="s">
        <v>757</v>
      </c>
      <c r="H1426" s="80" t="s">
        <v>2390</v>
      </c>
      <c r="I1426" s="92">
        <v>45855</v>
      </c>
      <c r="J1426" s="80" t="s">
        <v>3565</v>
      </c>
      <c r="K1426" s="80" t="s">
        <v>4386</v>
      </c>
      <c r="L1426" s="84" t="s">
        <v>300</v>
      </c>
      <c r="M1426" s="84" t="s">
        <v>252</v>
      </c>
      <c r="N1426" s="84" t="s">
        <v>72</v>
      </c>
      <c r="O1426" s="129" t="s">
        <v>6908</v>
      </c>
      <c r="P1426" s="153" t="s">
        <v>6909</v>
      </c>
      <c r="Q1426" s="49" t="s">
        <v>75</v>
      </c>
      <c r="R1426" s="25" t="s">
        <v>91</v>
      </c>
      <c r="S1426" s="26"/>
      <c r="T1426" s="26"/>
      <c r="U1426" s="28" t="s">
        <v>6910</v>
      </c>
      <c r="V1426" s="66"/>
      <c r="W1426" s="106"/>
      <c r="X1426" s="106" t="s">
        <v>176</v>
      </c>
      <c r="Y1426" s="26" t="s">
        <v>76</v>
      </c>
      <c r="Z1426" s="75" t="s">
        <v>93</v>
      </c>
      <c r="AA1426" s="30"/>
    </row>
    <row r="1427" spans="1:27" ht="27.75" hidden="1" customHeight="1">
      <c r="A1427" s="98">
        <v>1417</v>
      </c>
      <c r="B1427" s="79" t="s">
        <v>6911</v>
      </c>
      <c r="C1427" s="148" t="s">
        <v>8</v>
      </c>
      <c r="D1427" s="80" t="s">
        <v>63</v>
      </c>
      <c r="E1427" s="27" t="s">
        <v>2767</v>
      </c>
      <c r="F1427" s="80" t="s">
        <v>65</v>
      </c>
      <c r="G1427" s="81" t="s">
        <v>995</v>
      </c>
      <c r="H1427" s="80" t="s">
        <v>2768</v>
      </c>
      <c r="I1427" s="92">
        <v>45855</v>
      </c>
      <c r="J1427" s="80" t="s">
        <v>3565</v>
      </c>
      <c r="K1427" s="80" t="s">
        <v>299</v>
      </c>
      <c r="L1427" s="84" t="s">
        <v>189</v>
      </c>
      <c r="M1427" s="84" t="s">
        <v>601</v>
      </c>
      <c r="N1427" s="84" t="s">
        <v>72</v>
      </c>
      <c r="O1427" s="129" t="s">
        <v>6912</v>
      </c>
      <c r="P1427" s="153" t="s">
        <v>6913</v>
      </c>
      <c r="Q1427" s="49" t="s">
        <v>75</v>
      </c>
      <c r="R1427" s="25" t="s">
        <v>91</v>
      </c>
      <c r="S1427" s="26">
        <v>23</v>
      </c>
      <c r="T1427" s="26">
        <v>70</v>
      </c>
      <c r="U1427" s="28" t="s">
        <v>6914</v>
      </c>
      <c r="V1427" s="66"/>
      <c r="W1427" s="106"/>
      <c r="X1427" s="106" t="s">
        <v>176</v>
      </c>
      <c r="Y1427" s="26" t="s">
        <v>76</v>
      </c>
      <c r="Z1427" s="75" t="s">
        <v>93</v>
      </c>
      <c r="AA1427" s="30"/>
    </row>
    <row r="1428" spans="1:27" ht="27.75" hidden="1" customHeight="1">
      <c r="A1428" s="98">
        <v>1418</v>
      </c>
      <c r="B1428" s="79" t="s">
        <v>6915</v>
      </c>
      <c r="C1428" s="148" t="s">
        <v>8</v>
      </c>
      <c r="D1428" s="80" t="s">
        <v>63</v>
      </c>
      <c r="E1428" s="27">
        <v>2303444</v>
      </c>
      <c r="F1428" s="80" t="s">
        <v>284</v>
      </c>
      <c r="G1428" s="81" t="s">
        <v>2762</v>
      </c>
      <c r="H1428" s="80" t="s">
        <v>2763</v>
      </c>
      <c r="I1428" s="92">
        <v>45855</v>
      </c>
      <c r="J1428" s="80" t="s">
        <v>3565</v>
      </c>
      <c r="K1428" s="80" t="s">
        <v>299</v>
      </c>
      <c r="L1428" s="84" t="s">
        <v>189</v>
      </c>
      <c r="M1428" s="84" t="s">
        <v>601</v>
      </c>
      <c r="N1428" s="84" t="s">
        <v>72</v>
      </c>
      <c r="O1428" s="129" t="s">
        <v>6916</v>
      </c>
      <c r="P1428" s="153" t="s">
        <v>6917</v>
      </c>
      <c r="Q1428" s="49" t="s">
        <v>75</v>
      </c>
      <c r="R1428" s="25" t="s">
        <v>91</v>
      </c>
      <c r="S1428" s="26">
        <v>25</v>
      </c>
      <c r="T1428" s="26">
        <v>67</v>
      </c>
      <c r="U1428" s="28" t="s">
        <v>6914</v>
      </c>
      <c r="V1428" s="66"/>
      <c r="W1428" s="106"/>
      <c r="X1428" s="106" t="s">
        <v>176</v>
      </c>
      <c r="Y1428" s="26" t="s">
        <v>76</v>
      </c>
      <c r="Z1428" s="75" t="s">
        <v>93</v>
      </c>
      <c r="AA1428" s="30" t="s">
        <v>6918</v>
      </c>
    </row>
    <row r="1429" spans="1:27" ht="27.75" hidden="1" customHeight="1">
      <c r="A1429" s="98">
        <v>1419</v>
      </c>
      <c r="B1429" s="79" t="s">
        <v>6919</v>
      </c>
      <c r="C1429" s="148" t="s">
        <v>8</v>
      </c>
      <c r="D1429" s="80" t="s">
        <v>63</v>
      </c>
      <c r="E1429" s="27">
        <v>2303444</v>
      </c>
      <c r="F1429" s="80" t="s">
        <v>284</v>
      </c>
      <c r="G1429" s="81" t="s">
        <v>2762</v>
      </c>
      <c r="H1429" s="80" t="s">
        <v>2763</v>
      </c>
      <c r="I1429" s="92">
        <v>45855</v>
      </c>
      <c r="J1429" s="80" t="s">
        <v>3565</v>
      </c>
      <c r="K1429" s="80" t="s">
        <v>299</v>
      </c>
      <c r="L1429" s="84" t="s">
        <v>189</v>
      </c>
      <c r="M1429" s="84" t="s">
        <v>601</v>
      </c>
      <c r="N1429" s="84" t="s">
        <v>72</v>
      </c>
      <c r="O1429" s="129" t="s">
        <v>6920</v>
      </c>
      <c r="P1429" s="153" t="s">
        <v>6921</v>
      </c>
      <c r="Q1429" s="49" t="s">
        <v>91</v>
      </c>
      <c r="R1429" s="25"/>
      <c r="S1429" s="26">
        <v>16</v>
      </c>
      <c r="T1429" s="26"/>
      <c r="U1429" s="28" t="s">
        <v>6922</v>
      </c>
      <c r="V1429" s="66"/>
      <c r="W1429" s="106"/>
      <c r="X1429" s="106" t="s">
        <v>76</v>
      </c>
      <c r="Y1429" s="26" t="s">
        <v>76</v>
      </c>
      <c r="Z1429" s="75" t="s">
        <v>193</v>
      </c>
      <c r="AA1429" s="30" t="s">
        <v>6918</v>
      </c>
    </row>
    <row r="1430" spans="1:27" ht="27.75" hidden="1" customHeight="1">
      <c r="A1430" s="98">
        <v>1420</v>
      </c>
      <c r="B1430" s="79" t="s">
        <v>6923</v>
      </c>
      <c r="C1430" s="148" t="s">
        <v>8</v>
      </c>
      <c r="D1430" s="80" t="s">
        <v>63</v>
      </c>
      <c r="E1430" s="27">
        <v>2303444</v>
      </c>
      <c r="F1430" s="80" t="s">
        <v>284</v>
      </c>
      <c r="G1430" s="81" t="s">
        <v>2762</v>
      </c>
      <c r="H1430" s="80" t="s">
        <v>2763</v>
      </c>
      <c r="I1430" s="92">
        <v>45855</v>
      </c>
      <c r="J1430" s="80" t="s">
        <v>3565</v>
      </c>
      <c r="K1430" s="80" t="s">
        <v>299</v>
      </c>
      <c r="L1430" s="84" t="s">
        <v>189</v>
      </c>
      <c r="M1430" s="84" t="s">
        <v>601</v>
      </c>
      <c r="N1430" s="84" t="s">
        <v>72</v>
      </c>
      <c r="O1430" s="129" t="s">
        <v>6924</v>
      </c>
      <c r="P1430" s="153" t="s">
        <v>6925</v>
      </c>
      <c r="Q1430" s="49" t="s">
        <v>91</v>
      </c>
      <c r="R1430" s="25"/>
      <c r="S1430" s="26">
        <v>15</v>
      </c>
      <c r="T1430" s="26"/>
      <c r="U1430" s="28" t="s">
        <v>6926</v>
      </c>
      <c r="V1430" s="66"/>
      <c r="W1430" s="106"/>
      <c r="X1430" s="106" t="s">
        <v>76</v>
      </c>
      <c r="Y1430" s="26" t="s">
        <v>76</v>
      </c>
      <c r="Z1430" s="75" t="s">
        <v>193</v>
      </c>
      <c r="AA1430" s="30" t="s">
        <v>6918</v>
      </c>
    </row>
    <row r="1431" spans="1:27" ht="27.75" hidden="1" customHeight="1">
      <c r="A1431" s="98">
        <v>1421</v>
      </c>
      <c r="B1431" s="79" t="s">
        <v>6927</v>
      </c>
      <c r="C1431" s="148" t="s">
        <v>8</v>
      </c>
      <c r="D1431" s="80" t="s">
        <v>63</v>
      </c>
      <c r="E1431" s="27">
        <v>2303444</v>
      </c>
      <c r="F1431" s="80" t="s">
        <v>284</v>
      </c>
      <c r="G1431" s="81" t="s">
        <v>2762</v>
      </c>
      <c r="H1431" s="80" t="s">
        <v>2763</v>
      </c>
      <c r="I1431" s="92">
        <v>45855</v>
      </c>
      <c r="J1431" s="80" t="s">
        <v>3565</v>
      </c>
      <c r="K1431" s="80" t="s">
        <v>299</v>
      </c>
      <c r="L1431" s="84" t="s">
        <v>189</v>
      </c>
      <c r="M1431" s="84" t="s">
        <v>601</v>
      </c>
      <c r="N1431" s="84" t="s">
        <v>72</v>
      </c>
      <c r="O1431" s="129" t="s">
        <v>6928</v>
      </c>
      <c r="P1431" s="153" t="s">
        <v>6929</v>
      </c>
      <c r="Q1431" s="49" t="s">
        <v>91</v>
      </c>
      <c r="R1431" s="25"/>
      <c r="S1431" s="26">
        <v>12</v>
      </c>
      <c r="T1431" s="26"/>
      <c r="U1431" s="28" t="s">
        <v>6926</v>
      </c>
      <c r="V1431" s="66"/>
      <c r="W1431" s="106"/>
      <c r="X1431" s="106" t="s">
        <v>76</v>
      </c>
      <c r="Y1431" s="26" t="s">
        <v>76</v>
      </c>
      <c r="Z1431" s="75" t="s">
        <v>193</v>
      </c>
      <c r="AA1431" s="30" t="s">
        <v>6918</v>
      </c>
    </row>
    <row r="1432" spans="1:27" ht="27.75" hidden="1" customHeight="1">
      <c r="A1432" s="98">
        <v>1422</v>
      </c>
      <c r="B1432" s="79" t="s">
        <v>6930</v>
      </c>
      <c r="C1432" s="148" t="s">
        <v>8</v>
      </c>
      <c r="D1432" s="80" t="s">
        <v>63</v>
      </c>
      <c r="E1432" s="27" t="s">
        <v>3682</v>
      </c>
      <c r="F1432" s="80" t="s">
        <v>65</v>
      </c>
      <c r="G1432" s="81" t="s">
        <v>1701</v>
      </c>
      <c r="H1432" s="80" t="s">
        <v>3683</v>
      </c>
      <c r="I1432" s="92">
        <v>45856</v>
      </c>
      <c r="J1432" s="80" t="s">
        <v>3565</v>
      </c>
      <c r="K1432" s="80" t="s">
        <v>299</v>
      </c>
      <c r="L1432" s="84" t="s">
        <v>189</v>
      </c>
      <c r="M1432" s="84" t="s">
        <v>252</v>
      </c>
      <c r="N1432" s="84" t="s">
        <v>72</v>
      </c>
      <c r="O1432" s="129" t="s">
        <v>6931</v>
      </c>
      <c r="P1432" s="153" t="s">
        <v>6932</v>
      </c>
      <c r="Q1432" s="49" t="s">
        <v>75</v>
      </c>
      <c r="R1432" s="25" t="s">
        <v>91</v>
      </c>
      <c r="S1432" s="26">
        <v>21</v>
      </c>
      <c r="T1432" s="26">
        <v>62</v>
      </c>
      <c r="U1432" s="28" t="s">
        <v>6933</v>
      </c>
      <c r="V1432" s="66"/>
      <c r="W1432" s="106"/>
      <c r="X1432" s="106" t="s">
        <v>176</v>
      </c>
      <c r="Y1432" s="26" t="s">
        <v>76</v>
      </c>
      <c r="Z1432" s="75" t="s">
        <v>93</v>
      </c>
      <c r="AA1432" s="30"/>
    </row>
    <row r="1433" spans="1:27" ht="27.75" hidden="1" customHeight="1">
      <c r="A1433" s="98">
        <v>1423</v>
      </c>
      <c r="B1433" s="79" t="s">
        <v>6934</v>
      </c>
      <c r="C1433" s="148" t="s">
        <v>8</v>
      </c>
      <c r="D1433" s="80" t="s">
        <v>63</v>
      </c>
      <c r="E1433" s="27" t="s">
        <v>6435</v>
      </c>
      <c r="F1433" s="80" t="s">
        <v>120</v>
      </c>
      <c r="G1433" s="81" t="s">
        <v>1368</v>
      </c>
      <c r="H1433" s="80" t="s">
        <v>6436</v>
      </c>
      <c r="I1433" s="92">
        <v>45856</v>
      </c>
      <c r="J1433" s="80" t="s">
        <v>3505</v>
      </c>
      <c r="K1433" s="80" t="s">
        <v>69</v>
      </c>
      <c r="L1433" s="84" t="s">
        <v>100</v>
      </c>
      <c r="M1433" s="84" t="s">
        <v>252</v>
      </c>
      <c r="N1433" s="84" t="s">
        <v>72</v>
      </c>
      <c r="O1433" s="129" t="s">
        <v>6935</v>
      </c>
      <c r="P1433" s="153" t="s">
        <v>6936</v>
      </c>
      <c r="Q1433" s="49" t="s">
        <v>75</v>
      </c>
      <c r="R1433" s="25" t="s">
        <v>91</v>
      </c>
      <c r="S1433" s="26">
        <v>22</v>
      </c>
      <c r="T1433" s="26">
        <v>46</v>
      </c>
      <c r="U1433" s="28" t="s">
        <v>6937</v>
      </c>
      <c r="V1433" s="66"/>
      <c r="W1433" s="106"/>
      <c r="X1433" s="106" t="s">
        <v>176</v>
      </c>
      <c r="Y1433" s="26" t="s">
        <v>76</v>
      </c>
      <c r="Z1433" s="75" t="s">
        <v>93</v>
      </c>
      <c r="AA1433" s="30"/>
    </row>
    <row r="1434" spans="1:27" ht="27.75" hidden="1" customHeight="1">
      <c r="A1434" s="98">
        <v>1424</v>
      </c>
      <c r="B1434" s="79" t="s">
        <v>6938</v>
      </c>
      <c r="C1434" s="148" t="s">
        <v>8</v>
      </c>
      <c r="D1434" s="80" t="s">
        <v>83</v>
      </c>
      <c r="E1434" s="27" t="s">
        <v>432</v>
      </c>
      <c r="F1434" s="80" t="s">
        <v>120</v>
      </c>
      <c r="G1434" s="81" t="s">
        <v>339</v>
      </c>
      <c r="H1434" s="80" t="s">
        <v>433</v>
      </c>
      <c r="I1434" s="202">
        <v>45856</v>
      </c>
      <c r="J1434" s="80" t="s">
        <v>3526</v>
      </c>
      <c r="K1434" s="80" t="s">
        <v>198</v>
      </c>
      <c r="L1434" s="84" t="s">
        <v>189</v>
      </c>
      <c r="M1434" s="84" t="s">
        <v>114</v>
      </c>
      <c r="N1434" s="84" t="s">
        <v>72</v>
      </c>
      <c r="O1434" s="129" t="s">
        <v>6939</v>
      </c>
      <c r="P1434" s="153" t="s">
        <v>6940</v>
      </c>
      <c r="Q1434" s="49" t="s">
        <v>75</v>
      </c>
      <c r="R1434" s="25" t="s">
        <v>75</v>
      </c>
      <c r="S1434" s="26">
        <v>26</v>
      </c>
      <c r="T1434" s="26">
        <v>81</v>
      </c>
      <c r="U1434" s="28" t="s">
        <v>6941</v>
      </c>
      <c r="V1434" s="66" t="s">
        <v>75</v>
      </c>
      <c r="W1434" s="106" t="s">
        <v>949</v>
      </c>
      <c r="X1434" s="106" t="s">
        <v>176</v>
      </c>
      <c r="Y1434" s="183" t="s">
        <v>3375</v>
      </c>
      <c r="Z1434" s="75" t="s">
        <v>79</v>
      </c>
      <c r="AA1434" s="30"/>
    </row>
    <row r="1435" spans="1:27" ht="38.25" hidden="1" customHeight="1">
      <c r="A1435" s="98">
        <v>1425</v>
      </c>
      <c r="B1435" s="79" t="s">
        <v>6942</v>
      </c>
      <c r="C1435" s="148" t="s">
        <v>9</v>
      </c>
      <c r="D1435" s="80" t="s">
        <v>83</v>
      </c>
      <c r="E1435" s="27" t="s">
        <v>1299</v>
      </c>
      <c r="F1435" s="80" t="s">
        <v>120</v>
      </c>
      <c r="G1435" s="81" t="s">
        <v>1286</v>
      </c>
      <c r="H1435" s="80" t="s">
        <v>1300</v>
      </c>
      <c r="I1435" s="92">
        <v>45859</v>
      </c>
      <c r="J1435" s="80" t="s">
        <v>3505</v>
      </c>
      <c r="K1435" s="80" t="s">
        <v>69</v>
      </c>
      <c r="L1435" s="84" t="s">
        <v>251</v>
      </c>
      <c r="M1435" s="84" t="s">
        <v>252</v>
      </c>
      <c r="N1435" s="84" t="s">
        <v>920</v>
      </c>
      <c r="O1435" s="129" t="s">
        <v>6943</v>
      </c>
      <c r="P1435" s="153" t="s">
        <v>6944</v>
      </c>
      <c r="Q1435" s="49" t="s">
        <v>91</v>
      </c>
      <c r="R1435" s="25"/>
      <c r="S1435" s="26">
        <v>13</v>
      </c>
      <c r="T1435" s="26"/>
      <c r="U1435" s="28" t="s">
        <v>6945</v>
      </c>
      <c r="V1435" s="66"/>
      <c r="W1435" s="106"/>
      <c r="X1435" s="106" t="s">
        <v>76</v>
      </c>
      <c r="Y1435" s="26"/>
      <c r="Z1435" s="75" t="s">
        <v>193</v>
      </c>
      <c r="AA1435" s="30"/>
    </row>
    <row r="1436" spans="1:27" ht="65.25" hidden="1" customHeight="1">
      <c r="A1436" s="98">
        <v>1426</v>
      </c>
      <c r="B1436" s="79" t="s">
        <v>6946</v>
      </c>
      <c r="C1436" s="148" t="s">
        <v>8</v>
      </c>
      <c r="D1436" s="80" t="s">
        <v>63</v>
      </c>
      <c r="E1436" s="27" t="s">
        <v>6947</v>
      </c>
      <c r="F1436" s="80" t="s">
        <v>65</v>
      </c>
      <c r="G1436" s="81" t="s">
        <v>651</v>
      </c>
      <c r="H1436" s="80" t="s">
        <v>6948</v>
      </c>
      <c r="I1436" s="92">
        <v>45859</v>
      </c>
      <c r="J1436" s="80" t="s">
        <v>3512</v>
      </c>
      <c r="K1436" s="80" t="s">
        <v>299</v>
      </c>
      <c r="L1436" s="84" t="s">
        <v>189</v>
      </c>
      <c r="M1436" s="84" t="s">
        <v>221</v>
      </c>
      <c r="N1436" s="84" t="s">
        <v>72</v>
      </c>
      <c r="O1436" s="129" t="s">
        <v>6949</v>
      </c>
      <c r="P1436" s="153" t="s">
        <v>6950</v>
      </c>
      <c r="Q1436" s="49" t="s">
        <v>75</v>
      </c>
      <c r="R1436" s="25" t="s">
        <v>91</v>
      </c>
      <c r="S1436" s="26">
        <v>17</v>
      </c>
      <c r="T1436" s="26"/>
      <c r="U1436" s="28" t="s">
        <v>6951</v>
      </c>
      <c r="V1436" s="66"/>
      <c r="W1436" s="106"/>
      <c r="X1436" s="106" t="s">
        <v>176</v>
      </c>
      <c r="Y1436" s="26"/>
      <c r="Z1436" s="75" t="s">
        <v>93</v>
      </c>
      <c r="AA1436" s="30"/>
    </row>
    <row r="1437" spans="1:27" ht="70.5" hidden="1" customHeight="1">
      <c r="A1437" s="97">
        <v>1427</v>
      </c>
      <c r="B1437" s="79" t="s">
        <v>6952</v>
      </c>
      <c r="C1437" s="148" t="s">
        <v>8</v>
      </c>
      <c r="D1437" s="80" t="s">
        <v>63</v>
      </c>
      <c r="E1437" s="27" t="s">
        <v>1700</v>
      </c>
      <c r="F1437" s="80" t="s">
        <v>109</v>
      </c>
      <c r="G1437" s="81" t="s">
        <v>1701</v>
      </c>
      <c r="H1437" s="80" t="s">
        <v>1702</v>
      </c>
      <c r="I1437" s="92">
        <v>45859</v>
      </c>
      <c r="J1437" s="80" t="s">
        <v>145</v>
      </c>
      <c r="K1437" s="80" t="s">
        <v>146</v>
      </c>
      <c r="L1437" s="84" t="s">
        <v>147</v>
      </c>
      <c r="M1437" s="84" t="s">
        <v>148</v>
      </c>
      <c r="N1437" s="84" t="s">
        <v>72</v>
      </c>
      <c r="O1437" s="129" t="s">
        <v>6953</v>
      </c>
      <c r="P1437" s="153" t="s">
        <v>6954</v>
      </c>
      <c r="Q1437" s="49" t="s">
        <v>75</v>
      </c>
      <c r="R1437" s="25" t="s">
        <v>91</v>
      </c>
      <c r="S1437" s="26">
        <v>18</v>
      </c>
      <c r="T1437" s="26">
        <v>58</v>
      </c>
      <c r="U1437" s="28" t="s">
        <v>6951</v>
      </c>
      <c r="V1437" s="66"/>
      <c r="W1437" s="106"/>
      <c r="X1437" s="106" t="s">
        <v>176</v>
      </c>
      <c r="Y1437" s="26"/>
      <c r="Z1437" s="75" t="s">
        <v>93</v>
      </c>
      <c r="AA1437" s="30"/>
    </row>
    <row r="1438" spans="1:27" ht="90.75" hidden="1" customHeight="1">
      <c r="A1438" s="98">
        <v>1428</v>
      </c>
      <c r="B1438" s="79" t="s">
        <v>6955</v>
      </c>
      <c r="C1438" s="148" t="s">
        <v>8</v>
      </c>
      <c r="D1438" s="80" t="s">
        <v>63</v>
      </c>
      <c r="E1438" s="27" t="s">
        <v>1992</v>
      </c>
      <c r="F1438" s="80" t="s">
        <v>338</v>
      </c>
      <c r="G1438" s="81" t="s">
        <v>995</v>
      </c>
      <c r="H1438" s="80" t="s">
        <v>1993</v>
      </c>
      <c r="I1438" s="92">
        <v>45859</v>
      </c>
      <c r="J1438" s="80" t="s">
        <v>3512</v>
      </c>
      <c r="K1438" s="80" t="s">
        <v>299</v>
      </c>
      <c r="L1438" s="84" t="s">
        <v>189</v>
      </c>
      <c r="M1438" s="84" t="s">
        <v>221</v>
      </c>
      <c r="N1438" s="84" t="s">
        <v>72</v>
      </c>
      <c r="O1438" s="129" t="s">
        <v>6956</v>
      </c>
      <c r="P1438" s="153" t="s">
        <v>6957</v>
      </c>
      <c r="Q1438" s="49" t="s">
        <v>75</v>
      </c>
      <c r="R1438" s="25" t="s">
        <v>504</v>
      </c>
      <c r="S1438" s="26">
        <v>24</v>
      </c>
      <c r="T1438" s="26">
        <v>86</v>
      </c>
      <c r="U1438" s="28" t="s">
        <v>6922</v>
      </c>
      <c r="V1438" s="66"/>
      <c r="W1438" s="106"/>
      <c r="X1438" s="106" t="s">
        <v>176</v>
      </c>
      <c r="Y1438" s="26"/>
      <c r="Z1438" s="75" t="s">
        <v>106</v>
      </c>
      <c r="AA1438" s="30"/>
    </row>
    <row r="1439" spans="1:27" ht="77.25" hidden="1" customHeight="1">
      <c r="A1439" s="98">
        <v>1429</v>
      </c>
      <c r="B1439" s="79" t="s">
        <v>6958</v>
      </c>
      <c r="C1439" s="148" t="s">
        <v>8</v>
      </c>
      <c r="D1439" s="80" t="s">
        <v>63</v>
      </c>
      <c r="E1439" s="27" t="s">
        <v>2636</v>
      </c>
      <c r="F1439" s="80" t="s">
        <v>120</v>
      </c>
      <c r="G1439" s="81" t="s">
        <v>995</v>
      </c>
      <c r="H1439" s="80" t="s">
        <v>2637</v>
      </c>
      <c r="I1439" s="92">
        <v>45860</v>
      </c>
      <c r="J1439" s="80" t="s">
        <v>3505</v>
      </c>
      <c r="K1439" s="80" t="s">
        <v>69</v>
      </c>
      <c r="L1439" s="84" t="s">
        <v>100</v>
      </c>
      <c r="M1439" s="84" t="s">
        <v>252</v>
      </c>
      <c r="N1439" s="84" t="s">
        <v>72</v>
      </c>
      <c r="O1439" s="129" t="s">
        <v>6959</v>
      </c>
      <c r="P1439" s="153" t="s">
        <v>6960</v>
      </c>
      <c r="Q1439" s="49" t="s">
        <v>75</v>
      </c>
      <c r="R1439" s="25" t="s">
        <v>91</v>
      </c>
      <c r="S1439" s="26">
        <v>22</v>
      </c>
      <c r="T1439" s="26">
        <v>46</v>
      </c>
      <c r="U1439" s="28" t="s">
        <v>6961</v>
      </c>
      <c r="V1439" s="66"/>
      <c r="W1439" s="106"/>
      <c r="X1439" s="106" t="s">
        <v>176</v>
      </c>
      <c r="Y1439" s="26"/>
      <c r="Z1439" s="75" t="s">
        <v>93</v>
      </c>
      <c r="AA1439" s="30"/>
    </row>
    <row r="1440" spans="1:27" ht="28.5" hidden="1" customHeight="1">
      <c r="A1440" s="98">
        <v>1430</v>
      </c>
      <c r="B1440" s="79" t="s">
        <v>6962</v>
      </c>
      <c r="C1440" s="148" t="s">
        <v>8</v>
      </c>
      <c r="D1440" s="80" t="s">
        <v>63</v>
      </c>
      <c r="E1440" s="27" t="s">
        <v>2677</v>
      </c>
      <c r="F1440" s="80" t="s">
        <v>120</v>
      </c>
      <c r="G1440" s="81" t="s">
        <v>651</v>
      </c>
      <c r="H1440" s="80" t="s">
        <v>2678</v>
      </c>
      <c r="I1440" s="92">
        <v>45860</v>
      </c>
      <c r="J1440" s="80" t="s">
        <v>3517</v>
      </c>
      <c r="K1440" s="80" t="s">
        <v>299</v>
      </c>
      <c r="L1440" s="84" t="s">
        <v>189</v>
      </c>
      <c r="M1440" s="84" t="s">
        <v>101</v>
      </c>
      <c r="N1440" s="84" t="s">
        <v>72</v>
      </c>
      <c r="O1440" s="129" t="s">
        <v>6963</v>
      </c>
      <c r="P1440" s="153" t="s">
        <v>6964</v>
      </c>
      <c r="Q1440" s="49" t="s">
        <v>75</v>
      </c>
      <c r="R1440" s="25" t="s">
        <v>91</v>
      </c>
      <c r="S1440" s="26">
        <v>20</v>
      </c>
      <c r="T1440" s="26">
        <v>62</v>
      </c>
      <c r="U1440" s="28" t="s">
        <v>6951</v>
      </c>
      <c r="V1440" s="66"/>
      <c r="W1440" s="106"/>
      <c r="X1440" s="106" t="s">
        <v>176</v>
      </c>
      <c r="Y1440" s="26"/>
      <c r="Z1440" s="75" t="s">
        <v>93</v>
      </c>
      <c r="AA1440" s="30"/>
    </row>
    <row r="1441" spans="1:27" ht="28.5" customHeight="1">
      <c r="A1441" s="98">
        <v>1431</v>
      </c>
      <c r="B1441" s="79" t="s">
        <v>6965</v>
      </c>
      <c r="C1441" s="148" t="s">
        <v>9</v>
      </c>
      <c r="D1441" s="80" t="s">
        <v>83</v>
      </c>
      <c r="E1441" s="27" t="s">
        <v>1321</v>
      </c>
      <c r="F1441" s="80" t="s">
        <v>65</v>
      </c>
      <c r="G1441" s="81" t="s">
        <v>1286</v>
      </c>
      <c r="H1441" s="80" t="s">
        <v>1322</v>
      </c>
      <c r="I1441" s="92">
        <v>45860</v>
      </c>
      <c r="J1441" s="80" t="s">
        <v>4385</v>
      </c>
      <c r="K1441" s="80" t="s">
        <v>4386</v>
      </c>
      <c r="L1441" s="84" t="s">
        <v>4387</v>
      </c>
      <c r="M1441" s="84" t="s">
        <v>252</v>
      </c>
      <c r="N1441" s="84" t="s">
        <v>72</v>
      </c>
      <c r="O1441" s="129" t="s">
        <v>6966</v>
      </c>
      <c r="P1441" s="153" t="s">
        <v>6967</v>
      </c>
      <c r="Q1441" s="49" t="s">
        <v>75</v>
      </c>
      <c r="R1441" s="25" t="s">
        <v>91</v>
      </c>
      <c r="S1441" s="26">
        <v>17</v>
      </c>
      <c r="T1441" s="26">
        <v>67</v>
      </c>
      <c r="U1441" s="28" t="s">
        <v>6968</v>
      </c>
      <c r="V1441" s="66"/>
      <c r="W1441" s="106"/>
      <c r="X1441" s="106" t="s">
        <v>176</v>
      </c>
      <c r="Y1441" s="26"/>
      <c r="Z1441" s="75" t="s">
        <v>93</v>
      </c>
      <c r="AA1441" s="30"/>
    </row>
    <row r="1442" spans="1:27" ht="57.75" hidden="1" customHeight="1">
      <c r="A1442" s="98">
        <v>1432</v>
      </c>
      <c r="B1442" s="79" t="s">
        <v>6969</v>
      </c>
      <c r="C1442" s="148" t="s">
        <v>8</v>
      </c>
      <c r="D1442" s="80" t="s">
        <v>63</v>
      </c>
      <c r="E1442" s="27">
        <v>2403406</v>
      </c>
      <c r="F1442" s="80" t="s">
        <v>284</v>
      </c>
      <c r="G1442" s="81" t="s">
        <v>277</v>
      </c>
      <c r="H1442" s="80" t="s">
        <v>3980</v>
      </c>
      <c r="I1442" s="92">
        <v>45860</v>
      </c>
      <c r="J1442" s="80" t="s">
        <v>3505</v>
      </c>
      <c r="K1442" s="80" t="s">
        <v>69</v>
      </c>
      <c r="L1442" s="84" t="s">
        <v>100</v>
      </c>
      <c r="M1442" s="84" t="s">
        <v>252</v>
      </c>
      <c r="N1442" s="84" t="s">
        <v>920</v>
      </c>
      <c r="O1442" s="129" t="s">
        <v>6970</v>
      </c>
      <c r="P1442" s="153" t="s">
        <v>6971</v>
      </c>
      <c r="Q1442" s="49" t="s">
        <v>75</v>
      </c>
      <c r="R1442" s="25" t="s">
        <v>91</v>
      </c>
      <c r="S1442" s="26">
        <v>20</v>
      </c>
      <c r="T1442" s="26">
        <v>44</v>
      </c>
      <c r="U1442" s="149" t="s">
        <v>6972</v>
      </c>
      <c r="V1442" s="66"/>
      <c r="W1442" s="106"/>
      <c r="X1442" s="106" t="s">
        <v>176</v>
      </c>
      <c r="Y1442" s="26"/>
      <c r="Z1442" s="75" t="s">
        <v>93</v>
      </c>
      <c r="AA1442" s="30"/>
    </row>
    <row r="1443" spans="1:27" ht="32.25" hidden="1" customHeight="1">
      <c r="A1443" s="98">
        <v>1433</v>
      </c>
      <c r="B1443" s="79" t="s">
        <v>6973</v>
      </c>
      <c r="C1443" s="148" t="s">
        <v>8</v>
      </c>
      <c r="D1443" s="80" t="s">
        <v>83</v>
      </c>
      <c r="E1443" s="27" t="s">
        <v>952</v>
      </c>
      <c r="F1443" s="80" t="s">
        <v>109</v>
      </c>
      <c r="G1443" s="81" t="s">
        <v>456</v>
      </c>
      <c r="H1443" s="80" t="s">
        <v>953</v>
      </c>
      <c r="I1443" s="92">
        <v>45861</v>
      </c>
      <c r="J1443" s="80" t="s">
        <v>145</v>
      </c>
      <c r="K1443" s="80" t="s">
        <v>146</v>
      </c>
      <c r="L1443" s="84" t="s">
        <v>147</v>
      </c>
      <c r="M1443" s="84" t="s">
        <v>148</v>
      </c>
      <c r="N1443" s="84" t="s">
        <v>72</v>
      </c>
      <c r="O1443" s="129" t="s">
        <v>6974</v>
      </c>
      <c r="P1443" s="153" t="s">
        <v>6975</v>
      </c>
      <c r="Q1443" s="49" t="s">
        <v>75</v>
      </c>
      <c r="R1443" s="25" t="s">
        <v>75</v>
      </c>
      <c r="S1443" s="26">
        <v>20</v>
      </c>
      <c r="T1443" s="26">
        <v>76</v>
      </c>
      <c r="U1443" s="28" t="s">
        <v>6802</v>
      </c>
      <c r="V1443" s="66"/>
      <c r="W1443" s="106"/>
      <c r="X1443" s="106" t="s">
        <v>176</v>
      </c>
      <c r="Y1443" s="26"/>
      <c r="Z1443" s="75" t="s">
        <v>106</v>
      </c>
      <c r="AA1443" s="30"/>
    </row>
    <row r="1444" spans="1:27" ht="57.75" customHeight="1">
      <c r="A1444" s="98">
        <v>1434</v>
      </c>
      <c r="B1444" s="79" t="s">
        <v>6976</v>
      </c>
      <c r="C1444" s="148" t="s">
        <v>8</v>
      </c>
      <c r="D1444" s="80" t="s">
        <v>63</v>
      </c>
      <c r="E1444" s="27" t="s">
        <v>3891</v>
      </c>
      <c r="F1444" s="80" t="s">
        <v>284</v>
      </c>
      <c r="G1444" s="81" t="s">
        <v>2076</v>
      </c>
      <c r="H1444" s="80" t="s">
        <v>3892</v>
      </c>
      <c r="I1444" s="92">
        <v>45861</v>
      </c>
      <c r="J1444" s="80" t="s">
        <v>3505</v>
      </c>
      <c r="K1444" s="80" t="s">
        <v>4386</v>
      </c>
      <c r="L1444" s="84" t="s">
        <v>100</v>
      </c>
      <c r="M1444" s="84" t="s">
        <v>252</v>
      </c>
      <c r="N1444" s="84" t="s">
        <v>72</v>
      </c>
      <c r="O1444" s="129" t="s">
        <v>6977</v>
      </c>
      <c r="P1444" s="185" t="s">
        <v>6978</v>
      </c>
      <c r="Q1444" s="49" t="s">
        <v>75</v>
      </c>
      <c r="R1444" s="25" t="s">
        <v>91</v>
      </c>
      <c r="S1444" s="26">
        <v>20</v>
      </c>
      <c r="T1444" s="26">
        <v>68</v>
      </c>
      <c r="U1444" s="28" t="s">
        <v>6979</v>
      </c>
      <c r="V1444" s="66"/>
      <c r="W1444" s="106"/>
      <c r="X1444" s="106" t="s">
        <v>176</v>
      </c>
      <c r="Y1444" s="26"/>
      <c r="Z1444" s="75" t="s">
        <v>93</v>
      </c>
      <c r="AA1444" s="30"/>
    </row>
    <row r="1445" spans="1:27" ht="32.25" hidden="1" customHeight="1">
      <c r="A1445" s="98">
        <v>1435</v>
      </c>
      <c r="B1445" s="79" t="s">
        <v>6980</v>
      </c>
      <c r="C1445" s="148" t="s">
        <v>8</v>
      </c>
      <c r="D1445" s="80" t="s">
        <v>63</v>
      </c>
      <c r="E1445" s="27" t="s">
        <v>6981</v>
      </c>
      <c r="F1445" s="80" t="s">
        <v>65</v>
      </c>
      <c r="G1445" s="81" t="s">
        <v>1132</v>
      </c>
      <c r="H1445" s="80" t="s">
        <v>6982</v>
      </c>
      <c r="I1445" s="92">
        <v>45861</v>
      </c>
      <c r="J1445" s="80" t="s">
        <v>3505</v>
      </c>
      <c r="K1445" s="80" t="s">
        <v>69</v>
      </c>
      <c r="L1445" s="84" t="s">
        <v>100</v>
      </c>
      <c r="M1445" s="84" t="s">
        <v>252</v>
      </c>
      <c r="N1445" s="84" t="s">
        <v>72</v>
      </c>
      <c r="O1445" s="129" t="s">
        <v>6983</v>
      </c>
      <c r="P1445" s="122" t="s">
        <v>6984</v>
      </c>
      <c r="Q1445" s="49" t="s">
        <v>75</v>
      </c>
      <c r="R1445" s="25" t="s">
        <v>91</v>
      </c>
      <c r="S1445" s="26">
        <v>22</v>
      </c>
      <c r="T1445" s="26">
        <v>50</v>
      </c>
      <c r="U1445" s="28" t="s">
        <v>6985</v>
      </c>
      <c r="V1445" s="66"/>
      <c r="W1445" s="106"/>
      <c r="X1445" s="106" t="s">
        <v>176</v>
      </c>
      <c r="Y1445" s="26"/>
      <c r="Z1445" s="75" t="s">
        <v>93</v>
      </c>
      <c r="AA1445" s="30"/>
    </row>
    <row r="1446" spans="1:27" ht="31.5" hidden="1" customHeight="1">
      <c r="A1446" s="98">
        <v>1436</v>
      </c>
      <c r="B1446" s="79" t="s">
        <v>6986</v>
      </c>
      <c r="C1446" s="148" t="s">
        <v>8</v>
      </c>
      <c r="D1446" s="80" t="s">
        <v>63</v>
      </c>
      <c r="E1446" s="27" t="s">
        <v>3761</v>
      </c>
      <c r="F1446" s="80" t="s">
        <v>338</v>
      </c>
      <c r="G1446" s="81" t="s">
        <v>277</v>
      </c>
      <c r="H1446" s="80" t="s">
        <v>3762</v>
      </c>
      <c r="I1446" s="92">
        <v>45862</v>
      </c>
      <c r="J1446" s="80" t="s">
        <v>170</v>
      </c>
      <c r="K1446" s="80" t="s">
        <v>156</v>
      </c>
      <c r="L1446" s="84" t="s">
        <v>171</v>
      </c>
      <c r="M1446" s="84" t="s">
        <v>71</v>
      </c>
      <c r="N1446" s="84" t="s">
        <v>72</v>
      </c>
      <c r="O1446" s="129" t="s">
        <v>6987</v>
      </c>
      <c r="P1446" s="186" t="s">
        <v>6988</v>
      </c>
      <c r="Q1446" s="49" t="s">
        <v>91</v>
      </c>
      <c r="R1446" s="25"/>
      <c r="S1446" s="26">
        <v>16</v>
      </c>
      <c r="T1446" s="26"/>
      <c r="U1446" s="28" t="s">
        <v>59</v>
      </c>
      <c r="V1446" s="66"/>
      <c r="W1446" s="106"/>
      <c r="X1446" s="106" t="s">
        <v>76</v>
      </c>
      <c r="Y1446" s="26"/>
      <c r="Z1446" s="75" t="s">
        <v>193</v>
      </c>
      <c r="AA1446" s="30"/>
    </row>
    <row r="1447" spans="1:27" ht="51.75" hidden="1" customHeight="1">
      <c r="A1447" s="98">
        <v>1437</v>
      </c>
      <c r="B1447" s="79" t="s">
        <v>6989</v>
      </c>
      <c r="C1447" s="148" t="s">
        <v>9</v>
      </c>
      <c r="D1447" s="80" t="s">
        <v>83</v>
      </c>
      <c r="E1447" s="27" t="s">
        <v>1316</v>
      </c>
      <c r="F1447" s="80" t="s">
        <v>120</v>
      </c>
      <c r="G1447" s="81" t="s">
        <v>1286</v>
      </c>
      <c r="H1447" s="80" t="s">
        <v>1317</v>
      </c>
      <c r="I1447" s="202">
        <v>45862</v>
      </c>
      <c r="J1447" s="80" t="s">
        <v>3999</v>
      </c>
      <c r="K1447" s="80" t="s">
        <v>198</v>
      </c>
      <c r="L1447" s="84" t="s">
        <v>199</v>
      </c>
      <c r="M1447" s="84" t="s">
        <v>114</v>
      </c>
      <c r="N1447" s="84" t="s">
        <v>72</v>
      </c>
      <c r="O1447" s="129" t="s">
        <v>6990</v>
      </c>
      <c r="P1447" s="122" t="s">
        <v>6991</v>
      </c>
      <c r="Q1447" s="49" t="s">
        <v>75</v>
      </c>
      <c r="R1447" s="25" t="s">
        <v>91</v>
      </c>
      <c r="S1447" s="26">
        <v>18</v>
      </c>
      <c r="T1447" s="26">
        <v>58</v>
      </c>
      <c r="U1447" s="28" t="s">
        <v>6992</v>
      </c>
      <c r="V1447" s="66"/>
      <c r="W1447" s="106"/>
      <c r="X1447" s="106" t="s">
        <v>176</v>
      </c>
      <c r="Y1447" s="26"/>
      <c r="Z1447" s="75" t="s">
        <v>93</v>
      </c>
      <c r="AA1447" s="30"/>
    </row>
    <row r="1448" spans="1:27" ht="31.5" hidden="1" customHeight="1">
      <c r="A1448" s="98">
        <v>1438</v>
      </c>
      <c r="B1448" s="79" t="s">
        <v>6993</v>
      </c>
      <c r="C1448" s="148" t="s">
        <v>8</v>
      </c>
      <c r="D1448" s="80" t="s">
        <v>63</v>
      </c>
      <c r="E1448" s="27" t="s">
        <v>1430</v>
      </c>
      <c r="F1448" s="80" t="s">
        <v>109</v>
      </c>
      <c r="G1448" s="81" t="s">
        <v>1047</v>
      </c>
      <c r="H1448" s="80" t="s">
        <v>1431</v>
      </c>
      <c r="I1448" s="92">
        <v>45862</v>
      </c>
      <c r="J1448" s="80" t="s">
        <v>3505</v>
      </c>
      <c r="K1448" s="80" t="s">
        <v>69</v>
      </c>
      <c r="L1448" s="84" t="s">
        <v>251</v>
      </c>
      <c r="M1448" s="84" t="s">
        <v>252</v>
      </c>
      <c r="N1448" s="84" t="s">
        <v>72</v>
      </c>
      <c r="O1448" s="129" t="s">
        <v>6994</v>
      </c>
      <c r="P1448" s="122" t="s">
        <v>6995</v>
      </c>
      <c r="Q1448" s="49" t="s">
        <v>91</v>
      </c>
      <c r="R1448" s="25"/>
      <c r="S1448" s="55" t="s">
        <v>6996</v>
      </c>
      <c r="T1448" s="26"/>
      <c r="U1448" s="28" t="s">
        <v>59</v>
      </c>
      <c r="V1448" s="66"/>
      <c r="W1448" s="106"/>
      <c r="X1448" s="106" t="s">
        <v>76</v>
      </c>
      <c r="Y1448" s="26"/>
      <c r="Z1448" s="75" t="s">
        <v>193</v>
      </c>
      <c r="AA1448" s="30"/>
    </row>
    <row r="1449" spans="1:27" ht="76.5" hidden="1" customHeight="1">
      <c r="A1449" s="98">
        <v>1439</v>
      </c>
      <c r="B1449" s="79" t="s">
        <v>6997</v>
      </c>
      <c r="C1449" s="148" t="s">
        <v>8</v>
      </c>
      <c r="D1449" s="80" t="s">
        <v>63</v>
      </c>
      <c r="E1449" s="27" t="s">
        <v>1430</v>
      </c>
      <c r="F1449" s="80" t="s">
        <v>109</v>
      </c>
      <c r="G1449" s="81" t="s">
        <v>1047</v>
      </c>
      <c r="H1449" s="80" t="s">
        <v>1431</v>
      </c>
      <c r="I1449" s="92">
        <v>45862</v>
      </c>
      <c r="J1449" s="80" t="s">
        <v>3526</v>
      </c>
      <c r="K1449" s="80" t="s">
        <v>299</v>
      </c>
      <c r="L1449" s="84" t="s">
        <v>189</v>
      </c>
      <c r="M1449" s="84" t="s">
        <v>114</v>
      </c>
      <c r="N1449" s="84" t="s">
        <v>920</v>
      </c>
      <c r="O1449" s="129" t="s">
        <v>6998</v>
      </c>
      <c r="P1449" s="122" t="s">
        <v>6999</v>
      </c>
      <c r="Q1449" s="49" t="s">
        <v>91</v>
      </c>
      <c r="R1449" s="25"/>
      <c r="S1449" s="26">
        <v>10</v>
      </c>
      <c r="T1449" s="26"/>
      <c r="U1449" s="28" t="s">
        <v>7000</v>
      </c>
      <c r="V1449" s="66"/>
      <c r="W1449" s="106"/>
      <c r="X1449" s="106" t="s">
        <v>76</v>
      </c>
      <c r="Y1449" s="26"/>
      <c r="Z1449" s="75" t="s">
        <v>193</v>
      </c>
      <c r="AA1449" s="30"/>
    </row>
    <row r="1450" spans="1:27" ht="31.5" hidden="1" customHeight="1">
      <c r="A1450" s="98">
        <v>1440</v>
      </c>
      <c r="B1450" s="79" t="s">
        <v>7001</v>
      </c>
      <c r="C1450" s="148" t="s">
        <v>8</v>
      </c>
      <c r="D1450" s="80" t="s">
        <v>63</v>
      </c>
      <c r="E1450" s="27" t="s">
        <v>1430</v>
      </c>
      <c r="F1450" s="80" t="s">
        <v>109</v>
      </c>
      <c r="G1450" s="81" t="s">
        <v>1047</v>
      </c>
      <c r="H1450" s="80" t="s">
        <v>1431</v>
      </c>
      <c r="I1450" s="92">
        <v>45862</v>
      </c>
      <c r="J1450" s="80" t="s">
        <v>3565</v>
      </c>
      <c r="K1450" s="80" t="s">
        <v>299</v>
      </c>
      <c r="L1450" s="84" t="s">
        <v>189</v>
      </c>
      <c r="M1450" s="84" t="s">
        <v>252</v>
      </c>
      <c r="N1450" s="84" t="s">
        <v>920</v>
      </c>
      <c r="O1450" s="129" t="s">
        <v>7002</v>
      </c>
      <c r="P1450" s="122" t="s">
        <v>7003</v>
      </c>
      <c r="Q1450" s="49" t="s">
        <v>91</v>
      </c>
      <c r="R1450" s="25"/>
      <c r="S1450" s="26">
        <v>9</v>
      </c>
      <c r="T1450" s="26"/>
      <c r="U1450" s="28" t="s">
        <v>7004</v>
      </c>
      <c r="V1450" s="66"/>
      <c r="W1450" s="106"/>
      <c r="X1450" s="106" t="s">
        <v>76</v>
      </c>
      <c r="Y1450" s="26"/>
      <c r="Z1450" s="75" t="s">
        <v>193</v>
      </c>
      <c r="AA1450" s="30"/>
    </row>
    <row r="1451" spans="1:27" ht="31.5" hidden="1" customHeight="1">
      <c r="A1451" s="98">
        <v>1441</v>
      </c>
      <c r="B1451" s="79" t="s">
        <v>7005</v>
      </c>
      <c r="C1451" s="148" t="s">
        <v>8</v>
      </c>
      <c r="D1451" s="80" t="s">
        <v>63</v>
      </c>
      <c r="E1451" s="27" t="s">
        <v>1430</v>
      </c>
      <c r="F1451" s="80" t="s">
        <v>109</v>
      </c>
      <c r="G1451" s="81" t="s">
        <v>1047</v>
      </c>
      <c r="H1451" s="80" t="s">
        <v>1431</v>
      </c>
      <c r="I1451" s="92">
        <v>45862</v>
      </c>
      <c r="J1451" s="80" t="s">
        <v>6791</v>
      </c>
      <c r="K1451" s="80" t="s">
        <v>112</v>
      </c>
      <c r="L1451" s="84" t="s">
        <v>147</v>
      </c>
      <c r="M1451" s="84" t="s">
        <v>114</v>
      </c>
      <c r="N1451" s="84" t="s">
        <v>920</v>
      </c>
      <c r="O1451" s="129" t="s">
        <v>7006</v>
      </c>
      <c r="P1451" s="122" t="s">
        <v>7007</v>
      </c>
      <c r="Q1451" s="49" t="s">
        <v>75</v>
      </c>
      <c r="R1451" s="25" t="s">
        <v>91</v>
      </c>
      <c r="S1451" s="26">
        <v>18</v>
      </c>
      <c r="T1451" s="26" t="s">
        <v>313</v>
      </c>
      <c r="U1451" s="28" t="s">
        <v>7008</v>
      </c>
      <c r="V1451" s="66"/>
      <c r="W1451" s="106"/>
      <c r="X1451" s="106" t="s">
        <v>176</v>
      </c>
      <c r="Y1451" s="26"/>
      <c r="Z1451" s="75" t="s">
        <v>93</v>
      </c>
      <c r="AA1451" s="30"/>
    </row>
    <row r="1452" spans="1:27" ht="33" hidden="1">
      <c r="A1452" s="98">
        <v>1442</v>
      </c>
      <c r="B1452" s="79" t="s">
        <v>7009</v>
      </c>
      <c r="C1452" s="148" t="s">
        <v>8</v>
      </c>
      <c r="D1452" s="80" t="s">
        <v>63</v>
      </c>
      <c r="E1452" s="27" t="s">
        <v>1430</v>
      </c>
      <c r="F1452" s="80" t="s">
        <v>109</v>
      </c>
      <c r="G1452" s="81" t="s">
        <v>1047</v>
      </c>
      <c r="H1452" s="80" t="s">
        <v>1431</v>
      </c>
      <c r="I1452" s="92">
        <v>45862</v>
      </c>
      <c r="J1452" s="80" t="s">
        <v>3543</v>
      </c>
      <c r="K1452" s="80" t="s">
        <v>112</v>
      </c>
      <c r="L1452" s="84" t="s">
        <v>113</v>
      </c>
      <c r="M1452" s="84" t="s">
        <v>114</v>
      </c>
      <c r="N1452" s="84" t="s">
        <v>72</v>
      </c>
      <c r="O1452" s="129" t="s">
        <v>7010</v>
      </c>
      <c r="P1452" s="122" t="s">
        <v>7011</v>
      </c>
      <c r="Q1452" s="49" t="s">
        <v>91</v>
      </c>
      <c r="R1452" s="25"/>
      <c r="S1452" s="26"/>
      <c r="T1452" s="26" t="s">
        <v>59</v>
      </c>
      <c r="U1452" s="28" t="s">
        <v>7012</v>
      </c>
      <c r="V1452" s="66"/>
      <c r="W1452" s="106"/>
      <c r="X1452" s="106" t="s">
        <v>76</v>
      </c>
      <c r="Y1452" s="26"/>
      <c r="Z1452" s="75" t="s">
        <v>193</v>
      </c>
      <c r="AA1452" s="30"/>
    </row>
    <row r="1453" spans="1:27" ht="57" hidden="1" customHeight="1">
      <c r="A1453" s="98">
        <v>1443</v>
      </c>
      <c r="B1453" s="79" t="s">
        <v>7013</v>
      </c>
      <c r="C1453" s="148" t="s">
        <v>8</v>
      </c>
      <c r="D1453" s="80" t="s">
        <v>63</v>
      </c>
      <c r="E1453" s="27" t="s">
        <v>1430</v>
      </c>
      <c r="F1453" s="80" t="s">
        <v>109</v>
      </c>
      <c r="G1453" s="81" t="s">
        <v>1047</v>
      </c>
      <c r="H1453" s="80" t="s">
        <v>1431</v>
      </c>
      <c r="I1453" s="92">
        <v>45862</v>
      </c>
      <c r="J1453" s="80" t="s">
        <v>3526</v>
      </c>
      <c r="K1453" s="80" t="s">
        <v>3373</v>
      </c>
      <c r="L1453" s="84" t="s">
        <v>189</v>
      </c>
      <c r="M1453" s="84" t="s">
        <v>114</v>
      </c>
      <c r="N1453" s="84" t="s">
        <v>72</v>
      </c>
      <c r="O1453" s="129" t="s">
        <v>7014</v>
      </c>
      <c r="P1453" s="122" t="s">
        <v>7015</v>
      </c>
      <c r="Q1453" s="49" t="s">
        <v>75</v>
      </c>
      <c r="R1453" s="25" t="s">
        <v>91</v>
      </c>
      <c r="S1453" s="26">
        <v>18</v>
      </c>
      <c r="T1453" s="26">
        <v>36</v>
      </c>
      <c r="U1453" s="278" t="s">
        <v>7016</v>
      </c>
      <c r="V1453" s="66"/>
      <c r="W1453" s="106"/>
      <c r="X1453" s="106" t="s">
        <v>176</v>
      </c>
      <c r="Y1453" s="26"/>
      <c r="Z1453" s="75" t="s">
        <v>93</v>
      </c>
      <c r="AA1453" s="30"/>
    </row>
    <row r="1454" spans="1:27" ht="31.5" hidden="1" customHeight="1">
      <c r="A1454" s="98">
        <v>1444</v>
      </c>
      <c r="B1454" s="79" t="s">
        <v>7017</v>
      </c>
      <c r="C1454" s="148" t="s">
        <v>8</v>
      </c>
      <c r="D1454" s="80" t="s">
        <v>63</v>
      </c>
      <c r="E1454" s="27" t="s">
        <v>1430</v>
      </c>
      <c r="F1454" s="80" t="s">
        <v>109</v>
      </c>
      <c r="G1454" s="81" t="s">
        <v>1047</v>
      </c>
      <c r="H1454" s="80" t="s">
        <v>1431</v>
      </c>
      <c r="I1454" s="92">
        <v>45862</v>
      </c>
      <c r="J1454" s="80" t="s">
        <v>3505</v>
      </c>
      <c r="K1454" s="80" t="s">
        <v>69</v>
      </c>
      <c r="L1454" s="84" t="s">
        <v>100</v>
      </c>
      <c r="M1454" s="84" t="s">
        <v>252</v>
      </c>
      <c r="N1454" s="84" t="s">
        <v>920</v>
      </c>
      <c r="O1454" s="129" t="s">
        <v>7018</v>
      </c>
      <c r="P1454" s="122" t="s">
        <v>7019</v>
      </c>
      <c r="Q1454" s="49" t="s">
        <v>91</v>
      </c>
      <c r="R1454" s="25"/>
      <c r="S1454" s="26">
        <v>6</v>
      </c>
      <c r="T1454" s="102"/>
      <c r="U1454" s="279" t="s">
        <v>7020</v>
      </c>
      <c r="V1454" s="118"/>
      <c r="W1454" s="106"/>
      <c r="X1454" s="106" t="s">
        <v>76</v>
      </c>
      <c r="Y1454" s="26"/>
      <c r="Z1454" s="75" t="s">
        <v>193</v>
      </c>
      <c r="AA1454" s="30"/>
    </row>
    <row r="1455" spans="1:27" ht="31.5" hidden="1" customHeight="1">
      <c r="A1455" s="98">
        <v>1445</v>
      </c>
      <c r="B1455" s="79" t="s">
        <v>7021</v>
      </c>
      <c r="C1455" s="148" t="s">
        <v>8</v>
      </c>
      <c r="D1455" s="80" t="s">
        <v>63</v>
      </c>
      <c r="E1455" s="27" t="s">
        <v>650</v>
      </c>
      <c r="F1455" s="80" t="s">
        <v>109</v>
      </c>
      <c r="G1455" s="81" t="s">
        <v>651</v>
      </c>
      <c r="H1455" s="80" t="s">
        <v>652</v>
      </c>
      <c r="I1455" s="92">
        <v>45863</v>
      </c>
      <c r="J1455" s="80" t="s">
        <v>3505</v>
      </c>
      <c r="K1455" s="80" t="s">
        <v>69</v>
      </c>
      <c r="L1455" s="84" t="s">
        <v>100</v>
      </c>
      <c r="M1455" s="84" t="s">
        <v>252</v>
      </c>
      <c r="N1455" s="84" t="s">
        <v>920</v>
      </c>
      <c r="O1455" s="129" t="s">
        <v>7022</v>
      </c>
      <c r="P1455" s="128" t="s">
        <v>7023</v>
      </c>
      <c r="Q1455" s="49" t="s">
        <v>75</v>
      </c>
      <c r="R1455" s="25" t="s">
        <v>91</v>
      </c>
      <c r="S1455" s="26">
        <v>22</v>
      </c>
      <c r="T1455" s="102">
        <v>46</v>
      </c>
      <c r="U1455" s="280" t="s">
        <v>7024</v>
      </c>
      <c r="V1455" s="118"/>
      <c r="W1455" s="106"/>
      <c r="X1455" s="106" t="s">
        <v>176</v>
      </c>
      <c r="Y1455" s="26"/>
      <c r="Z1455" s="75" t="s">
        <v>93</v>
      </c>
      <c r="AA1455" s="30"/>
    </row>
    <row r="1456" spans="1:27" ht="39" hidden="1" customHeight="1">
      <c r="A1456" s="98">
        <v>1446</v>
      </c>
      <c r="B1456" s="79" t="s">
        <v>7025</v>
      </c>
      <c r="C1456" s="148" t="s">
        <v>8</v>
      </c>
      <c r="D1456" s="80" t="s">
        <v>63</v>
      </c>
      <c r="E1456" s="27" t="s">
        <v>2152</v>
      </c>
      <c r="F1456" s="80" t="s">
        <v>65</v>
      </c>
      <c r="G1456" s="81" t="s">
        <v>1047</v>
      </c>
      <c r="H1456" s="80" t="s">
        <v>2153</v>
      </c>
      <c r="I1456" s="92">
        <v>45863</v>
      </c>
      <c r="J1456" s="80" t="s">
        <v>3505</v>
      </c>
      <c r="K1456" s="80" t="s">
        <v>69</v>
      </c>
      <c r="L1456" s="84" t="s">
        <v>100</v>
      </c>
      <c r="M1456" s="84" t="s">
        <v>252</v>
      </c>
      <c r="N1456" s="84" t="s">
        <v>920</v>
      </c>
      <c r="O1456" s="129" t="s">
        <v>7026</v>
      </c>
      <c r="P1456" s="128" t="s">
        <v>7027</v>
      </c>
      <c r="Q1456" s="49" t="s">
        <v>75</v>
      </c>
      <c r="R1456" s="25" t="s">
        <v>91</v>
      </c>
      <c r="S1456" s="26">
        <v>20</v>
      </c>
      <c r="T1456" s="102">
        <v>40</v>
      </c>
      <c r="U1456" s="189" t="s">
        <v>7028</v>
      </c>
      <c r="V1456" s="118"/>
      <c r="W1456" s="106"/>
      <c r="X1456" s="106" t="s">
        <v>176</v>
      </c>
      <c r="Y1456" s="26"/>
      <c r="Z1456" s="75" t="s">
        <v>93</v>
      </c>
      <c r="AA1456" s="30"/>
    </row>
    <row r="1457" spans="1:28" ht="31.5" hidden="1" customHeight="1">
      <c r="A1457" s="98">
        <v>1447</v>
      </c>
      <c r="B1457" s="79" t="s">
        <v>7029</v>
      </c>
      <c r="C1457" s="148" t="s">
        <v>8</v>
      </c>
      <c r="D1457" s="80" t="s">
        <v>63</v>
      </c>
      <c r="E1457" s="27" t="s">
        <v>1591</v>
      </c>
      <c r="F1457" s="80" t="s">
        <v>109</v>
      </c>
      <c r="G1457" s="81" t="s">
        <v>1132</v>
      </c>
      <c r="H1457" s="80" t="s">
        <v>1592</v>
      </c>
      <c r="I1457" s="92">
        <v>45866</v>
      </c>
      <c r="J1457" s="80" t="s">
        <v>3505</v>
      </c>
      <c r="K1457" s="80" t="s">
        <v>299</v>
      </c>
      <c r="L1457" s="84" t="s">
        <v>189</v>
      </c>
      <c r="M1457" s="84" t="s">
        <v>252</v>
      </c>
      <c r="N1457" s="84" t="s">
        <v>72</v>
      </c>
      <c r="O1457" s="129" t="s">
        <v>7030</v>
      </c>
      <c r="P1457" s="128" t="s">
        <v>7031</v>
      </c>
      <c r="Q1457" s="49" t="s">
        <v>75</v>
      </c>
      <c r="R1457" s="25" t="s">
        <v>91</v>
      </c>
      <c r="S1457" s="26">
        <v>14</v>
      </c>
      <c r="T1457" s="26">
        <v>62</v>
      </c>
      <c r="U1457" s="28" t="s">
        <v>7032</v>
      </c>
      <c r="V1457" s="66"/>
      <c r="W1457" s="106"/>
      <c r="X1457" s="106" t="s">
        <v>176</v>
      </c>
      <c r="Y1457" s="26"/>
      <c r="Z1457" s="75" t="s">
        <v>93</v>
      </c>
      <c r="AA1457" s="30"/>
    </row>
    <row r="1458" spans="1:28" ht="51" hidden="1" customHeight="1">
      <c r="A1458" s="98">
        <v>1448</v>
      </c>
      <c r="B1458" s="79" t="s">
        <v>7033</v>
      </c>
      <c r="C1458" s="148" t="s">
        <v>8</v>
      </c>
      <c r="D1458" s="80" t="s">
        <v>63</v>
      </c>
      <c r="E1458" s="27" t="s">
        <v>6028</v>
      </c>
      <c r="F1458" s="80" t="s">
        <v>338</v>
      </c>
      <c r="G1458" s="81" t="s">
        <v>440</v>
      </c>
      <c r="H1458" s="80" t="s">
        <v>6029</v>
      </c>
      <c r="I1458" s="92">
        <v>45866</v>
      </c>
      <c r="J1458" s="80" t="s">
        <v>3512</v>
      </c>
      <c r="K1458" s="80" t="s">
        <v>299</v>
      </c>
      <c r="L1458" s="84" t="s">
        <v>189</v>
      </c>
      <c r="M1458" s="84" t="s">
        <v>221</v>
      </c>
      <c r="N1458" s="84" t="s">
        <v>72</v>
      </c>
      <c r="O1458" s="129" t="s">
        <v>7034</v>
      </c>
      <c r="P1458" s="128" t="s">
        <v>7035</v>
      </c>
      <c r="Q1458" s="49" t="s">
        <v>91</v>
      </c>
      <c r="R1458" s="25"/>
      <c r="S1458" s="26">
        <v>12</v>
      </c>
      <c r="T1458" s="26"/>
      <c r="U1458" s="28" t="s">
        <v>7036</v>
      </c>
      <c r="V1458" s="66"/>
      <c r="W1458" s="106"/>
      <c r="X1458" s="106" t="s">
        <v>76</v>
      </c>
      <c r="Y1458" s="26"/>
      <c r="Z1458" s="75" t="s">
        <v>193</v>
      </c>
      <c r="AA1458" s="30" t="s">
        <v>1536</v>
      </c>
      <c r="AB1458" s="25" t="s">
        <v>75</v>
      </c>
    </row>
    <row r="1459" spans="1:28" ht="150" hidden="1" customHeight="1">
      <c r="A1459" s="98">
        <v>1449</v>
      </c>
      <c r="B1459" s="79" t="s">
        <v>7037</v>
      </c>
      <c r="C1459" s="148" t="s">
        <v>8</v>
      </c>
      <c r="D1459" s="80" t="s">
        <v>63</v>
      </c>
      <c r="E1459" s="27" t="s">
        <v>3362</v>
      </c>
      <c r="F1459" s="80" t="s">
        <v>338</v>
      </c>
      <c r="G1459" s="81" t="s">
        <v>995</v>
      </c>
      <c r="H1459" s="80" t="s">
        <v>3363</v>
      </c>
      <c r="I1459" s="92">
        <v>45867</v>
      </c>
      <c r="J1459" s="80" t="s">
        <v>145</v>
      </c>
      <c r="K1459" s="80" t="s">
        <v>146</v>
      </c>
      <c r="L1459" s="84" t="s">
        <v>147</v>
      </c>
      <c r="M1459" s="84" t="s">
        <v>148</v>
      </c>
      <c r="N1459" s="84" t="s">
        <v>72</v>
      </c>
      <c r="O1459" s="129" t="s">
        <v>7038</v>
      </c>
      <c r="P1459" s="128" t="s">
        <v>7039</v>
      </c>
      <c r="Q1459" s="49" t="s">
        <v>75</v>
      </c>
      <c r="R1459" s="25" t="s">
        <v>75</v>
      </c>
      <c r="S1459" s="26">
        <v>20</v>
      </c>
      <c r="T1459" s="26">
        <v>76</v>
      </c>
      <c r="U1459" s="28" t="s">
        <v>6802</v>
      </c>
      <c r="V1459" s="66"/>
      <c r="W1459" s="106"/>
      <c r="X1459" s="106" t="s">
        <v>176</v>
      </c>
      <c r="Y1459" s="26"/>
      <c r="Z1459" s="75" t="s">
        <v>106</v>
      </c>
      <c r="AA1459" s="30"/>
    </row>
    <row r="1460" spans="1:28" ht="32.25" hidden="1" customHeight="1">
      <c r="A1460" s="98">
        <v>1450</v>
      </c>
      <c r="B1460" s="79" t="s">
        <v>7040</v>
      </c>
      <c r="C1460" s="148" t="s">
        <v>8</v>
      </c>
      <c r="D1460" s="80" t="s">
        <v>63</v>
      </c>
      <c r="E1460" s="27" t="s">
        <v>7041</v>
      </c>
      <c r="F1460" s="80" t="s">
        <v>120</v>
      </c>
      <c r="G1460" s="81" t="s">
        <v>7042</v>
      </c>
      <c r="H1460" s="80" t="s">
        <v>7043</v>
      </c>
      <c r="I1460" s="92">
        <v>45868</v>
      </c>
      <c r="J1460" s="80" t="s">
        <v>3505</v>
      </c>
      <c r="K1460" s="80" t="s">
        <v>69</v>
      </c>
      <c r="L1460" s="84" t="s">
        <v>251</v>
      </c>
      <c r="M1460" s="84" t="s">
        <v>252</v>
      </c>
      <c r="N1460" s="84" t="s">
        <v>72</v>
      </c>
      <c r="O1460" s="129" t="s">
        <v>7044</v>
      </c>
      <c r="P1460" s="128" t="s">
        <v>7045</v>
      </c>
      <c r="Q1460" s="49" t="s">
        <v>75</v>
      </c>
      <c r="R1460" s="25" t="s">
        <v>91</v>
      </c>
      <c r="S1460" s="26">
        <v>18</v>
      </c>
      <c r="T1460" s="26">
        <v>38</v>
      </c>
      <c r="U1460" s="28" t="s">
        <v>7046</v>
      </c>
      <c r="V1460" s="66"/>
      <c r="W1460" s="106"/>
      <c r="X1460" s="106" t="s">
        <v>176</v>
      </c>
      <c r="Y1460" s="26"/>
      <c r="Z1460" s="75" t="s">
        <v>93</v>
      </c>
      <c r="AA1460" s="30" t="s">
        <v>7047</v>
      </c>
    </row>
    <row r="1461" spans="1:28" ht="148.5" hidden="1">
      <c r="A1461" s="98">
        <v>1451</v>
      </c>
      <c r="B1461" s="79" t="s">
        <v>7048</v>
      </c>
      <c r="C1461" s="148" t="s">
        <v>8</v>
      </c>
      <c r="D1461" s="80" t="s">
        <v>63</v>
      </c>
      <c r="E1461" s="27" t="s">
        <v>2152</v>
      </c>
      <c r="F1461" s="80" t="s">
        <v>65</v>
      </c>
      <c r="G1461" s="81" t="s">
        <v>1047</v>
      </c>
      <c r="H1461" s="80" t="s">
        <v>2153</v>
      </c>
      <c r="I1461" s="92">
        <v>45868</v>
      </c>
      <c r="J1461" s="80" t="s">
        <v>3821</v>
      </c>
      <c r="K1461" s="80" t="s">
        <v>112</v>
      </c>
      <c r="L1461" s="84" t="s">
        <v>113</v>
      </c>
      <c r="M1461" s="84" t="s">
        <v>252</v>
      </c>
      <c r="N1461" s="84" t="s">
        <v>253</v>
      </c>
      <c r="O1461" s="129" t="s">
        <v>7049</v>
      </c>
      <c r="P1461" s="128" t="s">
        <v>7050</v>
      </c>
      <c r="Q1461" s="49" t="s">
        <v>91</v>
      </c>
      <c r="R1461" s="25"/>
      <c r="S1461" s="26"/>
      <c r="T1461" s="26" t="s">
        <v>59</v>
      </c>
      <c r="U1461" s="28" t="s">
        <v>7051</v>
      </c>
      <c r="V1461" s="66"/>
      <c r="W1461" s="106"/>
      <c r="X1461" s="106" t="s">
        <v>76</v>
      </c>
      <c r="Y1461" s="26"/>
      <c r="Z1461" s="75" t="s">
        <v>193</v>
      </c>
      <c r="AA1461" s="30"/>
    </row>
    <row r="1462" spans="1:28" ht="32.25" hidden="1" customHeight="1">
      <c r="A1462" s="98">
        <v>1452</v>
      </c>
      <c r="B1462" s="79" t="s">
        <v>7052</v>
      </c>
      <c r="C1462" s="148" t="s">
        <v>10</v>
      </c>
      <c r="D1462" s="80" t="s">
        <v>83</v>
      </c>
      <c r="E1462" s="27" t="s">
        <v>4186</v>
      </c>
      <c r="F1462" s="80" t="s">
        <v>109</v>
      </c>
      <c r="G1462" s="81" t="s">
        <v>4187</v>
      </c>
      <c r="H1462" s="80" t="s">
        <v>4188</v>
      </c>
      <c r="I1462" s="92">
        <v>45868</v>
      </c>
      <c r="J1462" s="80" t="s">
        <v>3505</v>
      </c>
      <c r="K1462" s="80" t="s">
        <v>69</v>
      </c>
      <c r="L1462" s="84" t="s">
        <v>251</v>
      </c>
      <c r="M1462" s="84" t="s">
        <v>252</v>
      </c>
      <c r="N1462" s="84" t="s">
        <v>920</v>
      </c>
      <c r="O1462" s="308" t="s">
        <v>7053</v>
      </c>
      <c r="P1462" s="128" t="s">
        <v>7054</v>
      </c>
      <c r="Q1462" s="49" t="s">
        <v>75</v>
      </c>
      <c r="R1462" s="25" t="s">
        <v>91</v>
      </c>
      <c r="S1462" s="26">
        <v>18</v>
      </c>
      <c r="T1462" s="26">
        <v>46</v>
      </c>
      <c r="U1462" s="28" t="s">
        <v>7055</v>
      </c>
      <c r="V1462" s="66"/>
      <c r="W1462" s="106"/>
      <c r="X1462" s="106" t="s">
        <v>176</v>
      </c>
      <c r="Y1462" s="26"/>
      <c r="Z1462" s="75" t="s">
        <v>93</v>
      </c>
      <c r="AA1462" s="30"/>
    </row>
    <row r="1463" spans="1:28" ht="32.25" hidden="1" customHeight="1">
      <c r="A1463" s="98">
        <v>1453</v>
      </c>
      <c r="B1463" s="79" t="s">
        <v>7056</v>
      </c>
      <c r="C1463" s="148" t="s">
        <v>10</v>
      </c>
      <c r="D1463" s="80" t="s">
        <v>83</v>
      </c>
      <c r="E1463" s="27" t="s">
        <v>4186</v>
      </c>
      <c r="F1463" s="80" t="s">
        <v>109</v>
      </c>
      <c r="G1463" s="81" t="s">
        <v>4187</v>
      </c>
      <c r="H1463" s="80" t="s">
        <v>4188</v>
      </c>
      <c r="I1463" s="92">
        <v>45868</v>
      </c>
      <c r="J1463" s="80" t="s">
        <v>3505</v>
      </c>
      <c r="K1463" s="80" t="s">
        <v>69</v>
      </c>
      <c r="L1463" s="84" t="s">
        <v>251</v>
      </c>
      <c r="M1463" s="84" t="s">
        <v>252</v>
      </c>
      <c r="N1463" s="84" t="s">
        <v>920</v>
      </c>
      <c r="O1463" s="308" t="s">
        <v>7057</v>
      </c>
      <c r="P1463" s="128" t="s">
        <v>7058</v>
      </c>
      <c r="Q1463" s="49" t="s">
        <v>91</v>
      </c>
      <c r="R1463" s="25"/>
      <c r="S1463" s="26">
        <v>12</v>
      </c>
      <c r="T1463" s="26"/>
      <c r="U1463" s="28" t="s">
        <v>7059</v>
      </c>
      <c r="V1463" s="66"/>
      <c r="W1463" s="106"/>
      <c r="X1463" s="106" t="s">
        <v>76</v>
      </c>
      <c r="Y1463" s="26"/>
      <c r="Z1463" s="75" t="s">
        <v>193</v>
      </c>
      <c r="AA1463" s="30"/>
    </row>
    <row r="1464" spans="1:28" ht="32.25" customHeight="1">
      <c r="A1464" s="98">
        <v>1454</v>
      </c>
      <c r="B1464" s="79" t="s">
        <v>7060</v>
      </c>
      <c r="C1464" s="148" t="s">
        <v>9</v>
      </c>
      <c r="D1464" s="80" t="s">
        <v>83</v>
      </c>
      <c r="E1464" s="27" t="s">
        <v>1310</v>
      </c>
      <c r="F1464" s="80" t="s">
        <v>120</v>
      </c>
      <c r="G1464" s="81" t="s">
        <v>1286</v>
      </c>
      <c r="H1464" s="80" t="s">
        <v>1311</v>
      </c>
      <c r="I1464" s="92">
        <v>45868</v>
      </c>
      <c r="J1464" s="80" t="s">
        <v>4385</v>
      </c>
      <c r="K1464" s="80" t="s">
        <v>4386</v>
      </c>
      <c r="L1464" s="84" t="s">
        <v>4387</v>
      </c>
      <c r="M1464" s="84" t="s">
        <v>252</v>
      </c>
      <c r="N1464" s="84" t="s">
        <v>920</v>
      </c>
      <c r="O1464" s="129" t="s">
        <v>7061</v>
      </c>
      <c r="P1464" s="128" t="s">
        <v>7061</v>
      </c>
      <c r="Q1464" s="49" t="s">
        <v>75</v>
      </c>
      <c r="R1464" s="25" t="s">
        <v>91</v>
      </c>
      <c r="S1464" s="26">
        <v>23</v>
      </c>
      <c r="T1464" s="26">
        <v>68</v>
      </c>
      <c r="U1464" s="28" t="s">
        <v>7062</v>
      </c>
      <c r="V1464" s="66"/>
      <c r="W1464" s="106"/>
      <c r="X1464" s="106" t="s">
        <v>176</v>
      </c>
      <c r="Y1464" s="26"/>
      <c r="Z1464" s="75" t="s">
        <v>93</v>
      </c>
      <c r="AA1464" s="30"/>
    </row>
    <row r="1465" spans="1:28" ht="32.25" customHeight="1">
      <c r="A1465" s="98">
        <v>1455</v>
      </c>
      <c r="B1465" s="79" t="s">
        <v>7063</v>
      </c>
      <c r="C1465" s="148" t="s">
        <v>9</v>
      </c>
      <c r="D1465" s="80" t="s">
        <v>83</v>
      </c>
      <c r="E1465" s="27" t="s">
        <v>4867</v>
      </c>
      <c r="F1465" s="80" t="s">
        <v>120</v>
      </c>
      <c r="G1465" s="81" t="s">
        <v>4819</v>
      </c>
      <c r="H1465" s="80" t="s">
        <v>4868</v>
      </c>
      <c r="I1465" s="92">
        <v>45868</v>
      </c>
      <c r="J1465" s="80" t="s">
        <v>4385</v>
      </c>
      <c r="K1465" s="80" t="s">
        <v>4386</v>
      </c>
      <c r="L1465" s="84" t="s">
        <v>4387</v>
      </c>
      <c r="M1465" s="84" t="s">
        <v>252</v>
      </c>
      <c r="N1465" s="84" t="s">
        <v>920</v>
      </c>
      <c r="O1465" s="129" t="s">
        <v>7064</v>
      </c>
      <c r="P1465" s="128" t="s">
        <v>7065</v>
      </c>
      <c r="Q1465" s="49" t="s">
        <v>75</v>
      </c>
      <c r="R1465" s="25" t="s">
        <v>75</v>
      </c>
      <c r="S1465" s="26">
        <v>27</v>
      </c>
      <c r="T1465" s="26">
        <v>90</v>
      </c>
      <c r="U1465" s="28" t="s">
        <v>7066</v>
      </c>
      <c r="V1465" s="66" t="s">
        <v>75</v>
      </c>
      <c r="W1465" s="106" t="s">
        <v>1511</v>
      </c>
      <c r="X1465" s="106" t="s">
        <v>176</v>
      </c>
      <c r="Y1465" s="26" t="s">
        <v>176</v>
      </c>
      <c r="Z1465" s="75" t="s">
        <v>79</v>
      </c>
      <c r="AA1465" s="30"/>
    </row>
    <row r="1466" spans="1:28" ht="66" hidden="1">
      <c r="A1466" s="98">
        <v>1456</v>
      </c>
      <c r="B1466" s="79" t="s">
        <v>7067</v>
      </c>
      <c r="C1466" s="148" t="s">
        <v>10</v>
      </c>
      <c r="D1466" s="80" t="s">
        <v>63</v>
      </c>
      <c r="E1466" s="27" t="s">
        <v>3854</v>
      </c>
      <c r="F1466" s="80" t="s">
        <v>120</v>
      </c>
      <c r="G1466" s="81" t="s">
        <v>3855</v>
      </c>
      <c r="H1466" s="80" t="s">
        <v>3856</v>
      </c>
      <c r="I1466" s="92">
        <v>45869</v>
      </c>
      <c r="J1466" s="80" t="s">
        <v>3543</v>
      </c>
      <c r="K1466" s="80" t="s">
        <v>112</v>
      </c>
      <c r="L1466" s="84" t="s">
        <v>122</v>
      </c>
      <c r="M1466" s="84" t="s">
        <v>114</v>
      </c>
      <c r="N1466" s="84" t="s">
        <v>72</v>
      </c>
      <c r="O1466" s="308" t="s">
        <v>7068</v>
      </c>
      <c r="P1466" s="128" t="s">
        <v>7069</v>
      </c>
      <c r="Q1466" s="49" t="s">
        <v>75</v>
      </c>
      <c r="R1466" s="25" t="s">
        <v>91</v>
      </c>
      <c r="S1466" s="26">
        <v>18</v>
      </c>
      <c r="T1466" s="26">
        <v>58</v>
      </c>
      <c r="U1466" s="28" t="s">
        <v>7070</v>
      </c>
      <c r="V1466" s="66"/>
      <c r="W1466" s="106"/>
      <c r="X1466" s="106" t="s">
        <v>176</v>
      </c>
      <c r="Y1466" s="26"/>
      <c r="Z1466" s="75" t="s">
        <v>93</v>
      </c>
      <c r="AA1466" s="30"/>
    </row>
    <row r="1467" spans="1:28" ht="49.5" hidden="1" customHeight="1">
      <c r="A1467" s="98">
        <v>1457</v>
      </c>
      <c r="B1467" s="79" t="s">
        <v>7071</v>
      </c>
      <c r="C1467" s="148" t="s">
        <v>8</v>
      </c>
      <c r="D1467" s="80" t="s">
        <v>63</v>
      </c>
      <c r="E1467" s="27" t="s">
        <v>6028</v>
      </c>
      <c r="F1467" s="80" t="s">
        <v>338</v>
      </c>
      <c r="G1467" s="81" t="s">
        <v>440</v>
      </c>
      <c r="H1467" s="80" t="s">
        <v>6029</v>
      </c>
      <c r="I1467" s="92">
        <v>45869</v>
      </c>
      <c r="J1467" s="80" t="s">
        <v>3526</v>
      </c>
      <c r="K1467" s="80" t="s">
        <v>299</v>
      </c>
      <c r="L1467" s="84" t="s">
        <v>189</v>
      </c>
      <c r="M1467" s="84" t="s">
        <v>114</v>
      </c>
      <c r="N1467" s="84" t="s">
        <v>72</v>
      </c>
      <c r="O1467" s="129" t="s">
        <v>7072</v>
      </c>
      <c r="P1467" s="128" t="s">
        <v>7073</v>
      </c>
      <c r="Q1467" s="49" t="s">
        <v>75</v>
      </c>
      <c r="R1467" s="25" t="s">
        <v>91</v>
      </c>
      <c r="S1467" s="26">
        <v>20</v>
      </c>
      <c r="T1467" s="26">
        <v>66</v>
      </c>
      <c r="U1467" s="28" t="s">
        <v>7074</v>
      </c>
      <c r="V1467" s="66"/>
      <c r="W1467" s="106"/>
      <c r="X1467" s="106" t="s">
        <v>176</v>
      </c>
      <c r="Y1467" s="26"/>
      <c r="Z1467" s="75" t="s">
        <v>93</v>
      </c>
      <c r="AA1467" s="30"/>
    </row>
    <row r="1468" spans="1:28" ht="69.75" hidden="1" customHeight="1">
      <c r="A1468" s="98">
        <v>1458</v>
      </c>
      <c r="B1468" s="79" t="s">
        <v>7075</v>
      </c>
      <c r="C1468" s="148" t="s">
        <v>10</v>
      </c>
      <c r="D1468" s="80" t="s">
        <v>63</v>
      </c>
      <c r="E1468" s="27" t="s">
        <v>5832</v>
      </c>
      <c r="F1468" s="80" t="s">
        <v>109</v>
      </c>
      <c r="G1468" s="81" t="s">
        <v>3103</v>
      </c>
      <c r="H1468" s="80" t="s">
        <v>5833</v>
      </c>
      <c r="I1468" s="92">
        <v>45870</v>
      </c>
      <c r="J1468" s="80" t="s">
        <v>3505</v>
      </c>
      <c r="K1468" s="80" t="s">
        <v>69</v>
      </c>
      <c r="L1468" s="84" t="s">
        <v>251</v>
      </c>
      <c r="M1468" s="84" t="s">
        <v>904</v>
      </c>
      <c r="N1468" s="84" t="s">
        <v>920</v>
      </c>
      <c r="O1468" s="308" t="s">
        <v>7076</v>
      </c>
      <c r="P1468" s="128" t="s">
        <v>7077</v>
      </c>
      <c r="Q1468" s="49" t="s">
        <v>75</v>
      </c>
      <c r="R1468" s="25" t="s">
        <v>91</v>
      </c>
      <c r="S1468" s="26">
        <v>18</v>
      </c>
      <c r="T1468" s="26">
        <v>38</v>
      </c>
      <c r="U1468" s="28" t="s">
        <v>7078</v>
      </c>
      <c r="V1468" s="66"/>
      <c r="W1468" s="106"/>
      <c r="X1468" s="106" t="s">
        <v>176</v>
      </c>
      <c r="Y1468" s="26"/>
      <c r="Z1468" s="75" t="s">
        <v>93</v>
      </c>
      <c r="AA1468" s="30"/>
    </row>
    <row r="1469" spans="1:28" ht="32.25" hidden="1" customHeight="1">
      <c r="A1469" s="98">
        <v>1459</v>
      </c>
      <c r="B1469" s="79" t="s">
        <v>7079</v>
      </c>
      <c r="C1469" s="148" t="s">
        <v>8</v>
      </c>
      <c r="D1469" s="80" t="s">
        <v>83</v>
      </c>
      <c r="E1469" s="27" t="s">
        <v>371</v>
      </c>
      <c r="F1469" s="80" t="s">
        <v>109</v>
      </c>
      <c r="G1469" s="81" t="s">
        <v>339</v>
      </c>
      <c r="H1469" s="80" t="s">
        <v>372</v>
      </c>
      <c r="I1469" s="202">
        <v>45870</v>
      </c>
      <c r="J1469" s="80" t="s">
        <v>3500</v>
      </c>
      <c r="K1469" s="80" t="s">
        <v>198</v>
      </c>
      <c r="L1469" s="84" t="s">
        <v>199</v>
      </c>
      <c r="M1469" s="84" t="s">
        <v>221</v>
      </c>
      <c r="N1469" s="84" t="s">
        <v>72</v>
      </c>
      <c r="O1469" s="129" t="s">
        <v>7080</v>
      </c>
      <c r="P1469" s="187" t="s">
        <v>7081</v>
      </c>
      <c r="Q1469" s="49" t="s">
        <v>91</v>
      </c>
      <c r="R1469" s="25"/>
      <c r="S1469" s="26">
        <v>3</v>
      </c>
      <c r="T1469" s="26"/>
      <c r="U1469" s="28" t="s">
        <v>7082</v>
      </c>
      <c r="V1469" s="66"/>
      <c r="W1469" s="106"/>
      <c r="X1469" s="106" t="s">
        <v>76</v>
      </c>
      <c r="Y1469" s="26"/>
      <c r="Z1469" s="75" t="s">
        <v>193</v>
      </c>
      <c r="AA1469" s="30"/>
      <c r="AB1469" s="25" t="s">
        <v>75</v>
      </c>
    </row>
    <row r="1470" spans="1:28" ht="32.25" hidden="1" customHeight="1">
      <c r="A1470" s="98">
        <v>1460</v>
      </c>
      <c r="B1470" s="79" t="s">
        <v>7083</v>
      </c>
      <c r="C1470" s="148" t="s">
        <v>8</v>
      </c>
      <c r="D1470" s="80" t="s">
        <v>83</v>
      </c>
      <c r="E1470" s="27" t="s">
        <v>392</v>
      </c>
      <c r="F1470" s="80" t="s">
        <v>120</v>
      </c>
      <c r="G1470" s="81" t="s">
        <v>339</v>
      </c>
      <c r="H1470" s="80" t="s">
        <v>393</v>
      </c>
      <c r="I1470" s="202">
        <v>45870</v>
      </c>
      <c r="J1470" s="80" t="s">
        <v>3500</v>
      </c>
      <c r="K1470" s="80" t="s">
        <v>198</v>
      </c>
      <c r="L1470" s="84" t="s">
        <v>199</v>
      </c>
      <c r="M1470" s="84" t="s">
        <v>221</v>
      </c>
      <c r="N1470" s="84" t="s">
        <v>72</v>
      </c>
      <c r="O1470" s="129" t="s">
        <v>7084</v>
      </c>
      <c r="P1470" s="190" t="s">
        <v>7085</v>
      </c>
      <c r="Q1470" s="49" t="s">
        <v>75</v>
      </c>
      <c r="R1470" s="25" t="s">
        <v>91</v>
      </c>
      <c r="S1470" s="26">
        <v>18</v>
      </c>
      <c r="T1470" s="26">
        <v>53</v>
      </c>
      <c r="U1470" s="28" t="s">
        <v>7086</v>
      </c>
      <c r="V1470" s="66"/>
      <c r="W1470" s="106"/>
      <c r="X1470" s="106" t="s">
        <v>176</v>
      </c>
      <c r="Y1470" s="26"/>
      <c r="Z1470" s="75" t="s">
        <v>93</v>
      </c>
      <c r="AA1470" s="30" t="s">
        <v>1536</v>
      </c>
    </row>
    <row r="1471" spans="1:28" ht="32.25" hidden="1" customHeight="1">
      <c r="A1471" s="98">
        <v>1461</v>
      </c>
      <c r="B1471" s="79" t="s">
        <v>7087</v>
      </c>
      <c r="C1471" s="148" t="s">
        <v>8</v>
      </c>
      <c r="D1471" s="80" t="s">
        <v>83</v>
      </c>
      <c r="E1471" s="27" t="s">
        <v>386</v>
      </c>
      <c r="F1471" s="80" t="s">
        <v>65</v>
      </c>
      <c r="G1471" s="81" t="s">
        <v>339</v>
      </c>
      <c r="H1471" s="80" t="s">
        <v>387</v>
      </c>
      <c r="I1471" s="202">
        <v>45870</v>
      </c>
      <c r="J1471" s="80" t="s">
        <v>3500</v>
      </c>
      <c r="K1471" s="80" t="s">
        <v>198</v>
      </c>
      <c r="L1471" s="84" t="s">
        <v>199</v>
      </c>
      <c r="M1471" s="84" t="s">
        <v>221</v>
      </c>
      <c r="N1471" s="84" t="s">
        <v>72</v>
      </c>
      <c r="O1471" s="129" t="s">
        <v>7088</v>
      </c>
      <c r="P1471" s="189" t="s">
        <v>7088</v>
      </c>
      <c r="Q1471" s="49" t="s">
        <v>75</v>
      </c>
      <c r="R1471" s="25" t="s">
        <v>91</v>
      </c>
      <c r="S1471" s="26">
        <v>18</v>
      </c>
      <c r="T1471" s="26">
        <v>53</v>
      </c>
      <c r="U1471" s="28" t="s">
        <v>7089</v>
      </c>
      <c r="V1471" s="66"/>
      <c r="W1471" s="106"/>
      <c r="X1471" s="106" t="s">
        <v>176</v>
      </c>
      <c r="Y1471" s="26"/>
      <c r="Z1471" s="75" t="s">
        <v>93</v>
      </c>
      <c r="AA1471" s="30"/>
    </row>
    <row r="1472" spans="1:28" ht="32.25" hidden="1" customHeight="1">
      <c r="A1472" s="98">
        <v>1462</v>
      </c>
      <c r="B1472" s="79" t="s">
        <v>7090</v>
      </c>
      <c r="C1472" s="148" t="s">
        <v>8</v>
      </c>
      <c r="D1472" s="80" t="s">
        <v>83</v>
      </c>
      <c r="E1472" s="27" t="s">
        <v>363</v>
      </c>
      <c r="F1472" s="80" t="s">
        <v>65</v>
      </c>
      <c r="G1472" s="81" t="s">
        <v>339</v>
      </c>
      <c r="H1472" s="80" t="s">
        <v>364</v>
      </c>
      <c r="I1472" s="202">
        <v>45870</v>
      </c>
      <c r="J1472" s="80" t="s">
        <v>3500</v>
      </c>
      <c r="K1472" s="80" t="s">
        <v>198</v>
      </c>
      <c r="L1472" s="84" t="s">
        <v>199</v>
      </c>
      <c r="M1472" s="84" t="s">
        <v>221</v>
      </c>
      <c r="N1472" s="84" t="s">
        <v>72</v>
      </c>
      <c r="O1472" s="129" t="s">
        <v>7091</v>
      </c>
      <c r="P1472" s="191" t="s">
        <v>7092</v>
      </c>
      <c r="Q1472" s="49" t="s">
        <v>75</v>
      </c>
      <c r="R1472" s="25" t="s">
        <v>91</v>
      </c>
      <c r="S1472" s="26">
        <v>18</v>
      </c>
      <c r="T1472" s="26">
        <v>56</v>
      </c>
      <c r="U1472" s="28" t="s">
        <v>7093</v>
      </c>
      <c r="V1472" s="66"/>
      <c r="W1472" s="106"/>
      <c r="X1472" s="106" t="s">
        <v>176</v>
      </c>
      <c r="Y1472" s="26"/>
      <c r="Z1472" s="75" t="s">
        <v>93</v>
      </c>
      <c r="AA1472" s="30"/>
    </row>
    <row r="1473" spans="1:27" ht="32.25" hidden="1" customHeight="1">
      <c r="A1473" s="98">
        <v>1463</v>
      </c>
      <c r="B1473" s="79" t="s">
        <v>7094</v>
      </c>
      <c r="C1473" s="148" t="s">
        <v>8</v>
      </c>
      <c r="D1473" s="80" t="s">
        <v>83</v>
      </c>
      <c r="E1473" s="27" t="s">
        <v>7095</v>
      </c>
      <c r="F1473" s="80" t="s">
        <v>120</v>
      </c>
      <c r="G1473" s="81" t="s">
        <v>339</v>
      </c>
      <c r="H1473" s="80" t="s">
        <v>7096</v>
      </c>
      <c r="I1473" s="202">
        <v>45870</v>
      </c>
      <c r="J1473" s="80" t="s">
        <v>3500</v>
      </c>
      <c r="K1473" s="80" t="s">
        <v>198</v>
      </c>
      <c r="L1473" s="84" t="s">
        <v>199</v>
      </c>
      <c r="M1473" s="84" t="s">
        <v>221</v>
      </c>
      <c r="N1473" s="84" t="s">
        <v>72</v>
      </c>
      <c r="O1473" s="129" t="s">
        <v>7097</v>
      </c>
      <c r="P1473" s="190" t="s">
        <v>7098</v>
      </c>
      <c r="Q1473" s="49" t="s">
        <v>75</v>
      </c>
      <c r="R1473" s="25" t="s">
        <v>91</v>
      </c>
      <c r="S1473" s="26">
        <v>18</v>
      </c>
      <c r="T1473" s="26">
        <v>56</v>
      </c>
      <c r="U1473" s="28" t="s">
        <v>7099</v>
      </c>
      <c r="V1473" s="66"/>
      <c r="W1473" s="106"/>
      <c r="X1473" s="106" t="s">
        <v>176</v>
      </c>
      <c r="Y1473" s="26"/>
      <c r="Z1473" s="75" t="s">
        <v>93</v>
      </c>
      <c r="AA1473" s="30"/>
    </row>
    <row r="1474" spans="1:27" ht="32.25" hidden="1" customHeight="1">
      <c r="A1474" s="98">
        <v>1465</v>
      </c>
      <c r="B1474" s="79" t="s">
        <v>7100</v>
      </c>
      <c r="C1474" s="148" t="s">
        <v>2146</v>
      </c>
      <c r="D1474" s="80" t="s">
        <v>83</v>
      </c>
      <c r="E1474" s="27" t="s">
        <v>5597</v>
      </c>
      <c r="F1474" s="80" t="s">
        <v>109</v>
      </c>
      <c r="G1474" s="81" t="s">
        <v>2148</v>
      </c>
      <c r="H1474" s="80" t="s">
        <v>5598</v>
      </c>
      <c r="I1474" s="92">
        <v>45873</v>
      </c>
      <c r="J1474" s="80" t="s">
        <v>3505</v>
      </c>
      <c r="K1474" s="80" t="s">
        <v>69</v>
      </c>
      <c r="L1474" s="84" t="s">
        <v>100</v>
      </c>
      <c r="M1474" s="84" t="s">
        <v>904</v>
      </c>
      <c r="N1474" s="84" t="s">
        <v>72</v>
      </c>
      <c r="O1474" s="129" t="s">
        <v>7101</v>
      </c>
      <c r="P1474" s="188" t="s">
        <v>7102</v>
      </c>
      <c r="Q1474" s="49" t="s">
        <v>75</v>
      </c>
      <c r="R1474" s="25" t="s">
        <v>75</v>
      </c>
      <c r="S1474" s="26">
        <v>24</v>
      </c>
      <c r="T1474" s="26">
        <v>78</v>
      </c>
      <c r="U1474" s="28" t="s">
        <v>7103</v>
      </c>
      <c r="V1474" s="66" t="s">
        <v>75</v>
      </c>
      <c r="W1474" s="106" t="s">
        <v>6686</v>
      </c>
      <c r="X1474" s="106" t="s">
        <v>176</v>
      </c>
      <c r="Y1474" s="106" t="s">
        <v>176</v>
      </c>
      <c r="Z1474" s="75" t="s">
        <v>79</v>
      </c>
      <c r="AA1474" s="30"/>
    </row>
    <row r="1475" spans="1:27" ht="32.25" hidden="1" customHeight="1">
      <c r="A1475" s="98">
        <v>1464</v>
      </c>
      <c r="B1475" s="79" t="s">
        <v>7104</v>
      </c>
      <c r="C1475" s="148" t="s">
        <v>8</v>
      </c>
      <c r="D1475" s="80" t="s">
        <v>83</v>
      </c>
      <c r="E1475" s="27" t="s">
        <v>7105</v>
      </c>
      <c r="F1475" s="80" t="s">
        <v>65</v>
      </c>
      <c r="G1475" s="81" t="s">
        <v>339</v>
      </c>
      <c r="H1475" s="80" t="s">
        <v>7106</v>
      </c>
      <c r="I1475" s="202">
        <v>45870</v>
      </c>
      <c r="J1475" s="80" t="s">
        <v>3500</v>
      </c>
      <c r="K1475" s="80" t="s">
        <v>198</v>
      </c>
      <c r="L1475" s="84" t="s">
        <v>199</v>
      </c>
      <c r="M1475" s="84" t="s">
        <v>221</v>
      </c>
      <c r="N1475" s="84" t="s">
        <v>72</v>
      </c>
      <c r="O1475" s="129" t="s">
        <v>7107</v>
      </c>
      <c r="P1475" s="122" t="s">
        <v>7108</v>
      </c>
      <c r="Q1475" s="49" t="s">
        <v>75</v>
      </c>
      <c r="R1475" s="25" t="s">
        <v>91</v>
      </c>
      <c r="S1475" s="26">
        <v>18</v>
      </c>
      <c r="T1475" s="26">
        <v>68</v>
      </c>
      <c r="U1475" s="28" t="s">
        <v>7109</v>
      </c>
      <c r="V1475" s="66"/>
      <c r="W1475" s="106"/>
      <c r="X1475" s="106" t="s">
        <v>176</v>
      </c>
      <c r="Y1475" s="26"/>
      <c r="Z1475" s="75" t="s">
        <v>93</v>
      </c>
      <c r="AA1475" s="30"/>
    </row>
    <row r="1476" spans="1:27" ht="32.25" hidden="1" customHeight="1">
      <c r="A1476" s="98">
        <v>1466</v>
      </c>
      <c r="B1476" s="79" t="s">
        <v>7110</v>
      </c>
      <c r="C1476" s="148" t="s">
        <v>8</v>
      </c>
      <c r="D1476" s="80" t="s">
        <v>63</v>
      </c>
      <c r="E1476" s="27" t="s">
        <v>6276</v>
      </c>
      <c r="F1476" s="80" t="s">
        <v>120</v>
      </c>
      <c r="G1476" s="81" t="s">
        <v>277</v>
      </c>
      <c r="H1476" s="80" t="s">
        <v>6277</v>
      </c>
      <c r="I1476" s="202">
        <v>45874</v>
      </c>
      <c r="J1476" s="80" t="s">
        <v>3500</v>
      </c>
      <c r="K1476" s="80" t="s">
        <v>198</v>
      </c>
      <c r="L1476" s="84" t="s">
        <v>199</v>
      </c>
      <c r="M1476" s="84" t="s">
        <v>221</v>
      </c>
      <c r="N1476" s="84" t="s">
        <v>72</v>
      </c>
      <c r="O1476" s="129" t="s">
        <v>7111</v>
      </c>
      <c r="P1476" s="188" t="s">
        <v>7112</v>
      </c>
      <c r="Q1476" s="49" t="s">
        <v>75</v>
      </c>
      <c r="R1476" s="25" t="s">
        <v>91</v>
      </c>
      <c r="S1476" s="26">
        <v>18</v>
      </c>
      <c r="T1476" s="26">
        <v>68</v>
      </c>
      <c r="U1476" s="28" t="s">
        <v>7113</v>
      </c>
      <c r="V1476" s="66"/>
      <c r="W1476" s="106"/>
      <c r="X1476" s="106" t="s">
        <v>176</v>
      </c>
      <c r="Y1476" s="26"/>
      <c r="Z1476" s="75" t="s">
        <v>93</v>
      </c>
      <c r="AA1476" s="30"/>
    </row>
    <row r="1477" spans="1:27" ht="32.25" hidden="1" customHeight="1">
      <c r="A1477" s="98">
        <v>1467</v>
      </c>
      <c r="B1477" s="79" t="s">
        <v>7114</v>
      </c>
      <c r="C1477" s="148" t="s">
        <v>8</v>
      </c>
      <c r="D1477" s="80" t="s">
        <v>63</v>
      </c>
      <c r="E1477" s="27" t="s">
        <v>2636</v>
      </c>
      <c r="F1477" s="80" t="s">
        <v>120</v>
      </c>
      <c r="G1477" s="81" t="s">
        <v>995</v>
      </c>
      <c r="H1477" s="80" t="s">
        <v>2637</v>
      </c>
      <c r="I1477" s="92">
        <v>45874</v>
      </c>
      <c r="J1477" s="80" t="s">
        <v>145</v>
      </c>
      <c r="K1477" s="80" t="s">
        <v>146</v>
      </c>
      <c r="L1477" s="84" t="s">
        <v>147</v>
      </c>
      <c r="M1477" s="84" t="s">
        <v>148</v>
      </c>
      <c r="N1477" s="84" t="s">
        <v>72</v>
      </c>
      <c r="O1477" s="129" t="s">
        <v>7115</v>
      </c>
      <c r="P1477" s="188" t="s">
        <v>7116</v>
      </c>
      <c r="Q1477" s="49" t="s">
        <v>91</v>
      </c>
      <c r="R1477" s="25"/>
      <c r="S1477" s="26">
        <v>16</v>
      </c>
      <c r="T1477" s="26"/>
      <c r="U1477" s="28" t="s">
        <v>7117</v>
      </c>
      <c r="V1477" s="66"/>
      <c r="W1477" s="106"/>
      <c r="X1477" s="106" t="s">
        <v>76</v>
      </c>
      <c r="Y1477" s="26"/>
      <c r="Z1477" s="75" t="s">
        <v>193</v>
      </c>
      <c r="AA1477" s="30"/>
    </row>
    <row r="1478" spans="1:27" ht="32.25" hidden="1" customHeight="1">
      <c r="A1478" s="98">
        <v>1468</v>
      </c>
      <c r="B1478" s="79" t="s">
        <v>7118</v>
      </c>
      <c r="C1478" s="148" t="s">
        <v>8</v>
      </c>
      <c r="D1478" s="80" t="s">
        <v>63</v>
      </c>
      <c r="E1478" s="27" t="s">
        <v>3362</v>
      </c>
      <c r="F1478" s="80" t="s">
        <v>338</v>
      </c>
      <c r="G1478" s="81" t="s">
        <v>995</v>
      </c>
      <c r="H1478" s="80" t="s">
        <v>3363</v>
      </c>
      <c r="I1478" s="92">
        <v>45874</v>
      </c>
      <c r="J1478" s="80" t="s">
        <v>145</v>
      </c>
      <c r="K1478" s="80" t="s">
        <v>146</v>
      </c>
      <c r="L1478" s="84" t="s">
        <v>147</v>
      </c>
      <c r="M1478" s="84" t="s">
        <v>148</v>
      </c>
      <c r="N1478" s="84" t="s">
        <v>72</v>
      </c>
      <c r="O1478" s="129" t="s">
        <v>7119</v>
      </c>
      <c r="P1478" s="188" t="s">
        <v>7120</v>
      </c>
      <c r="Q1478" s="49" t="s">
        <v>75</v>
      </c>
      <c r="R1478" s="25" t="s">
        <v>91</v>
      </c>
      <c r="S1478" s="26">
        <v>18</v>
      </c>
      <c r="T1478" s="26">
        <v>66</v>
      </c>
      <c r="U1478" s="28" t="s">
        <v>6951</v>
      </c>
      <c r="V1478" s="66"/>
      <c r="W1478" s="106"/>
      <c r="X1478" s="106" t="s">
        <v>176</v>
      </c>
      <c r="Y1478" s="26"/>
      <c r="Z1478" s="75" t="s">
        <v>93</v>
      </c>
      <c r="AA1478" s="30"/>
    </row>
    <row r="1479" spans="1:27" ht="32.25" hidden="1" customHeight="1">
      <c r="A1479" s="98">
        <v>1469</v>
      </c>
      <c r="B1479" s="79" t="s">
        <v>7121</v>
      </c>
      <c r="C1479" s="148" t="s">
        <v>8</v>
      </c>
      <c r="D1479" s="80" t="s">
        <v>63</v>
      </c>
      <c r="E1479" s="27" t="s">
        <v>4748</v>
      </c>
      <c r="F1479" s="80" t="s">
        <v>65</v>
      </c>
      <c r="G1479" s="81" t="s">
        <v>277</v>
      </c>
      <c r="H1479" s="80" t="s">
        <v>4749</v>
      </c>
      <c r="I1479" s="202">
        <v>45874</v>
      </c>
      <c r="J1479" s="80" t="s">
        <v>3500</v>
      </c>
      <c r="K1479" s="80" t="s">
        <v>198</v>
      </c>
      <c r="L1479" s="84" t="s">
        <v>199</v>
      </c>
      <c r="M1479" s="84" t="s">
        <v>221</v>
      </c>
      <c r="N1479" s="84" t="s">
        <v>72</v>
      </c>
      <c r="O1479" s="129" t="s">
        <v>7122</v>
      </c>
      <c r="P1479" s="188" t="s">
        <v>7123</v>
      </c>
      <c r="Q1479" s="49" t="s">
        <v>75</v>
      </c>
      <c r="R1479" s="25" t="s">
        <v>91</v>
      </c>
      <c r="S1479" s="26">
        <v>18</v>
      </c>
      <c r="T1479" s="26">
        <v>68</v>
      </c>
      <c r="U1479" s="28" t="s">
        <v>7113</v>
      </c>
      <c r="V1479" s="66"/>
      <c r="W1479" s="106"/>
      <c r="X1479" s="106" t="s">
        <v>176</v>
      </c>
      <c r="Y1479" s="26"/>
      <c r="Z1479" s="75" t="s">
        <v>93</v>
      </c>
      <c r="AA1479" s="30"/>
    </row>
    <row r="1480" spans="1:27" ht="70.5" hidden="1" customHeight="1">
      <c r="A1480" s="98">
        <v>1470</v>
      </c>
      <c r="B1480" s="79" t="s">
        <v>7124</v>
      </c>
      <c r="C1480" s="148" t="s">
        <v>8</v>
      </c>
      <c r="D1480" s="80" t="s">
        <v>63</v>
      </c>
      <c r="E1480" s="27" t="s">
        <v>6289</v>
      </c>
      <c r="F1480" s="80" t="s">
        <v>65</v>
      </c>
      <c r="G1480" s="81" t="s">
        <v>277</v>
      </c>
      <c r="H1480" s="80" t="s">
        <v>2533</v>
      </c>
      <c r="I1480" s="92">
        <v>45874</v>
      </c>
      <c r="J1480" s="80" t="s">
        <v>3505</v>
      </c>
      <c r="K1480" s="80" t="s">
        <v>69</v>
      </c>
      <c r="L1480" s="84" t="s">
        <v>251</v>
      </c>
      <c r="M1480" s="84" t="s">
        <v>252</v>
      </c>
      <c r="N1480" s="84" t="s">
        <v>72</v>
      </c>
      <c r="O1480" s="129" t="s">
        <v>7125</v>
      </c>
      <c r="P1480" s="188" t="s">
        <v>7126</v>
      </c>
      <c r="Q1480" s="49" t="s">
        <v>75</v>
      </c>
      <c r="R1480" s="25" t="s">
        <v>91</v>
      </c>
      <c r="S1480" s="26">
        <v>22</v>
      </c>
      <c r="T1480" s="26">
        <v>46</v>
      </c>
      <c r="U1480" s="28" t="s">
        <v>7127</v>
      </c>
      <c r="V1480" s="66"/>
      <c r="W1480" s="106"/>
      <c r="X1480" s="106" t="s">
        <v>176</v>
      </c>
      <c r="Y1480" s="26"/>
      <c r="Z1480" s="75" t="s">
        <v>93</v>
      </c>
      <c r="AA1480" s="30"/>
    </row>
    <row r="1481" spans="1:27" ht="49.5" hidden="1">
      <c r="A1481" s="98">
        <v>1471</v>
      </c>
      <c r="B1481" s="79" t="s">
        <v>7128</v>
      </c>
      <c r="C1481" s="148" t="s">
        <v>8</v>
      </c>
      <c r="D1481" s="80" t="s">
        <v>63</v>
      </c>
      <c r="E1481" s="27" t="s">
        <v>3682</v>
      </c>
      <c r="F1481" s="80" t="s">
        <v>65</v>
      </c>
      <c r="G1481" s="81" t="s">
        <v>1701</v>
      </c>
      <c r="H1481" s="80" t="s">
        <v>3683</v>
      </c>
      <c r="I1481" s="92">
        <v>45875</v>
      </c>
      <c r="J1481" s="80" t="s">
        <v>3543</v>
      </c>
      <c r="K1481" s="80" t="s">
        <v>112</v>
      </c>
      <c r="L1481" s="84" t="s">
        <v>122</v>
      </c>
      <c r="M1481" s="84" t="s">
        <v>114</v>
      </c>
      <c r="N1481" s="84" t="s">
        <v>72</v>
      </c>
      <c r="O1481" s="129" t="s">
        <v>7129</v>
      </c>
      <c r="P1481" s="188" t="s">
        <v>7130</v>
      </c>
      <c r="Q1481" s="49" t="s">
        <v>75</v>
      </c>
      <c r="R1481" s="25" t="s">
        <v>75</v>
      </c>
      <c r="S1481" s="26">
        <v>29</v>
      </c>
      <c r="T1481" s="26">
        <v>74</v>
      </c>
      <c r="U1481" s="28" t="s">
        <v>7131</v>
      </c>
      <c r="V1481" s="66" t="s">
        <v>75</v>
      </c>
      <c r="W1481" s="106" t="s">
        <v>305</v>
      </c>
      <c r="X1481" s="106" t="s">
        <v>176</v>
      </c>
      <c r="Y1481" s="26"/>
      <c r="Z1481" s="75" t="s">
        <v>106</v>
      </c>
      <c r="AA1481" s="30"/>
    </row>
    <row r="1482" spans="1:27" ht="49.5" hidden="1">
      <c r="A1482" s="98">
        <v>1472</v>
      </c>
      <c r="B1482" s="79" t="s">
        <v>7132</v>
      </c>
      <c r="C1482" s="148" t="s">
        <v>8</v>
      </c>
      <c r="D1482" s="80" t="s">
        <v>63</v>
      </c>
      <c r="E1482" s="27" t="s">
        <v>3166</v>
      </c>
      <c r="F1482" s="80" t="s">
        <v>65</v>
      </c>
      <c r="G1482" s="81" t="s">
        <v>1701</v>
      </c>
      <c r="H1482" s="80" t="s">
        <v>3167</v>
      </c>
      <c r="I1482" s="92">
        <v>45876</v>
      </c>
      <c r="J1482" s="80" t="s">
        <v>3543</v>
      </c>
      <c r="K1482" s="80" t="s">
        <v>112</v>
      </c>
      <c r="L1482" s="84" t="s">
        <v>122</v>
      </c>
      <c r="M1482" s="84" t="s">
        <v>114</v>
      </c>
      <c r="N1482" s="84" t="s">
        <v>72</v>
      </c>
      <c r="O1482" s="129" t="s">
        <v>7133</v>
      </c>
      <c r="P1482" s="192" t="s">
        <v>7134</v>
      </c>
      <c r="Q1482" s="49" t="s">
        <v>75</v>
      </c>
      <c r="R1482" s="25" t="s">
        <v>91</v>
      </c>
      <c r="S1482" s="26">
        <v>25</v>
      </c>
      <c r="T1482" s="26">
        <v>65</v>
      </c>
      <c r="U1482" s="28" t="s">
        <v>7135</v>
      </c>
      <c r="V1482" s="66"/>
      <c r="W1482" s="106"/>
      <c r="X1482" s="106" t="s">
        <v>176</v>
      </c>
      <c r="Y1482" s="26"/>
      <c r="Z1482" s="75" t="s">
        <v>93</v>
      </c>
      <c r="AA1482" s="30"/>
    </row>
    <row r="1483" spans="1:27" ht="32.25" hidden="1" customHeight="1">
      <c r="A1483" s="98">
        <v>1474</v>
      </c>
      <c r="B1483" s="79" t="s">
        <v>7136</v>
      </c>
      <c r="C1483" s="148" t="s">
        <v>8</v>
      </c>
      <c r="D1483" s="80" t="s">
        <v>63</v>
      </c>
      <c r="E1483" s="27" t="s">
        <v>2404</v>
      </c>
      <c r="F1483" s="80" t="s">
        <v>65</v>
      </c>
      <c r="G1483" s="81" t="s">
        <v>1132</v>
      </c>
      <c r="H1483" s="80" t="s">
        <v>2405</v>
      </c>
      <c r="I1483" s="92">
        <v>45876</v>
      </c>
      <c r="J1483" s="80" t="s">
        <v>145</v>
      </c>
      <c r="K1483" s="80" t="s">
        <v>146</v>
      </c>
      <c r="L1483" s="84" t="s">
        <v>147</v>
      </c>
      <c r="M1483" s="84" t="s">
        <v>148</v>
      </c>
      <c r="N1483" s="84" t="s">
        <v>72</v>
      </c>
      <c r="O1483" s="129" t="s">
        <v>7137</v>
      </c>
      <c r="P1483" s="189" t="s">
        <v>7138</v>
      </c>
      <c r="Q1483" s="49" t="s">
        <v>75</v>
      </c>
      <c r="R1483" s="25" t="s">
        <v>91</v>
      </c>
      <c r="S1483" s="26">
        <v>18</v>
      </c>
      <c r="T1483" s="26">
        <v>62</v>
      </c>
      <c r="U1483" s="28" t="s">
        <v>6951</v>
      </c>
      <c r="V1483" s="66"/>
      <c r="W1483" s="106"/>
      <c r="X1483" s="106" t="s">
        <v>176</v>
      </c>
      <c r="Y1483" s="26"/>
      <c r="Z1483" s="75" t="s">
        <v>93</v>
      </c>
      <c r="AA1483" s="30"/>
    </row>
    <row r="1484" spans="1:27" ht="33" hidden="1">
      <c r="A1484" s="98">
        <v>1475</v>
      </c>
      <c r="B1484" s="79" t="s">
        <v>7139</v>
      </c>
      <c r="C1484" s="148" t="s">
        <v>8</v>
      </c>
      <c r="D1484" s="80" t="s">
        <v>83</v>
      </c>
      <c r="E1484" s="27" t="s">
        <v>2532</v>
      </c>
      <c r="F1484" s="80" t="s">
        <v>120</v>
      </c>
      <c r="G1484" s="81" t="s">
        <v>339</v>
      </c>
      <c r="H1484" s="80" t="s">
        <v>2533</v>
      </c>
      <c r="I1484" s="92">
        <v>45877</v>
      </c>
      <c r="J1484" s="80" t="s">
        <v>3543</v>
      </c>
      <c r="K1484" s="80" t="s">
        <v>112</v>
      </c>
      <c r="L1484" s="84" t="s">
        <v>122</v>
      </c>
      <c r="M1484" s="84" t="s">
        <v>114</v>
      </c>
      <c r="N1484" s="84" t="s">
        <v>72</v>
      </c>
      <c r="O1484" s="129" t="s">
        <v>7140</v>
      </c>
      <c r="P1484" s="189" t="s">
        <v>7141</v>
      </c>
      <c r="Q1484" s="49" t="s">
        <v>75</v>
      </c>
      <c r="R1484" s="25" t="s">
        <v>504</v>
      </c>
      <c r="S1484" s="26">
        <v>24</v>
      </c>
      <c r="T1484" s="26"/>
      <c r="U1484" s="28" t="s">
        <v>7142</v>
      </c>
      <c r="V1484" s="66"/>
      <c r="W1484" s="106"/>
      <c r="X1484" s="106" t="s">
        <v>176</v>
      </c>
      <c r="Y1484" s="26"/>
      <c r="Z1484" s="75" t="s">
        <v>106</v>
      </c>
      <c r="AA1484" s="30"/>
    </row>
    <row r="1485" spans="1:27" ht="49.5" hidden="1">
      <c r="A1485" s="98">
        <v>1473</v>
      </c>
      <c r="B1485" s="79" t="s">
        <v>7143</v>
      </c>
      <c r="C1485" s="148" t="s">
        <v>8</v>
      </c>
      <c r="D1485" s="80" t="s">
        <v>83</v>
      </c>
      <c r="E1485" s="27" t="s">
        <v>407</v>
      </c>
      <c r="F1485" s="80" t="s">
        <v>120</v>
      </c>
      <c r="G1485" s="81" t="s">
        <v>339</v>
      </c>
      <c r="H1485" s="80" t="s">
        <v>408</v>
      </c>
      <c r="I1485" s="92">
        <v>45876</v>
      </c>
      <c r="J1485" s="80" t="s">
        <v>3526</v>
      </c>
      <c r="K1485" s="80" t="s">
        <v>299</v>
      </c>
      <c r="L1485" s="84" t="s">
        <v>189</v>
      </c>
      <c r="M1485" s="84" t="s">
        <v>114</v>
      </c>
      <c r="N1485" s="84" t="s">
        <v>72</v>
      </c>
      <c r="O1485" s="129" t="s">
        <v>7144</v>
      </c>
      <c r="P1485" s="191" t="s">
        <v>7144</v>
      </c>
      <c r="Q1485" s="49" t="s">
        <v>75</v>
      </c>
      <c r="R1485" s="25" t="s">
        <v>91</v>
      </c>
      <c r="S1485" s="26">
        <v>22</v>
      </c>
      <c r="T1485" s="26">
        <v>61</v>
      </c>
      <c r="U1485" s="28" t="s">
        <v>7145</v>
      </c>
      <c r="V1485" s="66"/>
      <c r="W1485" s="106"/>
      <c r="X1485" s="106" t="s">
        <v>176</v>
      </c>
      <c r="Y1485" s="26"/>
      <c r="Z1485" s="75" t="s">
        <v>93</v>
      </c>
      <c r="AA1485" s="30"/>
    </row>
    <row r="1486" spans="1:27" ht="32.25" hidden="1" customHeight="1">
      <c r="A1486" s="98">
        <v>1476</v>
      </c>
      <c r="B1486" s="79" t="s">
        <v>7146</v>
      </c>
      <c r="C1486" s="148" t="s">
        <v>8</v>
      </c>
      <c r="D1486" s="80" t="s">
        <v>83</v>
      </c>
      <c r="E1486" s="27" t="s">
        <v>2532</v>
      </c>
      <c r="F1486" s="80" t="s">
        <v>120</v>
      </c>
      <c r="G1486" s="81" t="s">
        <v>339</v>
      </c>
      <c r="H1486" s="80" t="s">
        <v>2533</v>
      </c>
      <c r="I1486" s="92">
        <v>45877</v>
      </c>
      <c r="J1486" s="80" t="s">
        <v>3512</v>
      </c>
      <c r="K1486" s="80" t="s">
        <v>299</v>
      </c>
      <c r="L1486" s="84" t="s">
        <v>189</v>
      </c>
      <c r="M1486" s="84" t="s">
        <v>114</v>
      </c>
      <c r="N1486" s="84" t="s">
        <v>72</v>
      </c>
      <c r="O1486" s="129" t="s">
        <v>7147</v>
      </c>
      <c r="P1486" s="189" t="s">
        <v>7148</v>
      </c>
      <c r="Q1486" s="49" t="s">
        <v>91</v>
      </c>
      <c r="R1486" s="25"/>
      <c r="S1486" s="26">
        <v>12</v>
      </c>
      <c r="T1486" s="26"/>
      <c r="U1486" s="28" t="s">
        <v>7149</v>
      </c>
      <c r="V1486" s="66"/>
      <c r="W1486" s="106"/>
      <c r="X1486" s="106" t="s">
        <v>76</v>
      </c>
      <c r="Y1486" s="26"/>
      <c r="Z1486" s="75" t="s">
        <v>193</v>
      </c>
      <c r="AA1486" s="30"/>
    </row>
    <row r="1487" spans="1:27" ht="33" hidden="1">
      <c r="A1487" s="98">
        <v>1477</v>
      </c>
      <c r="B1487" s="79" t="s">
        <v>7150</v>
      </c>
      <c r="C1487" s="148" t="s">
        <v>8</v>
      </c>
      <c r="D1487" s="80" t="s">
        <v>83</v>
      </c>
      <c r="E1487" s="27" t="s">
        <v>350</v>
      </c>
      <c r="F1487" s="80" t="s">
        <v>109</v>
      </c>
      <c r="G1487" s="81" t="s">
        <v>339</v>
      </c>
      <c r="H1487" s="80" t="s">
        <v>351</v>
      </c>
      <c r="I1487" s="92">
        <v>45877</v>
      </c>
      <c r="J1487" s="80" t="s">
        <v>3543</v>
      </c>
      <c r="K1487" s="80" t="s">
        <v>112</v>
      </c>
      <c r="L1487" s="84" t="s">
        <v>113</v>
      </c>
      <c r="M1487" s="84" t="s">
        <v>114</v>
      </c>
      <c r="N1487" s="84" t="s">
        <v>72</v>
      </c>
      <c r="O1487" s="194" t="s">
        <v>7151</v>
      </c>
      <c r="P1487" s="194" t="s">
        <v>7151</v>
      </c>
      <c r="Q1487" s="49" t="s">
        <v>75</v>
      </c>
      <c r="R1487" s="25" t="s">
        <v>91</v>
      </c>
      <c r="S1487" s="26">
        <v>21</v>
      </c>
      <c r="T1487" s="26">
        <v>66</v>
      </c>
      <c r="U1487" s="28" t="s">
        <v>7152</v>
      </c>
      <c r="V1487" s="66"/>
      <c r="W1487" s="106"/>
      <c r="X1487" s="106" t="s">
        <v>176</v>
      </c>
      <c r="Y1487" s="26"/>
      <c r="Z1487" s="75" t="s">
        <v>93</v>
      </c>
      <c r="AA1487" s="30"/>
    </row>
    <row r="1488" spans="1:27" ht="32.25" hidden="1" customHeight="1">
      <c r="A1488" s="98">
        <v>1478</v>
      </c>
      <c r="B1488" s="79" t="s">
        <v>7153</v>
      </c>
      <c r="C1488" s="148" t="s">
        <v>8</v>
      </c>
      <c r="D1488" s="80" t="s">
        <v>83</v>
      </c>
      <c r="E1488" s="27" t="s">
        <v>2384</v>
      </c>
      <c r="F1488" s="80" t="s">
        <v>65</v>
      </c>
      <c r="G1488" s="81" t="s">
        <v>339</v>
      </c>
      <c r="H1488" s="80" t="s">
        <v>2385</v>
      </c>
      <c r="I1488" s="92">
        <v>45877</v>
      </c>
      <c r="J1488" s="80" t="s">
        <v>3526</v>
      </c>
      <c r="K1488" s="80" t="s">
        <v>299</v>
      </c>
      <c r="L1488" s="84" t="s">
        <v>189</v>
      </c>
      <c r="M1488" s="84" t="s">
        <v>114</v>
      </c>
      <c r="N1488" s="84" t="s">
        <v>72</v>
      </c>
      <c r="O1488" s="194" t="s">
        <v>7154</v>
      </c>
      <c r="P1488" s="194" t="s">
        <v>7155</v>
      </c>
      <c r="Q1488" s="49" t="s">
        <v>75</v>
      </c>
      <c r="R1488" s="25" t="s">
        <v>91</v>
      </c>
      <c r="S1488" s="26">
        <v>20</v>
      </c>
      <c r="T1488" s="26">
        <v>58</v>
      </c>
      <c r="U1488" s="28" t="s">
        <v>7156</v>
      </c>
      <c r="V1488" s="66"/>
      <c r="W1488" s="106"/>
      <c r="X1488" s="106" t="s">
        <v>176</v>
      </c>
      <c r="Y1488" s="26"/>
      <c r="Z1488" s="75" t="s">
        <v>93</v>
      </c>
      <c r="AA1488" s="30"/>
    </row>
    <row r="1489" spans="1:28" ht="32.25" hidden="1" customHeight="1">
      <c r="A1489" s="98">
        <v>1479</v>
      </c>
      <c r="B1489" s="79" t="s">
        <v>7157</v>
      </c>
      <c r="C1489" s="148" t="s">
        <v>8</v>
      </c>
      <c r="D1489" s="80" t="s">
        <v>83</v>
      </c>
      <c r="E1489" s="27" t="s">
        <v>356</v>
      </c>
      <c r="F1489" s="80" t="s">
        <v>120</v>
      </c>
      <c r="G1489" s="81" t="s">
        <v>339</v>
      </c>
      <c r="H1489" s="80" t="s">
        <v>357</v>
      </c>
      <c r="I1489" s="202">
        <v>45877</v>
      </c>
      <c r="J1489" s="80" t="s">
        <v>3494</v>
      </c>
      <c r="K1489" s="80" t="s">
        <v>198</v>
      </c>
      <c r="L1489" s="84" t="s">
        <v>199</v>
      </c>
      <c r="M1489" s="84" t="s">
        <v>200</v>
      </c>
      <c r="N1489" s="84" t="s">
        <v>72</v>
      </c>
      <c r="O1489" s="194" t="s">
        <v>7158</v>
      </c>
      <c r="P1489" s="194" t="s">
        <v>7159</v>
      </c>
      <c r="Q1489" s="49" t="s">
        <v>91</v>
      </c>
      <c r="R1489" s="25"/>
      <c r="S1489" s="26">
        <v>12</v>
      </c>
      <c r="T1489" s="26"/>
      <c r="U1489" s="28" t="s">
        <v>7160</v>
      </c>
      <c r="V1489" s="66"/>
      <c r="W1489" s="106"/>
      <c r="X1489" s="106" t="s">
        <v>76</v>
      </c>
      <c r="Y1489" s="26"/>
      <c r="Z1489" s="75" t="s">
        <v>193</v>
      </c>
      <c r="AA1489" s="30"/>
    </row>
    <row r="1490" spans="1:28" ht="32.25" hidden="1" customHeight="1">
      <c r="A1490" s="98">
        <v>1481</v>
      </c>
      <c r="B1490" s="79" t="s">
        <v>7161</v>
      </c>
      <c r="C1490" s="148" t="s">
        <v>8</v>
      </c>
      <c r="D1490" s="80" t="s">
        <v>63</v>
      </c>
      <c r="E1490" s="27" t="s">
        <v>2613</v>
      </c>
      <c r="F1490" s="80" t="s">
        <v>109</v>
      </c>
      <c r="G1490" s="81" t="s">
        <v>995</v>
      </c>
      <c r="H1490" s="80" t="s">
        <v>2614</v>
      </c>
      <c r="I1490" s="92">
        <v>45880</v>
      </c>
      <c r="J1490" s="80" t="s">
        <v>3565</v>
      </c>
      <c r="K1490" s="80" t="s">
        <v>299</v>
      </c>
      <c r="L1490" s="84" t="s">
        <v>300</v>
      </c>
      <c r="M1490" s="84" t="s">
        <v>904</v>
      </c>
      <c r="N1490" s="84" t="s">
        <v>72</v>
      </c>
      <c r="O1490" s="194" t="s">
        <v>7162</v>
      </c>
      <c r="P1490" s="194" t="s">
        <v>7163</v>
      </c>
      <c r="Q1490" s="49" t="s">
        <v>91</v>
      </c>
      <c r="R1490" s="25"/>
      <c r="S1490" s="26">
        <v>12</v>
      </c>
      <c r="T1490" s="26"/>
      <c r="U1490" s="28" t="s">
        <v>7164</v>
      </c>
      <c r="V1490" s="66"/>
      <c r="W1490" s="106"/>
      <c r="X1490" s="106" t="s">
        <v>76</v>
      </c>
      <c r="Y1490" s="26"/>
      <c r="Z1490" s="75" t="s">
        <v>193</v>
      </c>
      <c r="AA1490" s="30"/>
    </row>
    <row r="1491" spans="1:28" ht="50.25" hidden="1" customHeight="1">
      <c r="A1491" s="98">
        <v>1482</v>
      </c>
      <c r="B1491" s="79" t="s">
        <v>7165</v>
      </c>
      <c r="C1491" s="148" t="s">
        <v>8</v>
      </c>
      <c r="D1491" s="80" t="s">
        <v>83</v>
      </c>
      <c r="E1491" s="27" t="s">
        <v>420</v>
      </c>
      <c r="F1491" s="80" t="s">
        <v>109</v>
      </c>
      <c r="G1491" s="81" t="s">
        <v>339</v>
      </c>
      <c r="H1491" s="80" t="s">
        <v>421</v>
      </c>
      <c r="I1491" s="92">
        <v>45880</v>
      </c>
      <c r="J1491" s="80" t="s">
        <v>3505</v>
      </c>
      <c r="K1491" s="80" t="s">
        <v>69</v>
      </c>
      <c r="L1491" s="84" t="s">
        <v>251</v>
      </c>
      <c r="M1491" s="84" t="s">
        <v>904</v>
      </c>
      <c r="N1491" s="84" t="s">
        <v>1191</v>
      </c>
      <c r="O1491" s="194" t="s">
        <v>7166</v>
      </c>
      <c r="P1491" s="194" t="s">
        <v>7166</v>
      </c>
      <c r="Q1491" s="49" t="s">
        <v>75</v>
      </c>
      <c r="R1491" s="25" t="s">
        <v>91</v>
      </c>
      <c r="S1491" s="26">
        <v>18</v>
      </c>
      <c r="T1491" s="26">
        <v>46</v>
      </c>
      <c r="U1491" s="28" t="s">
        <v>7167</v>
      </c>
      <c r="V1491" s="66"/>
      <c r="W1491" s="106"/>
      <c r="X1491" s="106" t="s">
        <v>176</v>
      </c>
      <c r="Y1491" s="26"/>
      <c r="Z1491" s="75" t="s">
        <v>93</v>
      </c>
      <c r="AA1491" s="30"/>
    </row>
    <row r="1492" spans="1:28" ht="131.25" hidden="1" customHeight="1">
      <c r="A1492" s="98">
        <v>1483</v>
      </c>
      <c r="B1492" s="79" t="s">
        <v>7168</v>
      </c>
      <c r="C1492" s="148" t="s">
        <v>8</v>
      </c>
      <c r="D1492" s="80" t="s">
        <v>63</v>
      </c>
      <c r="E1492" s="27" t="s">
        <v>6082</v>
      </c>
      <c r="F1492" s="80" t="s">
        <v>65</v>
      </c>
      <c r="G1492" s="81" t="s">
        <v>2474</v>
      </c>
      <c r="H1492" s="80" t="s">
        <v>6083</v>
      </c>
      <c r="I1492" s="92">
        <v>45880</v>
      </c>
      <c r="J1492" s="80" t="s">
        <v>3505</v>
      </c>
      <c r="K1492" s="80" t="s">
        <v>69</v>
      </c>
      <c r="L1492" s="84" t="s">
        <v>251</v>
      </c>
      <c r="M1492" s="84" t="s">
        <v>904</v>
      </c>
      <c r="N1492" s="84" t="s">
        <v>1191</v>
      </c>
      <c r="O1492" s="194" t="s">
        <v>7169</v>
      </c>
      <c r="P1492" s="194" t="s">
        <v>7170</v>
      </c>
      <c r="Q1492" s="49" t="s">
        <v>75</v>
      </c>
      <c r="R1492" s="25" t="s">
        <v>91</v>
      </c>
      <c r="S1492" s="26">
        <v>22</v>
      </c>
      <c r="T1492" s="26">
        <v>48</v>
      </c>
      <c r="U1492" s="28" t="s">
        <v>7171</v>
      </c>
      <c r="V1492" s="66"/>
      <c r="W1492" s="106"/>
      <c r="X1492" s="106" t="s">
        <v>176</v>
      </c>
      <c r="Y1492" s="26"/>
      <c r="Z1492" s="75" t="s">
        <v>93</v>
      </c>
      <c r="AA1492" s="30"/>
    </row>
    <row r="1493" spans="1:28" ht="32.25" hidden="1" customHeight="1">
      <c r="A1493" s="98">
        <v>1484</v>
      </c>
      <c r="B1493" s="79" t="s">
        <v>7172</v>
      </c>
      <c r="C1493" s="148" t="s">
        <v>399</v>
      </c>
      <c r="D1493" s="80" t="s">
        <v>83</v>
      </c>
      <c r="E1493" s="27" t="s">
        <v>3147</v>
      </c>
      <c r="F1493" s="80" t="s">
        <v>109</v>
      </c>
      <c r="G1493" s="81" t="s">
        <v>2362</v>
      </c>
      <c r="H1493" s="80" t="s">
        <v>3148</v>
      </c>
      <c r="I1493" s="92">
        <v>45882</v>
      </c>
      <c r="J1493" s="80" t="s">
        <v>3505</v>
      </c>
      <c r="K1493" s="80" t="s">
        <v>69</v>
      </c>
      <c r="L1493" s="84" t="s">
        <v>251</v>
      </c>
      <c r="M1493" s="84" t="s">
        <v>904</v>
      </c>
      <c r="N1493" s="84" t="s">
        <v>1191</v>
      </c>
      <c r="O1493" s="194" t="s">
        <v>7173</v>
      </c>
      <c r="P1493" s="194" t="s">
        <v>7174</v>
      </c>
      <c r="Q1493" s="49" t="s">
        <v>75</v>
      </c>
      <c r="R1493" s="25" t="s">
        <v>91</v>
      </c>
      <c r="S1493" s="26">
        <v>22</v>
      </c>
      <c r="T1493" s="26">
        <v>54</v>
      </c>
      <c r="U1493" s="28" t="s">
        <v>7175</v>
      </c>
      <c r="V1493" s="66"/>
      <c r="W1493" s="106"/>
      <c r="X1493" s="106" t="s">
        <v>176</v>
      </c>
      <c r="Y1493" s="26"/>
      <c r="Z1493" s="75" t="s">
        <v>93</v>
      </c>
      <c r="AA1493" s="30"/>
    </row>
    <row r="1494" spans="1:28" ht="32.25" hidden="1" customHeight="1">
      <c r="A1494" s="98">
        <v>1485</v>
      </c>
      <c r="B1494" s="79" t="s">
        <v>7176</v>
      </c>
      <c r="C1494" s="148" t="s">
        <v>8</v>
      </c>
      <c r="D1494" s="80" t="s">
        <v>63</v>
      </c>
      <c r="E1494" s="27" t="s">
        <v>2790</v>
      </c>
      <c r="F1494" s="80" t="s">
        <v>338</v>
      </c>
      <c r="G1494" s="81" t="s">
        <v>995</v>
      </c>
      <c r="H1494" s="80" t="s">
        <v>2791</v>
      </c>
      <c r="I1494" s="92">
        <v>45882</v>
      </c>
      <c r="J1494" s="80" t="s">
        <v>170</v>
      </c>
      <c r="K1494" s="80" t="s">
        <v>156</v>
      </c>
      <c r="L1494" s="84" t="s">
        <v>171</v>
      </c>
      <c r="M1494" s="84" t="s">
        <v>71</v>
      </c>
      <c r="N1494" s="84" t="s">
        <v>72</v>
      </c>
      <c r="O1494" s="194" t="s">
        <v>7177</v>
      </c>
      <c r="P1494" s="194" t="s">
        <v>7178</v>
      </c>
      <c r="Q1494" s="49" t="s">
        <v>75</v>
      </c>
      <c r="R1494" s="25" t="s">
        <v>91</v>
      </c>
      <c r="S1494" s="26">
        <v>18</v>
      </c>
      <c r="T1494" s="26">
        <v>66</v>
      </c>
      <c r="U1494" s="28" t="s">
        <v>7179</v>
      </c>
      <c r="V1494" s="66"/>
      <c r="W1494" s="106"/>
      <c r="X1494" s="106" t="s">
        <v>176</v>
      </c>
      <c r="Y1494" s="26"/>
      <c r="Z1494" s="75" t="s">
        <v>93</v>
      </c>
      <c r="AA1494" s="30"/>
    </row>
    <row r="1495" spans="1:28" ht="32.25" hidden="1" customHeight="1">
      <c r="A1495" s="98">
        <v>1486</v>
      </c>
      <c r="B1495" s="79" t="s">
        <v>7180</v>
      </c>
      <c r="C1495" s="148" t="s">
        <v>399</v>
      </c>
      <c r="D1495" s="80" t="s">
        <v>83</v>
      </c>
      <c r="E1495" s="27" t="s">
        <v>5103</v>
      </c>
      <c r="F1495" s="80" t="s">
        <v>109</v>
      </c>
      <c r="G1495" s="81" t="s">
        <v>2208</v>
      </c>
      <c r="H1495" s="80" t="s">
        <v>5104</v>
      </c>
      <c r="I1495" s="92">
        <v>45882</v>
      </c>
      <c r="J1495" s="80" t="s">
        <v>3505</v>
      </c>
      <c r="K1495" s="80" t="s">
        <v>69</v>
      </c>
      <c r="L1495" s="84" t="s">
        <v>70</v>
      </c>
      <c r="M1495" s="84" t="s">
        <v>252</v>
      </c>
      <c r="N1495" s="84" t="s">
        <v>920</v>
      </c>
      <c r="O1495" s="194" t="s">
        <v>7181</v>
      </c>
      <c r="P1495" s="194" t="s">
        <v>7182</v>
      </c>
      <c r="Q1495" s="49" t="s">
        <v>75</v>
      </c>
      <c r="R1495" s="25" t="s">
        <v>75</v>
      </c>
      <c r="S1495" s="26">
        <v>24</v>
      </c>
      <c r="T1495" s="26">
        <v>72</v>
      </c>
      <c r="U1495" s="28" t="s">
        <v>7183</v>
      </c>
      <c r="V1495" s="66" t="s">
        <v>75</v>
      </c>
      <c r="W1495" s="106" t="s">
        <v>6686</v>
      </c>
      <c r="X1495" s="106" t="s">
        <v>176</v>
      </c>
      <c r="Y1495" s="26" t="s">
        <v>176</v>
      </c>
      <c r="Z1495" s="75" t="s">
        <v>79</v>
      </c>
      <c r="AA1495" s="30"/>
    </row>
    <row r="1496" spans="1:28" ht="32.25" hidden="1" customHeight="1">
      <c r="A1496" s="98">
        <v>1487</v>
      </c>
      <c r="B1496" s="79" t="s">
        <v>7184</v>
      </c>
      <c r="C1496" s="148" t="s">
        <v>8</v>
      </c>
      <c r="D1496" s="80" t="s">
        <v>63</v>
      </c>
      <c r="E1496" s="27" t="s">
        <v>7185</v>
      </c>
      <c r="F1496" s="80" t="s">
        <v>338</v>
      </c>
      <c r="G1496" s="81" t="s">
        <v>686</v>
      </c>
      <c r="H1496" s="80" t="s">
        <v>7186</v>
      </c>
      <c r="I1496" s="92">
        <v>45885</v>
      </c>
      <c r="J1496" s="80" t="s">
        <v>3595</v>
      </c>
      <c r="K1496" s="80" t="s">
        <v>69</v>
      </c>
      <c r="L1496" s="84" t="s">
        <v>251</v>
      </c>
      <c r="M1496" s="84" t="s">
        <v>784</v>
      </c>
      <c r="N1496" s="84" t="s">
        <v>72</v>
      </c>
      <c r="O1496" s="194" t="s">
        <v>7187</v>
      </c>
      <c r="P1496" s="194" t="s">
        <v>7188</v>
      </c>
      <c r="Q1496" s="49" t="s">
        <v>75</v>
      </c>
      <c r="R1496" s="25" t="s">
        <v>504</v>
      </c>
      <c r="S1496" s="26">
        <v>22</v>
      </c>
      <c r="T1496" s="26"/>
      <c r="U1496" s="28" t="s">
        <v>7189</v>
      </c>
      <c r="V1496" s="66"/>
      <c r="W1496" s="106"/>
      <c r="X1496" s="106" t="s">
        <v>176</v>
      </c>
      <c r="Y1496" s="26"/>
      <c r="Z1496" s="75" t="s">
        <v>106</v>
      </c>
      <c r="AA1496" s="30"/>
    </row>
    <row r="1497" spans="1:28" ht="49.5" hidden="1">
      <c r="A1497" s="98">
        <v>1488</v>
      </c>
      <c r="B1497" s="79" t="s">
        <v>7190</v>
      </c>
      <c r="C1497" s="148" t="s">
        <v>8</v>
      </c>
      <c r="D1497" s="80" t="s">
        <v>63</v>
      </c>
      <c r="E1497" s="27" t="s">
        <v>7191</v>
      </c>
      <c r="F1497" s="80" t="s">
        <v>65</v>
      </c>
      <c r="G1497" s="81" t="s">
        <v>995</v>
      </c>
      <c r="H1497" s="80" t="s">
        <v>7192</v>
      </c>
      <c r="I1497" s="92">
        <v>45887</v>
      </c>
      <c r="J1497" s="80" t="s">
        <v>3941</v>
      </c>
      <c r="K1497" s="80" t="s">
        <v>112</v>
      </c>
      <c r="L1497" s="84" t="s">
        <v>122</v>
      </c>
      <c r="M1497" s="84" t="s">
        <v>784</v>
      </c>
      <c r="N1497" s="84" t="s">
        <v>72</v>
      </c>
      <c r="O1497" s="194" t="s">
        <v>7193</v>
      </c>
      <c r="P1497" s="194" t="s">
        <v>7194</v>
      </c>
      <c r="Q1497" s="49" t="s">
        <v>91</v>
      </c>
      <c r="R1497" s="25"/>
      <c r="S1497" s="26">
        <v>11</v>
      </c>
      <c r="T1497" s="26"/>
      <c r="U1497" s="28" t="s">
        <v>7195</v>
      </c>
      <c r="V1497" s="66"/>
      <c r="W1497" s="106"/>
      <c r="X1497" s="106" t="s">
        <v>76</v>
      </c>
      <c r="Y1497" s="26"/>
      <c r="Z1497" s="75" t="s">
        <v>193</v>
      </c>
      <c r="AA1497" s="30"/>
    </row>
    <row r="1498" spans="1:28" ht="49.5" hidden="1">
      <c r="A1498" s="98">
        <v>1489</v>
      </c>
      <c r="B1498" s="79" t="s">
        <v>7196</v>
      </c>
      <c r="C1498" s="148" t="s">
        <v>8</v>
      </c>
      <c r="D1498" s="80" t="s">
        <v>63</v>
      </c>
      <c r="E1498" s="27" t="s">
        <v>2636</v>
      </c>
      <c r="F1498" s="80" t="s">
        <v>120</v>
      </c>
      <c r="G1498" s="81" t="s">
        <v>995</v>
      </c>
      <c r="H1498" s="80" t="s">
        <v>2637</v>
      </c>
      <c r="I1498" s="92">
        <v>45887</v>
      </c>
      <c r="J1498" s="80" t="s">
        <v>3543</v>
      </c>
      <c r="K1498" s="80" t="s">
        <v>112</v>
      </c>
      <c r="L1498" s="84" t="s">
        <v>122</v>
      </c>
      <c r="M1498" s="84" t="s">
        <v>114</v>
      </c>
      <c r="N1498" s="84" t="s">
        <v>72</v>
      </c>
      <c r="O1498" s="194" t="s">
        <v>7197</v>
      </c>
      <c r="P1498" s="194" t="s">
        <v>7198</v>
      </c>
      <c r="Q1498" s="49" t="s">
        <v>91</v>
      </c>
      <c r="R1498" s="25"/>
      <c r="S1498" s="26">
        <v>12</v>
      </c>
      <c r="T1498" s="26"/>
      <c r="U1498" s="28" t="s">
        <v>7199</v>
      </c>
      <c r="V1498" s="66"/>
      <c r="W1498" s="106"/>
      <c r="X1498" s="106" t="s">
        <v>76</v>
      </c>
      <c r="Y1498" s="26"/>
      <c r="Z1498" s="75" t="s">
        <v>193</v>
      </c>
      <c r="AA1498" s="30"/>
    </row>
    <row r="1499" spans="1:28" ht="32.25" hidden="1" customHeight="1">
      <c r="A1499" s="98">
        <v>1490</v>
      </c>
      <c r="B1499" s="79" t="s">
        <v>7200</v>
      </c>
      <c r="C1499" s="148" t="s">
        <v>8</v>
      </c>
      <c r="D1499" s="80" t="s">
        <v>63</v>
      </c>
      <c r="E1499" s="27" t="s">
        <v>3589</v>
      </c>
      <c r="F1499" s="80" t="s">
        <v>109</v>
      </c>
      <c r="G1499" s="81" t="s">
        <v>995</v>
      </c>
      <c r="H1499" s="80" t="s">
        <v>3590</v>
      </c>
      <c r="I1499" s="92">
        <v>45888</v>
      </c>
      <c r="J1499" s="80" t="s">
        <v>3505</v>
      </c>
      <c r="K1499" s="80" t="s">
        <v>69</v>
      </c>
      <c r="L1499" s="84" t="s">
        <v>251</v>
      </c>
      <c r="M1499" s="84" t="s">
        <v>595</v>
      </c>
      <c r="N1499" s="84" t="s">
        <v>72</v>
      </c>
      <c r="O1499" s="194" t="s">
        <v>7201</v>
      </c>
      <c r="P1499" s="194" t="s">
        <v>7202</v>
      </c>
      <c r="Q1499" s="49" t="s">
        <v>91</v>
      </c>
      <c r="R1499" s="25"/>
      <c r="S1499" s="26">
        <v>16</v>
      </c>
      <c r="T1499" s="26"/>
      <c r="U1499" s="28" t="s">
        <v>7203</v>
      </c>
      <c r="V1499" s="66"/>
      <c r="W1499" s="106"/>
      <c r="X1499" s="106" t="s">
        <v>76</v>
      </c>
      <c r="Y1499" s="26"/>
      <c r="Z1499" s="75" t="s">
        <v>193</v>
      </c>
      <c r="AA1499" s="30"/>
    </row>
    <row r="1500" spans="1:28" ht="49.5" hidden="1">
      <c r="A1500" s="98">
        <v>1491</v>
      </c>
      <c r="B1500" s="79" t="s">
        <v>7204</v>
      </c>
      <c r="C1500" s="148" t="s">
        <v>8</v>
      </c>
      <c r="D1500" s="80" t="s">
        <v>63</v>
      </c>
      <c r="E1500" s="27" t="s">
        <v>7205</v>
      </c>
      <c r="F1500" s="80" t="s">
        <v>65</v>
      </c>
      <c r="G1500" s="81" t="s">
        <v>995</v>
      </c>
      <c r="H1500" s="80" t="s">
        <v>7206</v>
      </c>
      <c r="I1500" s="92">
        <v>45888</v>
      </c>
      <c r="J1500" s="80" t="s">
        <v>3543</v>
      </c>
      <c r="K1500" s="80" t="s">
        <v>112</v>
      </c>
      <c r="L1500" s="84" t="s">
        <v>122</v>
      </c>
      <c r="M1500" s="84" t="s">
        <v>114</v>
      </c>
      <c r="N1500" s="84" t="s">
        <v>72</v>
      </c>
      <c r="O1500" s="194" t="s">
        <v>7207</v>
      </c>
      <c r="P1500" s="194" t="s">
        <v>7208</v>
      </c>
      <c r="Q1500" s="49" t="s">
        <v>75</v>
      </c>
      <c r="R1500" s="25" t="s">
        <v>91</v>
      </c>
      <c r="S1500" s="26">
        <v>23</v>
      </c>
      <c r="T1500" s="26">
        <v>61</v>
      </c>
      <c r="U1500" s="28" t="s">
        <v>7209</v>
      </c>
      <c r="V1500" s="66"/>
      <c r="W1500" s="106"/>
      <c r="X1500" s="106" t="s">
        <v>176</v>
      </c>
      <c r="Y1500" s="26"/>
      <c r="Z1500" s="75" t="s">
        <v>93</v>
      </c>
      <c r="AA1500" s="30"/>
    </row>
    <row r="1501" spans="1:28" ht="49.5" hidden="1">
      <c r="A1501" s="98">
        <v>1492</v>
      </c>
      <c r="B1501" s="79" t="s">
        <v>7210</v>
      </c>
      <c r="C1501" s="148" t="s">
        <v>8</v>
      </c>
      <c r="D1501" s="80" t="s">
        <v>63</v>
      </c>
      <c r="E1501" s="27" t="s">
        <v>3510</v>
      </c>
      <c r="F1501" s="80" t="s">
        <v>120</v>
      </c>
      <c r="G1501" s="81" t="s">
        <v>818</v>
      </c>
      <c r="H1501" s="80" t="s">
        <v>3511</v>
      </c>
      <c r="I1501" s="92">
        <v>45888</v>
      </c>
      <c r="J1501" s="80" t="s">
        <v>3543</v>
      </c>
      <c r="K1501" s="80" t="s">
        <v>112</v>
      </c>
      <c r="L1501" s="84" t="s">
        <v>122</v>
      </c>
      <c r="M1501" s="84" t="s">
        <v>114</v>
      </c>
      <c r="N1501" s="84" t="s">
        <v>72</v>
      </c>
      <c r="O1501" s="194" t="s">
        <v>7211</v>
      </c>
      <c r="P1501" s="194" t="s">
        <v>7212</v>
      </c>
      <c r="Q1501" s="49" t="s">
        <v>75</v>
      </c>
      <c r="R1501" s="25" t="s">
        <v>91</v>
      </c>
      <c r="S1501" s="26">
        <v>25</v>
      </c>
      <c r="T1501" s="26">
        <v>66</v>
      </c>
      <c r="U1501" s="28" t="s">
        <v>7213</v>
      </c>
      <c r="V1501" s="66"/>
      <c r="W1501" s="106"/>
      <c r="X1501" s="106" t="s">
        <v>176</v>
      </c>
      <c r="Y1501" s="26"/>
      <c r="Z1501" s="75" t="s">
        <v>93</v>
      </c>
      <c r="AA1501" s="30"/>
    </row>
    <row r="1502" spans="1:28" ht="32.25" hidden="1" customHeight="1">
      <c r="A1502" s="98">
        <v>1493</v>
      </c>
      <c r="B1502" s="79" t="s">
        <v>7214</v>
      </c>
      <c r="C1502" s="148" t="s">
        <v>8</v>
      </c>
      <c r="D1502" s="80" t="s">
        <v>63</v>
      </c>
      <c r="E1502" s="27" t="s">
        <v>4034</v>
      </c>
      <c r="F1502" s="80" t="s">
        <v>338</v>
      </c>
      <c r="G1502" s="81" t="s">
        <v>1132</v>
      </c>
      <c r="H1502" s="80" t="s">
        <v>4035</v>
      </c>
      <c r="I1502" s="92">
        <v>45888</v>
      </c>
      <c r="J1502" s="80" t="s">
        <v>3505</v>
      </c>
      <c r="K1502" s="80" t="s">
        <v>69</v>
      </c>
      <c r="L1502" s="84" t="s">
        <v>251</v>
      </c>
      <c r="M1502" s="84" t="s">
        <v>904</v>
      </c>
      <c r="N1502" s="84" t="s">
        <v>920</v>
      </c>
      <c r="O1502" s="194" t="s">
        <v>7215</v>
      </c>
      <c r="P1502" s="194" t="s">
        <v>7216</v>
      </c>
      <c r="Q1502" s="49" t="s">
        <v>91</v>
      </c>
      <c r="R1502" s="25"/>
      <c r="S1502" s="26">
        <v>12</v>
      </c>
      <c r="T1502" s="26"/>
      <c r="U1502" s="28" t="s">
        <v>7217</v>
      </c>
      <c r="V1502" s="66"/>
      <c r="W1502" s="106"/>
      <c r="X1502" s="106" t="s">
        <v>76</v>
      </c>
      <c r="Y1502" s="26"/>
      <c r="Z1502" s="75" t="s">
        <v>193</v>
      </c>
      <c r="AA1502" s="30"/>
    </row>
    <row r="1503" spans="1:28" ht="32.25" hidden="1" customHeight="1">
      <c r="A1503" s="98">
        <v>1494</v>
      </c>
      <c r="B1503" s="79" t="s">
        <v>7218</v>
      </c>
      <c r="C1503" s="148" t="s">
        <v>8</v>
      </c>
      <c r="D1503" s="80" t="s">
        <v>63</v>
      </c>
      <c r="E1503" s="27" t="s">
        <v>4034</v>
      </c>
      <c r="F1503" s="80" t="s">
        <v>338</v>
      </c>
      <c r="G1503" s="81" t="s">
        <v>1132</v>
      </c>
      <c r="H1503" s="80" t="s">
        <v>4035</v>
      </c>
      <c r="I1503" s="92">
        <v>45888</v>
      </c>
      <c r="J1503" s="80" t="s">
        <v>3505</v>
      </c>
      <c r="K1503" s="80" t="s">
        <v>69</v>
      </c>
      <c r="L1503" s="84" t="s">
        <v>251</v>
      </c>
      <c r="M1503" s="84" t="s">
        <v>595</v>
      </c>
      <c r="N1503" s="84" t="s">
        <v>72</v>
      </c>
      <c r="O1503" s="194" t="s">
        <v>7219</v>
      </c>
      <c r="P1503" s="194" t="s">
        <v>7220</v>
      </c>
      <c r="Q1503" s="49" t="s">
        <v>91</v>
      </c>
      <c r="R1503" s="25"/>
      <c r="S1503" s="26">
        <v>10</v>
      </c>
      <c r="T1503" s="26"/>
      <c r="U1503" s="28" t="s">
        <v>7221</v>
      </c>
      <c r="V1503" s="66"/>
      <c r="W1503" s="106"/>
      <c r="X1503" s="106" t="s">
        <v>76</v>
      </c>
      <c r="Y1503" s="26"/>
      <c r="Z1503" s="75" t="s">
        <v>193</v>
      </c>
      <c r="AA1503" s="30"/>
      <c r="AB1503" s="25" t="s">
        <v>75</v>
      </c>
    </row>
    <row r="1504" spans="1:28" ht="32.25" hidden="1" customHeight="1">
      <c r="A1504" s="98">
        <v>1495</v>
      </c>
      <c r="B1504" s="79" t="s">
        <v>7222</v>
      </c>
      <c r="C1504" s="148" t="s">
        <v>10</v>
      </c>
      <c r="D1504" s="80" t="s">
        <v>63</v>
      </c>
      <c r="E1504" s="27" t="s">
        <v>6380</v>
      </c>
      <c r="F1504" s="80" t="s">
        <v>120</v>
      </c>
      <c r="G1504" s="81" t="s">
        <v>6381</v>
      </c>
      <c r="H1504" s="80" t="s">
        <v>6382</v>
      </c>
      <c r="I1504" s="92">
        <v>45888</v>
      </c>
      <c r="J1504" s="80" t="s">
        <v>4066</v>
      </c>
      <c r="K1504" s="80" t="s">
        <v>3373</v>
      </c>
      <c r="L1504" s="84" t="s">
        <v>10</v>
      </c>
      <c r="M1504" s="84" t="s">
        <v>252</v>
      </c>
      <c r="N1504" s="84" t="s">
        <v>72</v>
      </c>
      <c r="O1504" s="309" t="s">
        <v>7223</v>
      </c>
      <c r="P1504" s="194" t="s">
        <v>7224</v>
      </c>
      <c r="Q1504" s="49" t="s">
        <v>75</v>
      </c>
      <c r="R1504" s="25" t="s">
        <v>91</v>
      </c>
      <c r="S1504" s="26">
        <v>20</v>
      </c>
      <c r="T1504" s="26">
        <v>46</v>
      </c>
      <c r="U1504" s="28" t="s">
        <v>7225</v>
      </c>
      <c r="V1504" s="66"/>
      <c r="W1504" s="106"/>
      <c r="X1504" s="106" t="s">
        <v>176</v>
      </c>
      <c r="Y1504" s="26"/>
      <c r="Z1504" s="75" t="s">
        <v>93</v>
      </c>
      <c r="AA1504" s="30"/>
    </row>
    <row r="1505" spans="1:28" ht="32.25" customHeight="1">
      <c r="A1505" s="98">
        <v>1496</v>
      </c>
      <c r="B1505" s="79" t="s">
        <v>7226</v>
      </c>
      <c r="C1505" s="148" t="s">
        <v>9</v>
      </c>
      <c r="D1505" s="80" t="s">
        <v>83</v>
      </c>
      <c r="E1505" s="27" t="s">
        <v>3939</v>
      </c>
      <c r="F1505" s="80" t="s">
        <v>338</v>
      </c>
      <c r="G1505" s="81" t="s">
        <v>1286</v>
      </c>
      <c r="H1505" s="80" t="s">
        <v>3940</v>
      </c>
      <c r="I1505" s="92">
        <v>45889</v>
      </c>
      <c r="J1505" s="80" t="s">
        <v>4385</v>
      </c>
      <c r="K1505" s="80" t="s">
        <v>4386</v>
      </c>
      <c r="L1505" s="84" t="s">
        <v>4387</v>
      </c>
      <c r="M1505" s="84" t="s">
        <v>252</v>
      </c>
      <c r="N1505" s="84" t="s">
        <v>920</v>
      </c>
      <c r="O1505" s="194" t="s">
        <v>7227</v>
      </c>
      <c r="P1505" s="194" t="s">
        <v>7228</v>
      </c>
      <c r="Q1505" s="49" t="s">
        <v>75</v>
      </c>
      <c r="R1505" s="25" t="s">
        <v>91</v>
      </c>
      <c r="S1505" s="26">
        <v>21</v>
      </c>
      <c r="T1505" s="26">
        <v>68</v>
      </c>
      <c r="U1505" s="28" t="s">
        <v>7229</v>
      </c>
      <c r="V1505" s="66"/>
      <c r="W1505" s="106"/>
      <c r="X1505" s="106" t="s">
        <v>176</v>
      </c>
      <c r="Y1505" s="26"/>
      <c r="Z1505" s="75" t="s">
        <v>93</v>
      </c>
      <c r="AA1505" s="30"/>
    </row>
    <row r="1506" spans="1:28" ht="88.5" hidden="1" customHeight="1">
      <c r="A1506" s="98">
        <v>1480</v>
      </c>
      <c r="B1506" s="79" t="s">
        <v>7230</v>
      </c>
      <c r="C1506" s="148" t="s">
        <v>8</v>
      </c>
      <c r="D1506" s="80" t="s">
        <v>83</v>
      </c>
      <c r="E1506" s="27" t="s">
        <v>432</v>
      </c>
      <c r="F1506" s="80" t="s">
        <v>120</v>
      </c>
      <c r="G1506" s="81" t="s">
        <v>339</v>
      </c>
      <c r="H1506" s="80" t="s">
        <v>433</v>
      </c>
      <c r="I1506" s="202">
        <v>45877</v>
      </c>
      <c r="J1506" s="80" t="s">
        <v>3999</v>
      </c>
      <c r="K1506" s="80" t="s">
        <v>198</v>
      </c>
      <c r="L1506" s="84" t="s">
        <v>199</v>
      </c>
      <c r="M1506" s="84" t="s">
        <v>114</v>
      </c>
      <c r="N1506" s="84" t="s">
        <v>72</v>
      </c>
      <c r="O1506" s="194" t="s">
        <v>7231</v>
      </c>
      <c r="P1506" s="194" t="s">
        <v>7232</v>
      </c>
      <c r="Q1506" s="49" t="s">
        <v>75</v>
      </c>
      <c r="R1506" s="25" t="s">
        <v>75</v>
      </c>
      <c r="S1506" s="26">
        <v>26</v>
      </c>
      <c r="T1506" s="26">
        <v>78</v>
      </c>
      <c r="U1506" s="28" t="s">
        <v>7233</v>
      </c>
      <c r="V1506" s="66" t="s">
        <v>75</v>
      </c>
      <c r="W1506" s="106" t="s">
        <v>6686</v>
      </c>
      <c r="X1506" s="106" t="s">
        <v>176</v>
      </c>
      <c r="Y1506" s="26" t="s">
        <v>176</v>
      </c>
      <c r="Z1506" s="75" t="s">
        <v>79</v>
      </c>
      <c r="AA1506" s="30"/>
    </row>
    <row r="1507" spans="1:28" ht="32.25" hidden="1" customHeight="1">
      <c r="A1507" s="98">
        <v>1497</v>
      </c>
      <c r="B1507" s="79" t="s">
        <v>7234</v>
      </c>
      <c r="C1507" s="148" t="s">
        <v>8</v>
      </c>
      <c r="D1507" s="80" t="s">
        <v>63</v>
      </c>
      <c r="E1507" s="27" t="s">
        <v>2636</v>
      </c>
      <c r="F1507" s="80" t="s">
        <v>120</v>
      </c>
      <c r="G1507" s="81" t="s">
        <v>995</v>
      </c>
      <c r="H1507" s="80" t="s">
        <v>2637</v>
      </c>
      <c r="I1507" s="202">
        <v>45889</v>
      </c>
      <c r="J1507" s="80" t="s">
        <v>3500</v>
      </c>
      <c r="K1507" s="80" t="s">
        <v>198</v>
      </c>
      <c r="L1507" s="84" t="s">
        <v>199</v>
      </c>
      <c r="M1507" s="84" t="s">
        <v>221</v>
      </c>
      <c r="N1507" s="84" t="s">
        <v>72</v>
      </c>
      <c r="O1507" s="194" t="s">
        <v>7235</v>
      </c>
      <c r="P1507" s="194" t="s">
        <v>7236</v>
      </c>
      <c r="Q1507" s="49" t="s">
        <v>91</v>
      </c>
      <c r="R1507" s="25"/>
      <c r="S1507" s="26">
        <v>3</v>
      </c>
      <c r="T1507" s="26"/>
      <c r="U1507" s="28" t="s">
        <v>7237</v>
      </c>
      <c r="V1507" s="66"/>
      <c r="W1507" s="106"/>
      <c r="X1507" s="106" t="s">
        <v>76</v>
      </c>
      <c r="Y1507" s="26"/>
      <c r="Z1507" s="75" t="s">
        <v>193</v>
      </c>
      <c r="AA1507" s="30"/>
      <c r="AB1507" s="25" t="s">
        <v>75</v>
      </c>
    </row>
    <row r="1508" spans="1:28" ht="32.25" hidden="1" customHeight="1">
      <c r="A1508" s="98">
        <v>1498</v>
      </c>
      <c r="B1508" s="79" t="s">
        <v>7238</v>
      </c>
      <c r="C1508" s="148" t="s">
        <v>399</v>
      </c>
      <c r="D1508" s="80" t="s">
        <v>83</v>
      </c>
      <c r="E1508" s="27" t="s">
        <v>4275</v>
      </c>
      <c r="F1508" s="80" t="s">
        <v>120</v>
      </c>
      <c r="G1508" s="81" t="s">
        <v>2362</v>
      </c>
      <c r="H1508" s="80" t="s">
        <v>4276</v>
      </c>
      <c r="I1508" s="92">
        <v>45889</v>
      </c>
      <c r="J1508" s="80" t="s">
        <v>3505</v>
      </c>
      <c r="K1508" s="80" t="s">
        <v>69</v>
      </c>
      <c r="L1508" s="84" t="s">
        <v>251</v>
      </c>
      <c r="M1508" s="84" t="s">
        <v>252</v>
      </c>
      <c r="N1508" s="84" t="s">
        <v>920</v>
      </c>
      <c r="O1508" s="194" t="s">
        <v>7239</v>
      </c>
      <c r="P1508" s="194" t="s">
        <v>7240</v>
      </c>
      <c r="Q1508" s="49" t="s">
        <v>75</v>
      </c>
      <c r="R1508" s="25" t="s">
        <v>75</v>
      </c>
      <c r="S1508" s="26">
        <v>24</v>
      </c>
      <c r="T1508" s="26">
        <v>76</v>
      </c>
      <c r="U1508" s="28" t="s">
        <v>7241</v>
      </c>
      <c r="V1508" s="66" t="s">
        <v>75</v>
      </c>
      <c r="W1508" s="106" t="s">
        <v>6686</v>
      </c>
      <c r="X1508" s="106" t="s">
        <v>176</v>
      </c>
      <c r="Y1508" s="106" t="s">
        <v>176</v>
      </c>
      <c r="Z1508" s="75" t="s">
        <v>79</v>
      </c>
      <c r="AA1508" s="30"/>
    </row>
    <row r="1509" spans="1:28" ht="32.25" hidden="1" customHeight="1">
      <c r="A1509" s="98">
        <v>1499</v>
      </c>
      <c r="B1509" s="79" t="s">
        <v>7242</v>
      </c>
      <c r="C1509" s="148" t="s">
        <v>8</v>
      </c>
      <c r="D1509" s="80" t="s">
        <v>63</v>
      </c>
      <c r="E1509" s="27" t="s">
        <v>3400</v>
      </c>
      <c r="F1509" s="80" t="s">
        <v>65</v>
      </c>
      <c r="G1509" s="81" t="s">
        <v>818</v>
      </c>
      <c r="H1509" s="80" t="s">
        <v>3401</v>
      </c>
      <c r="I1509" s="92">
        <v>45889</v>
      </c>
      <c r="J1509" s="80" t="s">
        <v>3526</v>
      </c>
      <c r="K1509" s="80" t="s">
        <v>299</v>
      </c>
      <c r="L1509" s="84" t="s">
        <v>189</v>
      </c>
      <c r="M1509" s="84" t="s">
        <v>114</v>
      </c>
      <c r="N1509" s="84" t="s">
        <v>920</v>
      </c>
      <c r="O1509" s="194" t="s">
        <v>7243</v>
      </c>
      <c r="P1509" s="194" t="s">
        <v>7244</v>
      </c>
      <c r="Q1509" s="49" t="s">
        <v>75</v>
      </c>
      <c r="R1509" s="25" t="s">
        <v>91</v>
      </c>
      <c r="S1509" s="26">
        <v>21</v>
      </c>
      <c r="T1509" s="26">
        <v>61</v>
      </c>
      <c r="U1509" s="28" t="s">
        <v>7245</v>
      </c>
      <c r="V1509" s="66"/>
      <c r="W1509" s="106"/>
      <c r="X1509" s="106" t="s">
        <v>176</v>
      </c>
      <c r="Y1509" s="26"/>
      <c r="Z1509" s="75" t="s">
        <v>93</v>
      </c>
      <c r="AA1509" s="30"/>
    </row>
    <row r="1510" spans="1:28" ht="32.25" hidden="1" customHeight="1">
      <c r="A1510" s="98">
        <v>1500</v>
      </c>
      <c r="B1510" s="79" t="s">
        <v>7246</v>
      </c>
      <c r="C1510" s="148" t="s">
        <v>237</v>
      </c>
      <c r="D1510" s="80" t="s">
        <v>83</v>
      </c>
      <c r="E1510" s="27" t="s">
        <v>844</v>
      </c>
      <c r="F1510" s="80" t="s">
        <v>109</v>
      </c>
      <c r="G1510" s="81" t="s">
        <v>290</v>
      </c>
      <c r="H1510" s="80" t="s">
        <v>845</v>
      </c>
      <c r="I1510" s="92">
        <v>45890</v>
      </c>
      <c r="J1510" s="80" t="s">
        <v>145</v>
      </c>
      <c r="K1510" s="80" t="s">
        <v>146</v>
      </c>
      <c r="L1510" s="84" t="s">
        <v>147</v>
      </c>
      <c r="M1510" s="84" t="s">
        <v>148</v>
      </c>
      <c r="N1510" s="84" t="s">
        <v>72</v>
      </c>
      <c r="O1510" s="194" t="s">
        <v>7247</v>
      </c>
      <c r="P1510" s="194" t="s">
        <v>7248</v>
      </c>
      <c r="Q1510" s="49" t="s">
        <v>75</v>
      </c>
      <c r="R1510" s="25" t="s">
        <v>75</v>
      </c>
      <c r="S1510" s="26">
        <v>22</v>
      </c>
      <c r="T1510" s="26">
        <v>74</v>
      </c>
      <c r="U1510" s="28" t="s">
        <v>6807</v>
      </c>
      <c r="V1510" s="66" t="s">
        <v>75</v>
      </c>
      <c r="W1510" s="106" t="s">
        <v>1511</v>
      </c>
      <c r="X1510" s="106" t="s">
        <v>176</v>
      </c>
      <c r="Y1510" s="106" t="s">
        <v>176</v>
      </c>
      <c r="Z1510" s="75" t="s">
        <v>106</v>
      </c>
      <c r="AA1510" s="30"/>
    </row>
    <row r="1511" spans="1:28" ht="74.25" hidden="1" customHeight="1">
      <c r="A1511" s="98">
        <v>1501</v>
      </c>
      <c r="B1511" s="79" t="s">
        <v>7249</v>
      </c>
      <c r="C1511" s="148" t="s">
        <v>8</v>
      </c>
      <c r="D1511" s="80" t="s">
        <v>63</v>
      </c>
      <c r="E1511" s="27" t="s">
        <v>7250</v>
      </c>
      <c r="F1511" s="80" t="s">
        <v>65</v>
      </c>
      <c r="G1511" s="81" t="s">
        <v>995</v>
      </c>
      <c r="H1511" s="80" t="s">
        <v>7251</v>
      </c>
      <c r="I1511" s="92">
        <v>45891</v>
      </c>
      <c r="J1511" s="80" t="s">
        <v>170</v>
      </c>
      <c r="K1511" s="80" t="s">
        <v>156</v>
      </c>
      <c r="L1511" s="84" t="s">
        <v>171</v>
      </c>
      <c r="M1511" s="84" t="s">
        <v>71</v>
      </c>
      <c r="N1511" s="84" t="s">
        <v>72</v>
      </c>
      <c r="O1511" s="194" t="s">
        <v>7252</v>
      </c>
      <c r="P1511" s="194" t="s">
        <v>7253</v>
      </c>
      <c r="Q1511" s="49" t="s">
        <v>75</v>
      </c>
      <c r="R1511" s="25" t="s">
        <v>91</v>
      </c>
      <c r="S1511" s="26">
        <v>18</v>
      </c>
      <c r="T1511" s="26">
        <v>66</v>
      </c>
      <c r="U1511" s="28" t="s">
        <v>7254</v>
      </c>
      <c r="V1511" s="66"/>
      <c r="W1511" s="106"/>
      <c r="X1511" s="106" t="s">
        <v>176</v>
      </c>
      <c r="Y1511" s="26"/>
      <c r="Z1511" s="75" t="s">
        <v>93</v>
      </c>
      <c r="AA1511" s="30"/>
    </row>
    <row r="1512" spans="1:28" ht="32.25" hidden="1" customHeight="1">
      <c r="A1512" s="98">
        <v>1502</v>
      </c>
      <c r="B1512" s="79" t="s">
        <v>7255</v>
      </c>
      <c r="C1512" s="148" t="s">
        <v>8</v>
      </c>
      <c r="D1512" s="80" t="s">
        <v>83</v>
      </c>
      <c r="E1512" s="27" t="s">
        <v>1279</v>
      </c>
      <c r="F1512" s="80" t="s">
        <v>109</v>
      </c>
      <c r="G1512" s="81" t="s">
        <v>910</v>
      </c>
      <c r="H1512" s="80" t="s">
        <v>1280</v>
      </c>
      <c r="I1512" s="92">
        <v>45891</v>
      </c>
      <c r="J1512" s="80" t="s">
        <v>145</v>
      </c>
      <c r="K1512" s="80" t="s">
        <v>146</v>
      </c>
      <c r="L1512" s="84" t="s">
        <v>147</v>
      </c>
      <c r="M1512" s="84" t="s">
        <v>148</v>
      </c>
      <c r="N1512" s="84" t="s">
        <v>72</v>
      </c>
      <c r="O1512" s="194" t="s">
        <v>7256</v>
      </c>
      <c r="P1512" s="194" t="s">
        <v>7257</v>
      </c>
      <c r="Q1512" s="49" t="s">
        <v>75</v>
      </c>
      <c r="R1512" s="25" t="s">
        <v>75</v>
      </c>
      <c r="S1512" s="26">
        <v>24</v>
      </c>
      <c r="T1512" s="26">
        <v>76</v>
      </c>
      <c r="U1512" s="28" t="s">
        <v>7258</v>
      </c>
      <c r="V1512" s="66"/>
      <c r="W1512" s="106"/>
      <c r="X1512" s="106" t="s">
        <v>176</v>
      </c>
      <c r="Y1512" s="26"/>
      <c r="Z1512" s="75" t="s">
        <v>106</v>
      </c>
      <c r="AA1512" s="30"/>
    </row>
    <row r="1513" spans="1:28" ht="58.5" hidden="1" customHeight="1">
      <c r="A1513" s="98">
        <v>1503</v>
      </c>
      <c r="B1513" s="79" t="s">
        <v>7259</v>
      </c>
      <c r="C1513" s="148" t="s">
        <v>9</v>
      </c>
      <c r="D1513" s="80" t="s">
        <v>83</v>
      </c>
      <c r="E1513" s="27" t="s">
        <v>1321</v>
      </c>
      <c r="F1513" s="80" t="s">
        <v>65</v>
      </c>
      <c r="G1513" s="81" t="s">
        <v>1286</v>
      </c>
      <c r="H1513" s="80" t="s">
        <v>1322</v>
      </c>
      <c r="I1513" s="92">
        <v>45891</v>
      </c>
      <c r="J1513" s="80" t="s">
        <v>3505</v>
      </c>
      <c r="K1513" s="80" t="s">
        <v>69</v>
      </c>
      <c r="L1513" s="84" t="s">
        <v>251</v>
      </c>
      <c r="M1513" s="84" t="s">
        <v>904</v>
      </c>
      <c r="N1513" s="84" t="s">
        <v>920</v>
      </c>
      <c r="O1513" s="194" t="s">
        <v>7260</v>
      </c>
      <c r="P1513" s="194" t="s">
        <v>7261</v>
      </c>
      <c r="Q1513" s="49" t="s">
        <v>91</v>
      </c>
      <c r="R1513" s="25"/>
      <c r="S1513" s="55">
        <v>6</v>
      </c>
      <c r="T1513" s="26"/>
      <c r="U1513" s="28" t="s">
        <v>7262</v>
      </c>
      <c r="V1513" s="66"/>
      <c r="W1513" s="106"/>
      <c r="X1513" s="106" t="s">
        <v>76</v>
      </c>
      <c r="Y1513" s="26"/>
      <c r="Z1513" s="75" t="s">
        <v>193</v>
      </c>
      <c r="AA1513" s="30"/>
      <c r="AB1513" s="25" t="s">
        <v>75</v>
      </c>
    </row>
    <row r="1514" spans="1:28" ht="78.75" hidden="1" customHeight="1">
      <c r="A1514" s="98">
        <v>1504</v>
      </c>
      <c r="B1514" s="79" t="s">
        <v>7263</v>
      </c>
      <c r="C1514" s="148" t="s">
        <v>10</v>
      </c>
      <c r="D1514" s="80" t="s">
        <v>63</v>
      </c>
      <c r="E1514" s="27" t="s">
        <v>5731</v>
      </c>
      <c r="F1514" s="80" t="s">
        <v>120</v>
      </c>
      <c r="G1514" s="81" t="s">
        <v>3198</v>
      </c>
      <c r="H1514" s="80" t="s">
        <v>5732</v>
      </c>
      <c r="I1514" s="92">
        <v>45891</v>
      </c>
      <c r="J1514" s="80" t="s">
        <v>3505</v>
      </c>
      <c r="K1514" s="80" t="s">
        <v>69</v>
      </c>
      <c r="L1514" s="84" t="s">
        <v>251</v>
      </c>
      <c r="M1514" s="84" t="s">
        <v>252</v>
      </c>
      <c r="N1514" s="84" t="s">
        <v>253</v>
      </c>
      <c r="O1514" s="309" t="s">
        <v>7264</v>
      </c>
      <c r="P1514" s="194" t="s">
        <v>7265</v>
      </c>
      <c r="Q1514" s="49" t="s">
        <v>75</v>
      </c>
      <c r="R1514" s="25" t="s">
        <v>91</v>
      </c>
      <c r="S1514" s="26">
        <v>18</v>
      </c>
      <c r="T1514" s="26">
        <v>42</v>
      </c>
      <c r="U1514" s="149" t="s">
        <v>7266</v>
      </c>
      <c r="V1514" s="66"/>
      <c r="W1514" s="106"/>
      <c r="X1514" s="106" t="s">
        <v>176</v>
      </c>
      <c r="Y1514" s="26"/>
      <c r="Z1514" s="75" t="s">
        <v>93</v>
      </c>
      <c r="AA1514" s="30"/>
    </row>
    <row r="1515" spans="1:28" ht="129" hidden="1" customHeight="1">
      <c r="A1515" s="98">
        <v>1505</v>
      </c>
      <c r="B1515" s="79" t="s">
        <v>7267</v>
      </c>
      <c r="C1515" s="148" t="s">
        <v>10</v>
      </c>
      <c r="D1515" s="80" t="s">
        <v>63</v>
      </c>
      <c r="E1515" s="27" t="s">
        <v>5731</v>
      </c>
      <c r="F1515" s="80" t="s">
        <v>120</v>
      </c>
      <c r="G1515" s="81" t="s">
        <v>3198</v>
      </c>
      <c r="H1515" s="80" t="s">
        <v>5732</v>
      </c>
      <c r="I1515" s="92">
        <v>45891</v>
      </c>
      <c r="J1515" s="80" t="s">
        <v>3505</v>
      </c>
      <c r="K1515" s="80" t="s">
        <v>69</v>
      </c>
      <c r="L1515" s="84" t="s">
        <v>251</v>
      </c>
      <c r="M1515" s="84" t="s">
        <v>252</v>
      </c>
      <c r="N1515" s="84" t="s">
        <v>253</v>
      </c>
      <c r="O1515" s="309" t="s">
        <v>7268</v>
      </c>
      <c r="P1515" s="194" t="s">
        <v>7269</v>
      </c>
      <c r="Q1515" s="49" t="s">
        <v>75</v>
      </c>
      <c r="R1515" s="25" t="s">
        <v>91</v>
      </c>
      <c r="S1515" s="26">
        <v>20</v>
      </c>
      <c r="T1515" s="26">
        <v>40</v>
      </c>
      <c r="U1515" s="149" t="s">
        <v>7270</v>
      </c>
      <c r="V1515" s="66"/>
      <c r="W1515" s="106"/>
      <c r="X1515" s="106" t="s">
        <v>176</v>
      </c>
      <c r="Y1515" s="26"/>
      <c r="Z1515" s="75" t="s">
        <v>93</v>
      </c>
      <c r="AA1515" s="30"/>
    </row>
    <row r="1516" spans="1:28" ht="44.25" hidden="1" customHeight="1">
      <c r="A1516" s="98">
        <v>1506</v>
      </c>
      <c r="B1516" s="79" t="s">
        <v>7271</v>
      </c>
      <c r="C1516" s="148" t="s">
        <v>10</v>
      </c>
      <c r="D1516" s="80" t="s">
        <v>63</v>
      </c>
      <c r="E1516" s="27" t="s">
        <v>5731</v>
      </c>
      <c r="F1516" s="80" t="s">
        <v>120</v>
      </c>
      <c r="G1516" s="81" t="s">
        <v>3198</v>
      </c>
      <c r="H1516" s="80" t="s">
        <v>5732</v>
      </c>
      <c r="I1516" s="92">
        <v>45891</v>
      </c>
      <c r="J1516" s="80" t="s">
        <v>3505</v>
      </c>
      <c r="K1516" s="80" t="s">
        <v>69</v>
      </c>
      <c r="L1516" s="84" t="s">
        <v>251</v>
      </c>
      <c r="M1516" s="84" t="s">
        <v>252</v>
      </c>
      <c r="N1516" s="84" t="s">
        <v>253</v>
      </c>
      <c r="O1516" s="309" t="s">
        <v>7272</v>
      </c>
      <c r="P1516" s="194" t="s">
        <v>7273</v>
      </c>
      <c r="Q1516" s="49" t="s">
        <v>75</v>
      </c>
      <c r="R1516" s="25" t="s">
        <v>91</v>
      </c>
      <c r="S1516" s="26">
        <v>20</v>
      </c>
      <c r="T1516" s="26">
        <v>56</v>
      </c>
      <c r="U1516" s="28" t="s">
        <v>7274</v>
      </c>
      <c r="V1516" s="66"/>
      <c r="W1516" s="106"/>
      <c r="X1516" s="106" t="s">
        <v>176</v>
      </c>
      <c r="Y1516" s="26"/>
      <c r="Z1516" s="75" t="s">
        <v>93</v>
      </c>
      <c r="AA1516" s="30"/>
    </row>
    <row r="1517" spans="1:28" ht="68.25" hidden="1" customHeight="1">
      <c r="A1517" s="98">
        <v>1507</v>
      </c>
      <c r="B1517" s="79" t="s">
        <v>7275</v>
      </c>
      <c r="C1517" s="148" t="s">
        <v>10</v>
      </c>
      <c r="D1517" s="80" t="s">
        <v>63</v>
      </c>
      <c r="E1517" s="27" t="s">
        <v>5731</v>
      </c>
      <c r="F1517" s="80" t="s">
        <v>120</v>
      </c>
      <c r="G1517" s="81" t="s">
        <v>3198</v>
      </c>
      <c r="H1517" s="80" t="s">
        <v>5732</v>
      </c>
      <c r="I1517" s="92">
        <v>45891</v>
      </c>
      <c r="J1517" s="80" t="s">
        <v>3505</v>
      </c>
      <c r="K1517" s="80" t="s">
        <v>69</v>
      </c>
      <c r="L1517" s="84" t="s">
        <v>251</v>
      </c>
      <c r="M1517" s="84" t="s">
        <v>252</v>
      </c>
      <c r="N1517" s="84" t="s">
        <v>253</v>
      </c>
      <c r="O1517" s="309" t="s">
        <v>7276</v>
      </c>
      <c r="P1517" s="194" t="s">
        <v>7277</v>
      </c>
      <c r="Q1517" s="49" t="s">
        <v>75</v>
      </c>
      <c r="R1517" s="25" t="s">
        <v>91</v>
      </c>
      <c r="S1517" s="26">
        <v>20</v>
      </c>
      <c r="T1517" s="26">
        <v>40</v>
      </c>
      <c r="U1517" s="28" t="s">
        <v>7278</v>
      </c>
      <c r="V1517" s="66"/>
      <c r="W1517" s="106"/>
      <c r="X1517" s="106" t="s">
        <v>176</v>
      </c>
      <c r="Y1517" s="26"/>
      <c r="Z1517" s="75" t="s">
        <v>93</v>
      </c>
      <c r="AA1517" s="30"/>
    </row>
    <row r="1518" spans="1:28" ht="60" hidden="1" customHeight="1">
      <c r="A1518" s="98">
        <v>1508</v>
      </c>
      <c r="B1518" s="79" t="s">
        <v>7279</v>
      </c>
      <c r="C1518" s="148" t="s">
        <v>10</v>
      </c>
      <c r="D1518" s="80" t="s">
        <v>63</v>
      </c>
      <c r="E1518" s="27" t="s">
        <v>7280</v>
      </c>
      <c r="F1518" s="80" t="s">
        <v>109</v>
      </c>
      <c r="G1518" s="81" t="s">
        <v>3676</v>
      </c>
      <c r="H1518" s="80" t="s">
        <v>7281</v>
      </c>
      <c r="I1518" s="92">
        <v>45894</v>
      </c>
      <c r="J1518" s="80" t="s">
        <v>4066</v>
      </c>
      <c r="K1518" s="80" t="s">
        <v>1654</v>
      </c>
      <c r="L1518" s="84" t="s">
        <v>10</v>
      </c>
      <c r="M1518" s="84" t="s">
        <v>252</v>
      </c>
      <c r="N1518" s="84" t="s">
        <v>253</v>
      </c>
      <c r="O1518" s="309" t="s">
        <v>7282</v>
      </c>
      <c r="P1518" s="194" t="s">
        <v>7283</v>
      </c>
      <c r="Q1518" s="49" t="s">
        <v>91</v>
      </c>
      <c r="R1518" s="25"/>
      <c r="S1518" s="26">
        <v>7</v>
      </c>
      <c r="T1518" s="26"/>
      <c r="U1518" s="28" t="s">
        <v>7284</v>
      </c>
      <c r="V1518" s="66"/>
      <c r="W1518" s="106"/>
      <c r="X1518" s="106" t="s">
        <v>76</v>
      </c>
      <c r="Y1518" s="26"/>
      <c r="Z1518" s="75" t="s">
        <v>193</v>
      </c>
      <c r="AA1518" s="30"/>
      <c r="AB1518" s="25" t="s">
        <v>75</v>
      </c>
    </row>
    <row r="1519" spans="1:28" ht="60.75" hidden="1" customHeight="1">
      <c r="A1519" s="98">
        <v>1509</v>
      </c>
      <c r="B1519" s="79" t="s">
        <v>7285</v>
      </c>
      <c r="C1519" s="148" t="s">
        <v>10</v>
      </c>
      <c r="D1519" s="80" t="s">
        <v>63</v>
      </c>
      <c r="E1519" s="27" t="s">
        <v>7286</v>
      </c>
      <c r="F1519" s="80" t="s">
        <v>120</v>
      </c>
      <c r="G1519" s="81" t="s">
        <v>7287</v>
      </c>
      <c r="H1519" s="80" t="s">
        <v>7288</v>
      </c>
      <c r="I1519" s="92">
        <v>45894</v>
      </c>
      <c r="J1519" s="80" t="s">
        <v>4066</v>
      </c>
      <c r="K1519" s="80" t="s">
        <v>1654</v>
      </c>
      <c r="L1519" s="84" t="s">
        <v>10</v>
      </c>
      <c r="M1519" s="84" t="s">
        <v>595</v>
      </c>
      <c r="N1519" s="84" t="s">
        <v>72</v>
      </c>
      <c r="O1519" s="309" t="s">
        <v>7289</v>
      </c>
      <c r="P1519" s="194" t="s">
        <v>7290</v>
      </c>
      <c r="Q1519" s="49" t="s">
        <v>75</v>
      </c>
      <c r="R1519" s="25" t="s">
        <v>91</v>
      </c>
      <c r="S1519" s="26">
        <v>20</v>
      </c>
      <c r="T1519" s="26">
        <v>50</v>
      </c>
      <c r="U1519" s="28" t="s">
        <v>7291</v>
      </c>
      <c r="V1519" s="66"/>
      <c r="W1519" s="106"/>
      <c r="X1519" s="106" t="s">
        <v>176</v>
      </c>
      <c r="Y1519" s="26"/>
      <c r="Z1519" s="75" t="s">
        <v>93</v>
      </c>
      <c r="AA1519" s="30"/>
    </row>
    <row r="1520" spans="1:28" ht="73.5" hidden="1" customHeight="1">
      <c r="A1520" s="98">
        <v>1510</v>
      </c>
      <c r="B1520" s="79" t="s">
        <v>7292</v>
      </c>
      <c r="C1520" s="148" t="s">
        <v>8</v>
      </c>
      <c r="D1520" s="80" t="s">
        <v>63</v>
      </c>
      <c r="E1520" s="27" t="s">
        <v>1430</v>
      </c>
      <c r="F1520" s="80" t="s">
        <v>109</v>
      </c>
      <c r="G1520" s="81" t="s">
        <v>1047</v>
      </c>
      <c r="H1520" s="80" t="s">
        <v>1431</v>
      </c>
      <c r="I1520" s="92">
        <v>45894</v>
      </c>
      <c r="J1520" s="80" t="s">
        <v>3543</v>
      </c>
      <c r="K1520" s="80" t="s">
        <v>112</v>
      </c>
      <c r="L1520" s="84" t="s">
        <v>122</v>
      </c>
      <c r="M1520" s="84" t="s">
        <v>114</v>
      </c>
      <c r="N1520" s="84" t="s">
        <v>72</v>
      </c>
      <c r="O1520" s="194" t="s">
        <v>7293</v>
      </c>
      <c r="P1520" s="194" t="s">
        <v>7294</v>
      </c>
      <c r="Q1520" s="49" t="s">
        <v>75</v>
      </c>
      <c r="R1520" s="25" t="s">
        <v>504</v>
      </c>
      <c r="S1520" s="26">
        <v>25</v>
      </c>
      <c r="T1520" s="26"/>
      <c r="U1520" s="28" t="s">
        <v>7295</v>
      </c>
      <c r="V1520" s="66"/>
      <c r="W1520" s="106"/>
      <c r="X1520" s="106" t="s">
        <v>176</v>
      </c>
      <c r="Y1520" s="26"/>
      <c r="Z1520" s="75" t="s">
        <v>93</v>
      </c>
      <c r="AA1520" s="30"/>
    </row>
    <row r="1521" spans="1:28" ht="72.75" hidden="1" customHeight="1">
      <c r="A1521" s="98">
        <v>1511</v>
      </c>
      <c r="B1521" s="79" t="s">
        <v>7296</v>
      </c>
      <c r="C1521" s="148" t="s">
        <v>9</v>
      </c>
      <c r="D1521" s="80" t="s">
        <v>83</v>
      </c>
      <c r="E1521" s="27" t="s">
        <v>1304</v>
      </c>
      <c r="F1521" s="80" t="s">
        <v>120</v>
      </c>
      <c r="G1521" s="81" t="s">
        <v>1286</v>
      </c>
      <c r="H1521" s="80" t="s">
        <v>1305</v>
      </c>
      <c r="I1521" s="92">
        <v>45894</v>
      </c>
      <c r="J1521" s="80" t="s">
        <v>3543</v>
      </c>
      <c r="K1521" s="80" t="s">
        <v>112</v>
      </c>
      <c r="L1521" s="84" t="s">
        <v>113</v>
      </c>
      <c r="M1521" s="84" t="s">
        <v>114</v>
      </c>
      <c r="N1521" s="84" t="s">
        <v>72</v>
      </c>
      <c r="O1521" s="194" t="s">
        <v>7297</v>
      </c>
      <c r="P1521" s="194" t="s">
        <v>7298</v>
      </c>
      <c r="Q1521" s="49" t="s">
        <v>75</v>
      </c>
      <c r="R1521" s="25" t="s">
        <v>91</v>
      </c>
      <c r="S1521" s="26">
        <v>21</v>
      </c>
      <c r="T1521" s="26">
        <v>62</v>
      </c>
      <c r="U1521" s="28" t="s">
        <v>7299</v>
      </c>
      <c r="V1521" s="66"/>
      <c r="W1521" s="106"/>
      <c r="X1521" s="106" t="s">
        <v>176</v>
      </c>
      <c r="Y1521" s="26"/>
      <c r="Z1521" s="75" t="s">
        <v>93</v>
      </c>
      <c r="AA1521" s="30"/>
    </row>
    <row r="1522" spans="1:28" ht="45" hidden="1" customHeight="1">
      <c r="A1522" s="98">
        <v>1512</v>
      </c>
      <c r="B1522" s="79" t="s">
        <v>7300</v>
      </c>
      <c r="C1522" s="148" t="s">
        <v>5211</v>
      </c>
      <c r="D1522" s="80" t="s">
        <v>83</v>
      </c>
      <c r="E1522" s="27" t="s">
        <v>7301</v>
      </c>
      <c r="F1522" s="80" t="s">
        <v>120</v>
      </c>
      <c r="G1522" s="81" t="s">
        <v>85</v>
      </c>
      <c r="H1522" s="80" t="s">
        <v>1654</v>
      </c>
      <c r="I1522" s="92">
        <v>45895</v>
      </c>
      <c r="J1522" s="80" t="s">
        <v>4109</v>
      </c>
      <c r="K1522" s="80" t="s">
        <v>5213</v>
      </c>
      <c r="L1522" s="84" t="s">
        <v>10</v>
      </c>
      <c r="M1522" s="84" t="s">
        <v>200</v>
      </c>
      <c r="N1522" s="84" t="s">
        <v>72</v>
      </c>
      <c r="O1522" s="194" t="s">
        <v>7302</v>
      </c>
      <c r="P1522" s="194" t="s">
        <v>7303</v>
      </c>
      <c r="Q1522" s="49" t="s">
        <v>75</v>
      </c>
      <c r="R1522" s="25" t="s">
        <v>504</v>
      </c>
      <c r="S1522" s="26">
        <v>20</v>
      </c>
      <c r="T1522" s="26"/>
      <c r="U1522" s="28" t="s">
        <v>7304</v>
      </c>
      <c r="V1522" s="66"/>
      <c r="W1522" s="106"/>
      <c r="X1522" s="106" t="s">
        <v>176</v>
      </c>
      <c r="Y1522" s="26"/>
      <c r="Z1522" s="75" t="s">
        <v>76</v>
      </c>
      <c r="AA1522" s="30"/>
    </row>
    <row r="1523" spans="1:28" ht="16.5" hidden="1" customHeight="1">
      <c r="A1523" s="98">
        <v>1513</v>
      </c>
      <c r="B1523" s="79" t="s">
        <v>7305</v>
      </c>
      <c r="C1523" s="148" t="s">
        <v>2146</v>
      </c>
      <c r="D1523" s="80" t="s">
        <v>83</v>
      </c>
      <c r="E1523" s="27" t="s">
        <v>5676</v>
      </c>
      <c r="F1523" s="80" t="s">
        <v>284</v>
      </c>
      <c r="G1523" s="81" t="s">
        <v>5640</v>
      </c>
      <c r="H1523" s="80" t="s">
        <v>5677</v>
      </c>
      <c r="I1523" s="92">
        <v>45895</v>
      </c>
      <c r="J1523" s="80" t="s">
        <v>3505</v>
      </c>
      <c r="K1523" s="80" t="s">
        <v>69</v>
      </c>
      <c r="L1523" s="84" t="s">
        <v>251</v>
      </c>
      <c r="M1523" s="84" t="s">
        <v>904</v>
      </c>
      <c r="N1523" s="84" t="s">
        <v>920</v>
      </c>
      <c r="O1523" s="194" t="s">
        <v>7306</v>
      </c>
      <c r="P1523" s="194" t="s">
        <v>7307</v>
      </c>
      <c r="Q1523" s="49" t="s">
        <v>75</v>
      </c>
      <c r="R1523" s="25" t="s">
        <v>91</v>
      </c>
      <c r="S1523" s="26">
        <v>22</v>
      </c>
      <c r="T1523" s="26">
        <v>54</v>
      </c>
      <c r="U1523" s="149" t="s">
        <v>7308</v>
      </c>
      <c r="V1523" s="66"/>
      <c r="W1523" s="106"/>
      <c r="X1523" s="106" t="s">
        <v>176</v>
      </c>
      <c r="Y1523" s="26"/>
      <c r="Z1523" s="75" t="s">
        <v>93</v>
      </c>
      <c r="AA1523" s="30"/>
    </row>
    <row r="1524" spans="1:28" ht="41.25" hidden="1" customHeight="1">
      <c r="A1524" s="98">
        <v>1514</v>
      </c>
      <c r="B1524" s="79" t="s">
        <v>7309</v>
      </c>
      <c r="C1524" s="148" t="s">
        <v>8</v>
      </c>
      <c r="D1524" s="80" t="s">
        <v>63</v>
      </c>
      <c r="E1524" s="27" t="s">
        <v>3434</v>
      </c>
      <c r="F1524" s="80" t="s">
        <v>120</v>
      </c>
      <c r="G1524" s="81" t="s">
        <v>651</v>
      </c>
      <c r="H1524" s="80" t="s">
        <v>3435</v>
      </c>
      <c r="I1524" s="92">
        <v>45895</v>
      </c>
      <c r="J1524" s="80" t="s">
        <v>3941</v>
      </c>
      <c r="K1524" s="80" t="s">
        <v>156</v>
      </c>
      <c r="L1524" s="84" t="s">
        <v>113</v>
      </c>
      <c r="M1524" s="84" t="s">
        <v>200</v>
      </c>
      <c r="N1524" s="84" t="s">
        <v>72</v>
      </c>
      <c r="O1524" s="194" t="s">
        <v>7310</v>
      </c>
      <c r="P1524" s="194" t="s">
        <v>7311</v>
      </c>
      <c r="Q1524" s="49" t="s">
        <v>75</v>
      </c>
      <c r="R1524" s="25" t="s">
        <v>91</v>
      </c>
      <c r="S1524" s="26">
        <v>18</v>
      </c>
      <c r="T1524" s="26">
        <v>67</v>
      </c>
      <c r="U1524" s="28" t="s">
        <v>7254</v>
      </c>
      <c r="V1524" s="66"/>
      <c r="W1524" s="106"/>
      <c r="X1524" s="106" t="s">
        <v>176</v>
      </c>
      <c r="Y1524" s="26"/>
      <c r="Z1524" s="75" t="s">
        <v>93</v>
      </c>
      <c r="AA1524" s="30"/>
    </row>
    <row r="1525" spans="1:28" ht="65.25" hidden="1" customHeight="1">
      <c r="A1525" s="98">
        <v>1515</v>
      </c>
      <c r="B1525" s="79" t="s">
        <v>7312</v>
      </c>
      <c r="C1525" s="148" t="s">
        <v>8</v>
      </c>
      <c r="D1525" s="80" t="s">
        <v>63</v>
      </c>
      <c r="E1525" s="27" t="s">
        <v>7313</v>
      </c>
      <c r="F1525" s="80" t="s">
        <v>109</v>
      </c>
      <c r="G1525" s="81" t="s">
        <v>1132</v>
      </c>
      <c r="H1525" s="80" t="s">
        <v>7314</v>
      </c>
      <c r="I1525" s="92">
        <v>45895</v>
      </c>
      <c r="J1525" s="80" t="s">
        <v>3505</v>
      </c>
      <c r="K1525" s="80" t="s">
        <v>69</v>
      </c>
      <c r="L1525" s="84" t="s">
        <v>251</v>
      </c>
      <c r="M1525" s="84" t="s">
        <v>904</v>
      </c>
      <c r="N1525" s="84" t="s">
        <v>72</v>
      </c>
      <c r="O1525" s="194" t="s">
        <v>7315</v>
      </c>
      <c r="P1525" s="194" t="s">
        <v>7316</v>
      </c>
      <c r="Q1525" s="49" t="s">
        <v>75</v>
      </c>
      <c r="R1525" s="25" t="s">
        <v>91</v>
      </c>
      <c r="S1525" s="26">
        <v>22</v>
      </c>
      <c r="T1525" s="26">
        <v>54</v>
      </c>
      <c r="U1525" s="28" t="s">
        <v>7317</v>
      </c>
      <c r="V1525" s="66"/>
      <c r="W1525" s="106"/>
      <c r="X1525" s="106" t="s">
        <v>176</v>
      </c>
      <c r="Y1525" s="26"/>
      <c r="Z1525" s="75" t="s">
        <v>93</v>
      </c>
      <c r="AA1525" s="30"/>
    </row>
    <row r="1526" spans="1:28" ht="32.25" hidden="1" customHeight="1">
      <c r="A1526" s="98">
        <v>1516</v>
      </c>
      <c r="B1526" s="79" t="s">
        <v>7318</v>
      </c>
      <c r="C1526" s="148" t="s">
        <v>8</v>
      </c>
      <c r="D1526" s="80" t="s">
        <v>83</v>
      </c>
      <c r="E1526" s="27" t="s">
        <v>7319</v>
      </c>
      <c r="F1526" s="80" t="s">
        <v>109</v>
      </c>
      <c r="G1526" s="81" t="s">
        <v>918</v>
      </c>
      <c r="H1526" s="80" t="s">
        <v>7320</v>
      </c>
      <c r="I1526" s="92">
        <v>45898</v>
      </c>
      <c r="J1526" s="80" t="s">
        <v>3505</v>
      </c>
      <c r="K1526" s="80" t="s">
        <v>69</v>
      </c>
      <c r="L1526" s="84" t="s">
        <v>251</v>
      </c>
      <c r="M1526" s="84" t="s">
        <v>252</v>
      </c>
      <c r="N1526" s="84" t="s">
        <v>920</v>
      </c>
      <c r="O1526" s="194" t="s">
        <v>7321</v>
      </c>
      <c r="P1526" s="194" t="s">
        <v>7322</v>
      </c>
      <c r="Q1526" s="49" t="s">
        <v>75</v>
      </c>
      <c r="R1526" s="25" t="s">
        <v>504</v>
      </c>
      <c r="S1526" s="26">
        <v>26</v>
      </c>
      <c r="T1526" s="26"/>
      <c r="U1526" s="28" t="s">
        <v>7323</v>
      </c>
      <c r="V1526" s="66"/>
      <c r="W1526" s="106"/>
      <c r="X1526" s="106" t="s">
        <v>176</v>
      </c>
      <c r="Y1526" s="26"/>
      <c r="Z1526" s="75" t="s">
        <v>106</v>
      </c>
      <c r="AA1526" s="30"/>
    </row>
    <row r="1527" spans="1:28" ht="27" hidden="1" customHeight="1">
      <c r="A1527" s="98">
        <v>1517</v>
      </c>
      <c r="B1527" s="79" t="s">
        <v>7324</v>
      </c>
      <c r="C1527" s="148" t="s">
        <v>8</v>
      </c>
      <c r="D1527" s="80" t="s">
        <v>63</v>
      </c>
      <c r="E1527" s="27" t="s">
        <v>994</v>
      </c>
      <c r="F1527" s="80" t="s">
        <v>109</v>
      </c>
      <c r="G1527" s="81" t="s">
        <v>995</v>
      </c>
      <c r="H1527" s="80" t="s">
        <v>996</v>
      </c>
      <c r="I1527" s="202">
        <v>45899</v>
      </c>
      <c r="J1527" s="80" t="s">
        <v>3494</v>
      </c>
      <c r="K1527" s="80" t="s">
        <v>198</v>
      </c>
      <c r="L1527" s="84" t="s">
        <v>199</v>
      </c>
      <c r="M1527" s="84" t="s">
        <v>200</v>
      </c>
      <c r="N1527" s="84" t="s">
        <v>72</v>
      </c>
      <c r="O1527" s="194" t="s">
        <v>7325</v>
      </c>
      <c r="P1527" s="194" t="s">
        <v>7326</v>
      </c>
      <c r="Q1527" s="49" t="s">
        <v>91</v>
      </c>
      <c r="R1527" s="25"/>
      <c r="S1527" s="26">
        <v>3</v>
      </c>
      <c r="T1527" s="26"/>
      <c r="U1527" s="28" t="s">
        <v>7327</v>
      </c>
      <c r="V1527" s="66"/>
      <c r="W1527" s="106"/>
      <c r="X1527" s="106" t="s">
        <v>76</v>
      </c>
      <c r="Y1527" s="26"/>
      <c r="Z1527" s="75" t="s">
        <v>193</v>
      </c>
      <c r="AA1527" s="30"/>
      <c r="AB1527" s="25" t="s">
        <v>75</v>
      </c>
    </row>
    <row r="1528" spans="1:28" ht="16.5" hidden="1" customHeight="1">
      <c r="A1528" s="98">
        <v>1518</v>
      </c>
      <c r="B1528" s="79" t="s">
        <v>7328</v>
      </c>
      <c r="C1528" s="148" t="s">
        <v>8</v>
      </c>
      <c r="D1528" s="80" t="s">
        <v>63</v>
      </c>
      <c r="E1528" s="27" t="s">
        <v>2011</v>
      </c>
      <c r="F1528" s="80" t="s">
        <v>120</v>
      </c>
      <c r="G1528" s="81" t="s">
        <v>1368</v>
      </c>
      <c r="H1528" s="80" t="s">
        <v>1856</v>
      </c>
      <c r="I1528" s="92">
        <v>45900</v>
      </c>
      <c r="J1528" s="80" t="s">
        <v>7329</v>
      </c>
      <c r="K1528" s="80" t="s">
        <v>299</v>
      </c>
      <c r="L1528" s="84" t="s">
        <v>251</v>
      </c>
      <c r="M1528" s="84" t="s">
        <v>114</v>
      </c>
      <c r="N1528" s="84" t="s">
        <v>72</v>
      </c>
      <c r="O1528" s="194" t="s">
        <v>7330</v>
      </c>
      <c r="P1528" s="194" t="s">
        <v>7331</v>
      </c>
      <c r="Q1528" s="49" t="s">
        <v>91</v>
      </c>
      <c r="R1528" s="25"/>
      <c r="S1528" s="26">
        <v>11</v>
      </c>
      <c r="T1528" s="26"/>
      <c r="U1528" s="28" t="s">
        <v>59</v>
      </c>
      <c r="V1528" s="66"/>
      <c r="W1528" s="106"/>
      <c r="X1528" s="106" t="s">
        <v>76</v>
      </c>
      <c r="Y1528" s="26"/>
      <c r="Z1528" s="75" t="s">
        <v>193</v>
      </c>
      <c r="AA1528" s="30"/>
      <c r="AB1528" s="25" t="s">
        <v>75</v>
      </c>
    </row>
    <row r="1529" spans="1:28" ht="58.5" hidden="1" customHeight="1">
      <c r="A1529" s="98">
        <v>1519</v>
      </c>
      <c r="B1529" s="79" t="s">
        <v>7332</v>
      </c>
      <c r="C1529" s="148" t="s">
        <v>8</v>
      </c>
      <c r="D1529" s="80" t="s">
        <v>63</v>
      </c>
      <c r="E1529" s="27" t="s">
        <v>2011</v>
      </c>
      <c r="F1529" s="80" t="s">
        <v>120</v>
      </c>
      <c r="G1529" s="81" t="s">
        <v>1368</v>
      </c>
      <c r="H1529" s="80" t="s">
        <v>1856</v>
      </c>
      <c r="I1529" s="92">
        <v>45900</v>
      </c>
      <c r="J1529" s="80" t="s">
        <v>3543</v>
      </c>
      <c r="K1529" s="80" t="s">
        <v>299</v>
      </c>
      <c r="L1529" s="84" t="s">
        <v>113</v>
      </c>
      <c r="M1529" s="84" t="s">
        <v>114</v>
      </c>
      <c r="N1529" s="84" t="s">
        <v>72</v>
      </c>
      <c r="O1529" s="194" t="s">
        <v>7333</v>
      </c>
      <c r="P1529" s="194" t="s">
        <v>7334</v>
      </c>
      <c r="Q1529" s="49" t="s">
        <v>91</v>
      </c>
      <c r="R1529" s="25"/>
      <c r="S1529" s="26">
        <v>10</v>
      </c>
      <c r="T1529" s="26"/>
      <c r="U1529" s="28" t="s">
        <v>59</v>
      </c>
      <c r="V1529" s="66"/>
      <c r="W1529" s="106"/>
      <c r="X1529" s="106" t="s">
        <v>76</v>
      </c>
      <c r="Y1529" s="26"/>
      <c r="Z1529" s="75" t="s">
        <v>193</v>
      </c>
      <c r="AA1529" s="30"/>
      <c r="AB1529" s="25" t="s">
        <v>75</v>
      </c>
    </row>
    <row r="1530" spans="1:28" ht="42" hidden="1" customHeight="1">
      <c r="A1530" s="98">
        <v>1520</v>
      </c>
      <c r="B1530" s="79" t="s">
        <v>7335</v>
      </c>
      <c r="C1530" s="148" t="s">
        <v>8</v>
      </c>
      <c r="D1530" s="80" t="s">
        <v>63</v>
      </c>
      <c r="E1530" s="27" t="s">
        <v>2011</v>
      </c>
      <c r="F1530" s="80" t="s">
        <v>120</v>
      </c>
      <c r="G1530" s="81" t="s">
        <v>1368</v>
      </c>
      <c r="H1530" s="80" t="s">
        <v>1856</v>
      </c>
      <c r="I1530" s="92">
        <v>45900</v>
      </c>
      <c r="J1530" s="80" t="s">
        <v>3543</v>
      </c>
      <c r="K1530" s="80" t="s">
        <v>299</v>
      </c>
      <c r="L1530" s="84" t="s">
        <v>122</v>
      </c>
      <c r="M1530" s="84" t="s">
        <v>114</v>
      </c>
      <c r="N1530" s="84" t="s">
        <v>72</v>
      </c>
      <c r="O1530" s="194" t="s">
        <v>7336</v>
      </c>
      <c r="P1530" s="194" t="s">
        <v>7337</v>
      </c>
      <c r="Q1530" s="49" t="s">
        <v>75</v>
      </c>
      <c r="R1530" s="25" t="s">
        <v>91</v>
      </c>
      <c r="S1530" s="26">
        <v>19</v>
      </c>
      <c r="T1530" s="26">
        <v>61</v>
      </c>
      <c r="U1530" s="28"/>
      <c r="V1530" s="66"/>
      <c r="W1530" s="106"/>
      <c r="X1530" s="106" t="s">
        <v>176</v>
      </c>
      <c r="Y1530" s="26"/>
      <c r="Z1530" s="75" t="s">
        <v>93</v>
      </c>
      <c r="AA1530" s="30"/>
    </row>
    <row r="1531" spans="1:28" ht="36" hidden="1" customHeight="1">
      <c r="A1531" s="98">
        <v>1521</v>
      </c>
      <c r="B1531" s="79" t="s">
        <v>7338</v>
      </c>
      <c r="C1531" s="148" t="s">
        <v>8</v>
      </c>
      <c r="D1531" s="80" t="s">
        <v>63</v>
      </c>
      <c r="E1531" s="27" t="s">
        <v>2011</v>
      </c>
      <c r="F1531" s="80" t="s">
        <v>120</v>
      </c>
      <c r="G1531" s="81" t="s">
        <v>1368</v>
      </c>
      <c r="H1531" s="80" t="s">
        <v>1856</v>
      </c>
      <c r="I1531" s="92">
        <v>45900</v>
      </c>
      <c r="J1531" s="80" t="s">
        <v>3543</v>
      </c>
      <c r="K1531" s="80" t="s">
        <v>112</v>
      </c>
      <c r="L1531" s="84" t="s">
        <v>122</v>
      </c>
      <c r="M1531" s="84" t="s">
        <v>114</v>
      </c>
      <c r="N1531" s="84" t="s">
        <v>72</v>
      </c>
      <c r="O1531" s="194" t="s">
        <v>7339</v>
      </c>
      <c r="P1531" s="194" t="s">
        <v>7340</v>
      </c>
      <c r="Q1531" s="49" t="s">
        <v>75</v>
      </c>
      <c r="R1531" s="25" t="s">
        <v>91</v>
      </c>
      <c r="S1531" s="26">
        <v>28</v>
      </c>
      <c r="T1531" s="26">
        <v>63</v>
      </c>
      <c r="U1531" s="28" t="s">
        <v>7341</v>
      </c>
      <c r="V1531" s="66"/>
      <c r="W1531" s="106"/>
      <c r="X1531" s="106" t="s">
        <v>176</v>
      </c>
      <c r="Y1531" s="26"/>
      <c r="Z1531" s="75" t="s">
        <v>93</v>
      </c>
      <c r="AA1531" s="30"/>
    </row>
    <row r="1532" spans="1:28" ht="33" hidden="1" customHeight="1">
      <c r="A1532" s="98">
        <v>1522</v>
      </c>
      <c r="B1532" s="79" t="s">
        <v>7342</v>
      </c>
      <c r="C1532" s="148" t="s">
        <v>8</v>
      </c>
      <c r="D1532" s="80" t="s">
        <v>63</v>
      </c>
      <c r="E1532" s="27" t="s">
        <v>2011</v>
      </c>
      <c r="F1532" s="80" t="s">
        <v>120</v>
      </c>
      <c r="G1532" s="81" t="s">
        <v>1368</v>
      </c>
      <c r="H1532" s="80" t="s">
        <v>1856</v>
      </c>
      <c r="I1532" s="92">
        <v>45900</v>
      </c>
      <c r="J1532" s="80" t="s">
        <v>3810</v>
      </c>
      <c r="K1532" s="80" t="s">
        <v>112</v>
      </c>
      <c r="L1532" s="84" t="s">
        <v>122</v>
      </c>
      <c r="M1532" s="84" t="s">
        <v>221</v>
      </c>
      <c r="N1532" s="84" t="s">
        <v>72</v>
      </c>
      <c r="O1532" s="194" t="s">
        <v>7343</v>
      </c>
      <c r="P1532" s="194" t="s">
        <v>7344</v>
      </c>
      <c r="Q1532" s="49" t="s">
        <v>75</v>
      </c>
      <c r="R1532" s="25" t="s">
        <v>91</v>
      </c>
      <c r="S1532" s="26">
        <v>24</v>
      </c>
      <c r="T1532" s="26">
        <v>60</v>
      </c>
      <c r="U1532" s="28" t="s">
        <v>7345</v>
      </c>
      <c r="V1532" s="66"/>
      <c r="W1532" s="106"/>
      <c r="X1532" s="106" t="s">
        <v>176</v>
      </c>
      <c r="Y1532" s="26"/>
      <c r="Z1532" s="75" t="s">
        <v>93</v>
      </c>
      <c r="AA1532" s="30"/>
    </row>
    <row r="1533" spans="1:28" ht="39.75" hidden="1" customHeight="1">
      <c r="A1533" s="98">
        <v>1523</v>
      </c>
      <c r="B1533" s="79" t="s">
        <v>7346</v>
      </c>
      <c r="C1533" s="148" t="s">
        <v>8</v>
      </c>
      <c r="D1533" s="80" t="s">
        <v>63</v>
      </c>
      <c r="E1533" s="27" t="s">
        <v>2636</v>
      </c>
      <c r="F1533" s="80" t="s">
        <v>120</v>
      </c>
      <c r="G1533" s="81" t="s">
        <v>995</v>
      </c>
      <c r="H1533" s="80" t="s">
        <v>2637</v>
      </c>
      <c r="I1533" s="92">
        <v>45901</v>
      </c>
      <c r="J1533" s="80" t="s">
        <v>3505</v>
      </c>
      <c r="K1533" s="80" t="s">
        <v>69</v>
      </c>
      <c r="L1533" s="84" t="s">
        <v>251</v>
      </c>
      <c r="M1533" s="84" t="s">
        <v>252</v>
      </c>
      <c r="N1533" s="84" t="s">
        <v>920</v>
      </c>
      <c r="O1533" s="194" t="s">
        <v>7347</v>
      </c>
      <c r="P1533" s="194" t="s">
        <v>7348</v>
      </c>
      <c r="Q1533" s="49" t="s">
        <v>91</v>
      </c>
      <c r="R1533" s="25"/>
      <c r="S1533" s="26">
        <v>12</v>
      </c>
      <c r="T1533" s="26"/>
      <c r="U1533" s="28" t="s">
        <v>7349</v>
      </c>
      <c r="V1533" s="66"/>
      <c r="W1533" s="106"/>
      <c r="X1533" s="106" t="s">
        <v>76</v>
      </c>
      <c r="Y1533" s="26"/>
      <c r="Z1533" s="75" t="s">
        <v>193</v>
      </c>
      <c r="AA1533" s="30"/>
    </row>
    <row r="1534" spans="1:28" ht="148.5" hidden="1">
      <c r="A1534" s="98">
        <v>1524</v>
      </c>
      <c r="B1534" s="79" t="s">
        <v>7350</v>
      </c>
      <c r="C1534" s="148" t="s">
        <v>8</v>
      </c>
      <c r="D1534" s="80" t="s">
        <v>63</v>
      </c>
      <c r="E1534" s="27" t="s">
        <v>7351</v>
      </c>
      <c r="F1534" s="80" t="s">
        <v>120</v>
      </c>
      <c r="G1534" s="81" t="s">
        <v>3425</v>
      </c>
      <c r="H1534" s="80" t="s">
        <v>7352</v>
      </c>
      <c r="I1534" s="92">
        <v>45901</v>
      </c>
      <c r="J1534" s="80" t="s">
        <v>3505</v>
      </c>
      <c r="K1534" s="80" t="s">
        <v>69</v>
      </c>
      <c r="L1534" s="84" t="s">
        <v>251</v>
      </c>
      <c r="M1534" s="84" t="s">
        <v>252</v>
      </c>
      <c r="N1534" s="84" t="s">
        <v>920</v>
      </c>
      <c r="O1534" s="194" t="s">
        <v>7353</v>
      </c>
      <c r="P1534" s="194" t="s">
        <v>7354</v>
      </c>
      <c r="Q1534" s="49" t="s">
        <v>75</v>
      </c>
      <c r="R1534" s="25" t="s">
        <v>91</v>
      </c>
      <c r="S1534" s="26">
        <v>18</v>
      </c>
      <c r="T1534" s="26">
        <v>46</v>
      </c>
      <c r="U1534" s="149" t="s">
        <v>7355</v>
      </c>
      <c r="V1534" s="66"/>
      <c r="W1534" s="106"/>
      <c r="X1534" s="106" t="s">
        <v>176</v>
      </c>
      <c r="Y1534" s="26"/>
      <c r="Z1534" s="75" t="s">
        <v>93</v>
      </c>
      <c r="AA1534" s="30"/>
    </row>
    <row r="1535" spans="1:28" ht="50.25" hidden="1" customHeight="1">
      <c r="A1535" s="98">
        <v>1525</v>
      </c>
      <c r="B1535" s="79" t="s">
        <v>7356</v>
      </c>
      <c r="C1535" s="148" t="s">
        <v>8</v>
      </c>
      <c r="D1535" s="80" t="s">
        <v>63</v>
      </c>
      <c r="E1535" s="27" t="s">
        <v>7351</v>
      </c>
      <c r="F1535" s="80" t="s">
        <v>120</v>
      </c>
      <c r="G1535" s="81" t="s">
        <v>3425</v>
      </c>
      <c r="H1535" s="80" t="s">
        <v>7352</v>
      </c>
      <c r="I1535" s="92">
        <v>45901</v>
      </c>
      <c r="J1535" s="80" t="s">
        <v>3505</v>
      </c>
      <c r="K1535" s="80" t="s">
        <v>69</v>
      </c>
      <c r="L1535" s="84" t="s">
        <v>251</v>
      </c>
      <c r="M1535" s="84" t="s">
        <v>252</v>
      </c>
      <c r="N1535" s="84" t="s">
        <v>72</v>
      </c>
      <c r="O1535" s="194" t="s">
        <v>7357</v>
      </c>
      <c r="P1535" s="194" t="s">
        <v>7358</v>
      </c>
      <c r="Q1535" s="49" t="s">
        <v>75</v>
      </c>
      <c r="R1535" s="25" t="s">
        <v>91</v>
      </c>
      <c r="S1535" s="26">
        <v>18</v>
      </c>
      <c r="T1535" s="26">
        <v>50</v>
      </c>
      <c r="U1535" s="28" t="s">
        <v>7359</v>
      </c>
      <c r="V1535" s="66"/>
      <c r="W1535" s="106"/>
      <c r="X1535" s="106" t="s">
        <v>176</v>
      </c>
      <c r="Y1535" s="26"/>
      <c r="Z1535" s="75" t="s">
        <v>93</v>
      </c>
      <c r="AA1535" s="30"/>
    </row>
    <row r="1536" spans="1:28" ht="45.75" hidden="1" customHeight="1">
      <c r="A1536" s="98">
        <v>1526</v>
      </c>
      <c r="B1536" s="79" t="s">
        <v>7360</v>
      </c>
      <c r="C1536" s="148" t="s">
        <v>5211</v>
      </c>
      <c r="D1536" s="80" t="s">
        <v>83</v>
      </c>
      <c r="E1536" s="27" t="s">
        <v>5877</v>
      </c>
      <c r="F1536" s="80" t="s">
        <v>65</v>
      </c>
      <c r="G1536" s="81" t="s">
        <v>85</v>
      </c>
      <c r="H1536" s="80" t="s">
        <v>112</v>
      </c>
      <c r="I1536" s="92">
        <v>45902</v>
      </c>
      <c r="J1536" s="80" t="s">
        <v>3543</v>
      </c>
      <c r="K1536" s="80" t="s">
        <v>5213</v>
      </c>
      <c r="L1536" s="84" t="s">
        <v>113</v>
      </c>
      <c r="M1536" s="84" t="s">
        <v>114</v>
      </c>
      <c r="N1536" s="84" t="s">
        <v>72</v>
      </c>
      <c r="O1536" s="194" t="s">
        <v>7361</v>
      </c>
      <c r="P1536" s="194" t="s">
        <v>7362</v>
      </c>
      <c r="Q1536" s="49" t="s">
        <v>75</v>
      </c>
      <c r="R1536" s="25" t="s">
        <v>504</v>
      </c>
      <c r="S1536" s="26">
        <v>20</v>
      </c>
      <c r="T1536" s="26"/>
      <c r="U1536" s="28" t="s">
        <v>7363</v>
      </c>
      <c r="V1536" s="66"/>
      <c r="W1536" s="106"/>
      <c r="X1536" s="106" t="s">
        <v>176</v>
      </c>
      <c r="Y1536" s="26"/>
      <c r="Z1536" s="75" t="s">
        <v>76</v>
      </c>
      <c r="AA1536" s="30"/>
    </row>
    <row r="1537" spans="1:28" ht="57" hidden="1" customHeight="1">
      <c r="A1537" s="98">
        <v>1527</v>
      </c>
      <c r="B1537" s="79" t="s">
        <v>7364</v>
      </c>
      <c r="C1537" s="148" t="s">
        <v>10</v>
      </c>
      <c r="D1537" s="80" t="s">
        <v>63</v>
      </c>
      <c r="E1537" s="27" t="s">
        <v>5731</v>
      </c>
      <c r="F1537" s="80" t="s">
        <v>120</v>
      </c>
      <c r="G1537" s="81" t="s">
        <v>3198</v>
      </c>
      <c r="H1537" s="80" t="s">
        <v>5732</v>
      </c>
      <c r="I1537" s="92">
        <v>45902</v>
      </c>
      <c r="J1537" s="80" t="s">
        <v>3505</v>
      </c>
      <c r="K1537" s="80" t="s">
        <v>69</v>
      </c>
      <c r="L1537" s="84" t="s">
        <v>251</v>
      </c>
      <c r="M1537" s="84" t="s">
        <v>904</v>
      </c>
      <c r="N1537" s="84" t="s">
        <v>920</v>
      </c>
      <c r="O1537" s="309" t="s">
        <v>7365</v>
      </c>
      <c r="P1537" s="194" t="s">
        <v>7366</v>
      </c>
      <c r="Q1537" s="49" t="s">
        <v>91</v>
      </c>
      <c r="R1537" s="25"/>
      <c r="S1537" s="26">
        <v>6</v>
      </c>
      <c r="T1537" s="26"/>
      <c r="U1537" s="28" t="s">
        <v>7367</v>
      </c>
      <c r="V1537" s="66"/>
      <c r="W1537" s="106"/>
      <c r="X1537" s="106" t="s">
        <v>76</v>
      </c>
      <c r="Y1537" s="26"/>
      <c r="Z1537" s="75" t="s">
        <v>193</v>
      </c>
      <c r="AA1537" s="30"/>
    </row>
    <row r="1538" spans="1:28" ht="59.25" hidden="1" customHeight="1">
      <c r="A1538" s="98">
        <v>1528</v>
      </c>
      <c r="B1538" s="79" t="s">
        <v>7368</v>
      </c>
      <c r="C1538" s="148" t="s">
        <v>399</v>
      </c>
      <c r="D1538" s="80" t="s">
        <v>83</v>
      </c>
      <c r="E1538" s="27" t="s">
        <v>4782</v>
      </c>
      <c r="F1538" s="80" t="s">
        <v>65</v>
      </c>
      <c r="G1538" s="81" t="s">
        <v>1375</v>
      </c>
      <c r="H1538" s="80" t="s">
        <v>4783</v>
      </c>
      <c r="I1538" s="92">
        <v>45902</v>
      </c>
      <c r="J1538" s="80" t="s">
        <v>3526</v>
      </c>
      <c r="K1538" s="80" t="s">
        <v>299</v>
      </c>
      <c r="L1538" s="84" t="s">
        <v>189</v>
      </c>
      <c r="M1538" s="84" t="s">
        <v>114</v>
      </c>
      <c r="N1538" s="84" t="s">
        <v>72</v>
      </c>
      <c r="O1538" s="194" t="s">
        <v>7369</v>
      </c>
      <c r="P1538" s="194" t="s">
        <v>7370</v>
      </c>
      <c r="Q1538" s="49" t="s">
        <v>75</v>
      </c>
      <c r="R1538" s="25" t="s">
        <v>75</v>
      </c>
      <c r="S1538" s="26">
        <v>26</v>
      </c>
      <c r="T1538" s="26">
        <v>83</v>
      </c>
      <c r="U1538" s="28" t="s">
        <v>7371</v>
      </c>
      <c r="V1538" s="66" t="s">
        <v>75</v>
      </c>
      <c r="W1538" s="106" t="s">
        <v>175</v>
      </c>
      <c r="X1538" s="106" t="s">
        <v>176</v>
      </c>
      <c r="Y1538" s="26" t="s">
        <v>176</v>
      </c>
      <c r="Z1538" s="75" t="s">
        <v>79</v>
      </c>
      <c r="AA1538" s="30"/>
    </row>
    <row r="1539" spans="1:28" ht="91.5" hidden="1" customHeight="1">
      <c r="A1539" s="98">
        <v>1529</v>
      </c>
      <c r="B1539" s="79" t="s">
        <v>7372</v>
      </c>
      <c r="C1539" s="148" t="s">
        <v>10</v>
      </c>
      <c r="D1539" s="80" t="s">
        <v>63</v>
      </c>
      <c r="E1539" s="27" t="s">
        <v>7373</v>
      </c>
      <c r="F1539" s="80" t="s">
        <v>120</v>
      </c>
      <c r="G1539" s="81" t="s">
        <v>5893</v>
      </c>
      <c r="H1539" s="80" t="s">
        <v>7374</v>
      </c>
      <c r="I1539" s="92">
        <v>45904</v>
      </c>
      <c r="J1539" s="80" t="s">
        <v>3565</v>
      </c>
      <c r="K1539" s="80" t="s">
        <v>3373</v>
      </c>
      <c r="L1539" s="84" t="s">
        <v>189</v>
      </c>
      <c r="M1539" s="84" t="s">
        <v>252</v>
      </c>
      <c r="N1539" s="84" t="s">
        <v>72</v>
      </c>
      <c r="O1539" s="309" t="s">
        <v>7375</v>
      </c>
      <c r="P1539" s="194" t="s">
        <v>7376</v>
      </c>
      <c r="Q1539" s="49" t="s">
        <v>91</v>
      </c>
      <c r="R1539" s="25"/>
      <c r="S1539" s="26">
        <v>11</v>
      </c>
      <c r="T1539" s="26"/>
      <c r="U1539" s="28" t="s">
        <v>7377</v>
      </c>
      <c r="V1539" s="66"/>
      <c r="W1539" s="106"/>
      <c r="X1539" s="106" t="s">
        <v>76</v>
      </c>
      <c r="Y1539" s="26"/>
      <c r="Z1539" s="75" t="s">
        <v>193</v>
      </c>
      <c r="AA1539" s="30"/>
      <c r="AB1539" s="25" t="s">
        <v>75</v>
      </c>
    </row>
    <row r="1540" spans="1:28" ht="42" hidden="1" customHeight="1">
      <c r="A1540" s="98">
        <v>1530</v>
      </c>
      <c r="B1540" s="79" t="s">
        <v>7378</v>
      </c>
      <c r="C1540" s="148" t="s">
        <v>10</v>
      </c>
      <c r="D1540" s="80" t="s">
        <v>63</v>
      </c>
      <c r="E1540" s="27" t="s">
        <v>6239</v>
      </c>
      <c r="F1540" s="80" t="s">
        <v>65</v>
      </c>
      <c r="G1540" s="81" t="s">
        <v>5893</v>
      </c>
      <c r="H1540" s="80" t="s">
        <v>6240</v>
      </c>
      <c r="I1540" s="92">
        <v>45904</v>
      </c>
      <c r="J1540" s="80" t="s">
        <v>3565</v>
      </c>
      <c r="K1540" s="80" t="s">
        <v>299</v>
      </c>
      <c r="L1540" s="84" t="s">
        <v>189</v>
      </c>
      <c r="M1540" s="84" t="s">
        <v>252</v>
      </c>
      <c r="N1540" s="84" t="s">
        <v>72</v>
      </c>
      <c r="O1540" s="309" t="s">
        <v>7379</v>
      </c>
      <c r="P1540" s="194" t="s">
        <v>7380</v>
      </c>
      <c r="Q1540" s="49" t="s">
        <v>75</v>
      </c>
      <c r="R1540" s="25" t="s">
        <v>504</v>
      </c>
      <c r="S1540" s="26">
        <v>20</v>
      </c>
      <c r="T1540" s="26">
        <v>71</v>
      </c>
      <c r="U1540" s="28" t="s">
        <v>7381</v>
      </c>
      <c r="V1540" s="66"/>
      <c r="W1540" s="106"/>
      <c r="X1540" s="106" t="s">
        <v>176</v>
      </c>
      <c r="Y1540" s="26"/>
      <c r="Z1540" s="75" t="s">
        <v>106</v>
      </c>
      <c r="AA1540" s="30"/>
    </row>
    <row r="1541" spans="1:28" ht="68.25" hidden="1" customHeight="1">
      <c r="A1541" s="98">
        <v>1531</v>
      </c>
      <c r="B1541" s="79" t="s">
        <v>7382</v>
      </c>
      <c r="C1541" s="148" t="s">
        <v>10</v>
      </c>
      <c r="D1541" s="80" t="s">
        <v>63</v>
      </c>
      <c r="E1541" s="27" t="s">
        <v>7383</v>
      </c>
      <c r="F1541" s="80" t="s">
        <v>120</v>
      </c>
      <c r="G1541" s="81" t="s">
        <v>5893</v>
      </c>
      <c r="H1541" s="80" t="s">
        <v>7384</v>
      </c>
      <c r="I1541" s="92">
        <v>45904</v>
      </c>
      <c r="J1541" s="80" t="s">
        <v>3565</v>
      </c>
      <c r="K1541" s="80" t="s">
        <v>3373</v>
      </c>
      <c r="L1541" s="84" t="s">
        <v>189</v>
      </c>
      <c r="M1541" s="84" t="s">
        <v>252</v>
      </c>
      <c r="N1541" s="84" t="s">
        <v>72</v>
      </c>
      <c r="O1541" s="309" t="s">
        <v>7385</v>
      </c>
      <c r="P1541" s="194" t="s">
        <v>7386</v>
      </c>
      <c r="Q1541" s="49" t="s">
        <v>75</v>
      </c>
      <c r="R1541" s="25" t="s">
        <v>91</v>
      </c>
      <c r="S1541" s="26">
        <v>25</v>
      </c>
      <c r="T1541" s="26">
        <v>48</v>
      </c>
      <c r="U1541" s="28" t="s">
        <v>7387</v>
      </c>
      <c r="V1541" s="66"/>
      <c r="W1541" s="106"/>
      <c r="X1541" s="106" t="s">
        <v>176</v>
      </c>
      <c r="Y1541" s="26"/>
      <c r="Z1541" s="75" t="s">
        <v>93</v>
      </c>
      <c r="AA1541" s="30"/>
    </row>
    <row r="1542" spans="1:28" ht="67.5" hidden="1" customHeight="1">
      <c r="A1542" s="98">
        <v>1532</v>
      </c>
      <c r="B1542" s="79" t="s">
        <v>7388</v>
      </c>
      <c r="C1542" s="148" t="s">
        <v>10</v>
      </c>
      <c r="D1542" s="80" t="s">
        <v>63</v>
      </c>
      <c r="E1542" s="27" t="s">
        <v>7389</v>
      </c>
      <c r="F1542" s="80" t="s">
        <v>120</v>
      </c>
      <c r="G1542" s="81" t="s">
        <v>7390</v>
      </c>
      <c r="H1542" s="80" t="s">
        <v>7391</v>
      </c>
      <c r="I1542" s="92">
        <v>45904</v>
      </c>
      <c r="J1542" s="80" t="s">
        <v>3565</v>
      </c>
      <c r="K1542" s="80" t="s">
        <v>3373</v>
      </c>
      <c r="L1542" s="84" t="s">
        <v>189</v>
      </c>
      <c r="M1542" s="84" t="s">
        <v>252</v>
      </c>
      <c r="N1542" s="84" t="s">
        <v>72</v>
      </c>
      <c r="O1542" s="309" t="s">
        <v>7392</v>
      </c>
      <c r="P1542" s="194" t="s">
        <v>7393</v>
      </c>
      <c r="Q1542" s="49" t="s">
        <v>75</v>
      </c>
      <c r="R1542" s="25" t="s">
        <v>91</v>
      </c>
      <c r="S1542" s="26">
        <v>21</v>
      </c>
      <c r="T1542" s="26">
        <v>43</v>
      </c>
      <c r="U1542" s="28" t="s">
        <v>7394</v>
      </c>
      <c r="V1542" s="66"/>
      <c r="W1542" s="106"/>
      <c r="X1542" s="106" t="s">
        <v>176</v>
      </c>
      <c r="Y1542" s="26"/>
      <c r="Z1542" s="75" t="s">
        <v>93</v>
      </c>
      <c r="AA1542" s="30"/>
    </row>
    <row r="1543" spans="1:28" ht="36" hidden="1" customHeight="1">
      <c r="A1543" s="98">
        <v>1533</v>
      </c>
      <c r="B1543" s="79" t="s">
        <v>7395</v>
      </c>
      <c r="C1543" s="148" t="s">
        <v>10</v>
      </c>
      <c r="D1543" s="80" t="s">
        <v>63</v>
      </c>
      <c r="E1543" s="27" t="s">
        <v>7396</v>
      </c>
      <c r="F1543" s="80" t="s">
        <v>109</v>
      </c>
      <c r="G1543" s="81" t="s">
        <v>5893</v>
      </c>
      <c r="H1543" s="80" t="s">
        <v>7397</v>
      </c>
      <c r="I1543" s="92">
        <v>45904</v>
      </c>
      <c r="J1543" s="80" t="s">
        <v>4109</v>
      </c>
      <c r="K1543" s="80" t="s">
        <v>3373</v>
      </c>
      <c r="L1543" s="84" t="s">
        <v>10</v>
      </c>
      <c r="M1543" s="84" t="s">
        <v>200</v>
      </c>
      <c r="N1543" s="84" t="s">
        <v>72</v>
      </c>
      <c r="O1543" s="309" t="s">
        <v>7398</v>
      </c>
      <c r="P1543" s="194" t="s">
        <v>7399</v>
      </c>
      <c r="Q1543" s="49" t="s">
        <v>75</v>
      </c>
      <c r="R1543" s="25" t="s">
        <v>91</v>
      </c>
      <c r="S1543" s="26">
        <v>25</v>
      </c>
      <c r="T1543" s="26">
        <v>59</v>
      </c>
      <c r="U1543" s="28" t="s">
        <v>7394</v>
      </c>
      <c r="V1543" s="66"/>
      <c r="W1543" s="106"/>
      <c r="X1543" s="106" t="s">
        <v>176</v>
      </c>
      <c r="Y1543" s="26"/>
      <c r="Z1543" s="75" t="s">
        <v>93</v>
      </c>
      <c r="AA1543" s="30"/>
    </row>
    <row r="1544" spans="1:28" ht="54" hidden="1" customHeight="1">
      <c r="A1544" s="98">
        <v>1534</v>
      </c>
      <c r="B1544" s="79" t="s">
        <v>7400</v>
      </c>
      <c r="C1544" s="148" t="s">
        <v>10</v>
      </c>
      <c r="D1544" s="80" t="s">
        <v>63</v>
      </c>
      <c r="E1544" s="27" t="s">
        <v>6239</v>
      </c>
      <c r="F1544" s="80" t="s">
        <v>65</v>
      </c>
      <c r="G1544" s="81" t="s">
        <v>5893</v>
      </c>
      <c r="H1544" s="80" t="s">
        <v>6240</v>
      </c>
      <c r="I1544" s="92">
        <v>45905</v>
      </c>
      <c r="J1544" s="80" t="s">
        <v>3565</v>
      </c>
      <c r="K1544" s="80" t="s">
        <v>299</v>
      </c>
      <c r="L1544" s="84" t="s">
        <v>189</v>
      </c>
      <c r="M1544" s="84" t="s">
        <v>252</v>
      </c>
      <c r="N1544" s="84" t="s">
        <v>72</v>
      </c>
      <c r="O1544" s="309" t="s">
        <v>7401</v>
      </c>
      <c r="P1544" s="194" t="s">
        <v>7402</v>
      </c>
      <c r="Q1544" s="49" t="s">
        <v>75</v>
      </c>
      <c r="R1544" s="25" t="s">
        <v>504</v>
      </c>
      <c r="S1544" s="26">
        <v>21</v>
      </c>
      <c r="T1544" s="26">
        <v>73</v>
      </c>
      <c r="U1544" s="28" t="s">
        <v>7403</v>
      </c>
      <c r="V1544" s="66"/>
      <c r="W1544" s="106"/>
      <c r="X1544" s="106" t="s">
        <v>176</v>
      </c>
      <c r="Y1544" s="26"/>
      <c r="Z1544" s="75" t="s">
        <v>106</v>
      </c>
      <c r="AA1544" s="30"/>
    </row>
    <row r="1545" spans="1:28" ht="51.75" hidden="1" customHeight="1">
      <c r="A1545" s="98">
        <v>1535</v>
      </c>
      <c r="B1545" s="79" t="s">
        <v>7404</v>
      </c>
      <c r="C1545" s="148" t="s">
        <v>10</v>
      </c>
      <c r="D1545" s="80" t="s">
        <v>63</v>
      </c>
      <c r="E1545" s="27" t="s">
        <v>7383</v>
      </c>
      <c r="F1545" s="80" t="s">
        <v>120</v>
      </c>
      <c r="G1545" s="81" t="s">
        <v>5893</v>
      </c>
      <c r="H1545" s="80" t="s">
        <v>7384</v>
      </c>
      <c r="I1545" s="92">
        <v>45905</v>
      </c>
      <c r="J1545" s="80" t="s">
        <v>3565</v>
      </c>
      <c r="K1545" s="80" t="s">
        <v>3373</v>
      </c>
      <c r="L1545" s="84" t="s">
        <v>189</v>
      </c>
      <c r="M1545" s="84" t="s">
        <v>595</v>
      </c>
      <c r="N1545" s="84" t="s">
        <v>72</v>
      </c>
      <c r="O1545" s="309" t="s">
        <v>7405</v>
      </c>
      <c r="P1545" s="194" t="s">
        <v>7406</v>
      </c>
      <c r="Q1545" s="49" t="s">
        <v>91</v>
      </c>
      <c r="R1545" s="25"/>
      <c r="S1545" s="26">
        <v>8</v>
      </c>
      <c r="T1545" s="26"/>
      <c r="U1545" s="28" t="s">
        <v>7407</v>
      </c>
      <c r="V1545" s="66"/>
      <c r="W1545" s="106"/>
      <c r="X1545" s="106" t="s">
        <v>76</v>
      </c>
      <c r="Y1545" s="26"/>
      <c r="Z1545" s="75" t="s">
        <v>193</v>
      </c>
      <c r="AA1545" s="30"/>
      <c r="AB1545" s="25" t="s">
        <v>75</v>
      </c>
    </row>
    <row r="1546" spans="1:28" ht="35.25" hidden="1" customHeight="1">
      <c r="A1546" s="98">
        <v>1536</v>
      </c>
      <c r="B1546" s="79" t="s">
        <v>7408</v>
      </c>
      <c r="C1546" s="148" t="s">
        <v>10</v>
      </c>
      <c r="D1546" s="80" t="s">
        <v>63</v>
      </c>
      <c r="E1546" s="27" t="s">
        <v>5892</v>
      </c>
      <c r="F1546" s="80" t="s">
        <v>65</v>
      </c>
      <c r="G1546" s="81" t="s">
        <v>5893</v>
      </c>
      <c r="H1546" s="80" t="s">
        <v>5894</v>
      </c>
      <c r="I1546" s="92">
        <v>45905</v>
      </c>
      <c r="J1546" s="80" t="s">
        <v>3505</v>
      </c>
      <c r="K1546" s="80" t="s">
        <v>3373</v>
      </c>
      <c r="L1546" s="84" t="s">
        <v>251</v>
      </c>
      <c r="M1546" s="84" t="s">
        <v>904</v>
      </c>
      <c r="N1546" s="84" t="s">
        <v>253</v>
      </c>
      <c r="O1546" s="309" t="s">
        <v>7409</v>
      </c>
      <c r="P1546" s="194" t="s">
        <v>7410</v>
      </c>
      <c r="Q1546" s="49" t="s">
        <v>91</v>
      </c>
      <c r="R1546" s="25"/>
      <c r="S1546" s="26">
        <v>6</v>
      </c>
      <c r="T1546" s="26"/>
      <c r="U1546" s="28" t="s">
        <v>7411</v>
      </c>
      <c r="V1546" s="66"/>
      <c r="W1546" s="106"/>
      <c r="X1546" s="106" t="s">
        <v>76</v>
      </c>
      <c r="Y1546" s="26"/>
      <c r="Z1546" s="75" t="s">
        <v>193</v>
      </c>
      <c r="AA1546" s="30"/>
      <c r="AB1546" s="25" t="s">
        <v>75</v>
      </c>
    </row>
    <row r="1547" spans="1:28" ht="39" hidden="1" customHeight="1">
      <c r="A1547" s="98">
        <v>1537</v>
      </c>
      <c r="B1547" s="79" t="s">
        <v>7412</v>
      </c>
      <c r="C1547" s="148" t="s">
        <v>10</v>
      </c>
      <c r="D1547" s="80" t="s">
        <v>63</v>
      </c>
      <c r="E1547" s="27" t="s">
        <v>7413</v>
      </c>
      <c r="F1547" s="80" t="s">
        <v>65</v>
      </c>
      <c r="G1547" s="81" t="s">
        <v>5893</v>
      </c>
      <c r="H1547" s="80" t="s">
        <v>7414</v>
      </c>
      <c r="I1547" s="92">
        <v>45905</v>
      </c>
      <c r="J1547" s="80" t="s">
        <v>3565</v>
      </c>
      <c r="K1547" s="80" t="s">
        <v>299</v>
      </c>
      <c r="L1547" s="84" t="s">
        <v>189</v>
      </c>
      <c r="M1547" s="84" t="s">
        <v>252</v>
      </c>
      <c r="N1547" s="84" t="s">
        <v>72</v>
      </c>
      <c r="O1547" s="309" t="s">
        <v>7415</v>
      </c>
      <c r="P1547" s="194" t="s">
        <v>7416</v>
      </c>
      <c r="Q1547" s="49" t="s">
        <v>75</v>
      </c>
      <c r="R1547" s="25" t="s">
        <v>91</v>
      </c>
      <c r="S1547" s="26">
        <v>20</v>
      </c>
      <c r="T1547" s="26">
        <v>60</v>
      </c>
      <c r="U1547" s="28" t="s">
        <v>7417</v>
      </c>
      <c r="V1547" s="66"/>
      <c r="W1547" s="106"/>
      <c r="X1547" s="106" t="s">
        <v>176</v>
      </c>
      <c r="Y1547" s="26"/>
      <c r="Z1547" s="75" t="s">
        <v>93</v>
      </c>
      <c r="AA1547" s="30"/>
    </row>
    <row r="1548" spans="1:28" ht="42" hidden="1" customHeight="1">
      <c r="A1548" s="98">
        <v>1538</v>
      </c>
      <c r="B1548" s="79" t="s">
        <v>7418</v>
      </c>
      <c r="C1548" s="148" t="s">
        <v>9</v>
      </c>
      <c r="D1548" s="80" t="s">
        <v>83</v>
      </c>
      <c r="E1548" s="27" t="s">
        <v>1299</v>
      </c>
      <c r="F1548" s="80" t="s">
        <v>120</v>
      </c>
      <c r="G1548" s="81" t="s">
        <v>1286</v>
      </c>
      <c r="H1548" s="80" t="s">
        <v>1300</v>
      </c>
      <c r="I1548" s="92">
        <v>45908</v>
      </c>
      <c r="J1548" s="80" t="s">
        <v>3543</v>
      </c>
      <c r="K1548" s="80" t="s">
        <v>112</v>
      </c>
      <c r="L1548" s="84" t="s">
        <v>122</v>
      </c>
      <c r="M1548" s="84" t="s">
        <v>114</v>
      </c>
      <c r="N1548" s="84" t="s">
        <v>72</v>
      </c>
      <c r="O1548" s="194" t="s">
        <v>7419</v>
      </c>
      <c r="P1548" s="194" t="s">
        <v>7420</v>
      </c>
      <c r="Q1548" s="49" t="s">
        <v>75</v>
      </c>
      <c r="R1548" s="25" t="s">
        <v>91</v>
      </c>
      <c r="S1548" s="26">
        <v>19</v>
      </c>
      <c r="T1548" s="26">
        <v>48</v>
      </c>
      <c r="U1548" s="28" t="s">
        <v>7421</v>
      </c>
      <c r="V1548" s="66"/>
      <c r="W1548" s="106"/>
      <c r="X1548" s="106" t="s">
        <v>176</v>
      </c>
      <c r="Y1548" s="26"/>
      <c r="Z1548" s="75" t="s">
        <v>93</v>
      </c>
      <c r="AA1548" s="30"/>
    </row>
    <row r="1549" spans="1:28" ht="31.5" hidden="1" customHeight="1">
      <c r="A1549" s="98">
        <v>1539</v>
      </c>
      <c r="B1549" s="79" t="s">
        <v>7422</v>
      </c>
      <c r="C1549" s="148" t="s">
        <v>8</v>
      </c>
      <c r="D1549" s="80" t="s">
        <v>63</v>
      </c>
      <c r="E1549" s="27" t="s">
        <v>2447</v>
      </c>
      <c r="F1549" s="80" t="s">
        <v>109</v>
      </c>
      <c r="G1549" s="81" t="s">
        <v>1562</v>
      </c>
      <c r="H1549" s="80" t="s">
        <v>2448</v>
      </c>
      <c r="I1549" s="92">
        <v>45909</v>
      </c>
      <c r="J1549" s="80" t="s">
        <v>3941</v>
      </c>
      <c r="K1549" s="80" t="s">
        <v>146</v>
      </c>
      <c r="L1549" s="84" t="s">
        <v>113</v>
      </c>
      <c r="M1549" s="84" t="s">
        <v>784</v>
      </c>
      <c r="N1549" s="84" t="s">
        <v>72</v>
      </c>
      <c r="O1549" s="194" t="s">
        <v>7423</v>
      </c>
      <c r="P1549" s="194" t="s">
        <v>7424</v>
      </c>
      <c r="Q1549" s="49" t="s">
        <v>91</v>
      </c>
      <c r="R1549" s="25"/>
      <c r="S1549" s="26">
        <v>16</v>
      </c>
      <c r="T1549" s="26"/>
      <c r="U1549" s="28" t="s">
        <v>7425</v>
      </c>
      <c r="V1549" s="66"/>
      <c r="W1549" s="106"/>
      <c r="X1549" s="106" t="s">
        <v>76</v>
      </c>
      <c r="Y1549" s="26"/>
      <c r="Z1549" s="75" t="s">
        <v>193</v>
      </c>
      <c r="AA1549" s="30"/>
    </row>
    <row r="1550" spans="1:28" ht="40.5" hidden="1" customHeight="1">
      <c r="A1550" s="98">
        <v>1540</v>
      </c>
      <c r="B1550" s="79" t="s">
        <v>7426</v>
      </c>
      <c r="C1550" s="148" t="s">
        <v>8</v>
      </c>
      <c r="D1550" s="80" t="s">
        <v>63</v>
      </c>
      <c r="E1550" s="27" t="s">
        <v>2482</v>
      </c>
      <c r="F1550" s="80" t="s">
        <v>109</v>
      </c>
      <c r="G1550" s="81" t="s">
        <v>1562</v>
      </c>
      <c r="H1550" s="80" t="s">
        <v>670</v>
      </c>
      <c r="I1550" s="92">
        <v>45909</v>
      </c>
      <c r="J1550" s="80" t="s">
        <v>3941</v>
      </c>
      <c r="K1550" s="80" t="s">
        <v>146</v>
      </c>
      <c r="L1550" s="84" t="s">
        <v>113</v>
      </c>
      <c r="M1550" s="84" t="s">
        <v>784</v>
      </c>
      <c r="N1550" s="84" t="s">
        <v>72</v>
      </c>
      <c r="O1550" s="194" t="s">
        <v>7427</v>
      </c>
      <c r="P1550" s="194" t="s">
        <v>7427</v>
      </c>
      <c r="Q1550" s="49" t="s">
        <v>91</v>
      </c>
      <c r="R1550" s="25"/>
      <c r="S1550" s="26">
        <v>16</v>
      </c>
      <c r="T1550" s="26"/>
      <c r="U1550" s="28" t="s">
        <v>7425</v>
      </c>
      <c r="V1550" s="66"/>
      <c r="W1550" s="106"/>
      <c r="X1550" s="106" t="s">
        <v>76</v>
      </c>
      <c r="Y1550" s="26"/>
      <c r="Z1550" s="75" t="s">
        <v>193</v>
      </c>
      <c r="AA1550" s="30"/>
    </row>
    <row r="1551" spans="1:28" ht="36" hidden="1" customHeight="1">
      <c r="A1551" s="98">
        <v>1541</v>
      </c>
      <c r="B1551" s="79" t="s">
        <v>7428</v>
      </c>
      <c r="C1551" s="148" t="s">
        <v>8</v>
      </c>
      <c r="D1551" s="80" t="s">
        <v>63</v>
      </c>
      <c r="E1551" s="27" t="s">
        <v>2404</v>
      </c>
      <c r="F1551" s="80" t="s">
        <v>65</v>
      </c>
      <c r="G1551" s="81" t="s">
        <v>1132</v>
      </c>
      <c r="H1551" s="80" t="s">
        <v>2405</v>
      </c>
      <c r="I1551" s="92">
        <v>45909</v>
      </c>
      <c r="J1551" s="80" t="s">
        <v>525</v>
      </c>
      <c r="K1551" s="80" t="s">
        <v>146</v>
      </c>
      <c r="L1551" s="84" t="s">
        <v>300</v>
      </c>
      <c r="M1551" s="84" t="s">
        <v>148</v>
      </c>
      <c r="N1551" s="84" t="s">
        <v>72</v>
      </c>
      <c r="O1551" s="194" t="s">
        <v>7429</v>
      </c>
      <c r="P1551" s="194" t="s">
        <v>7430</v>
      </c>
      <c r="Q1551" s="49" t="s">
        <v>75</v>
      </c>
      <c r="R1551" s="25" t="s">
        <v>91</v>
      </c>
      <c r="S1551" s="26">
        <v>18</v>
      </c>
      <c r="T1551" s="26">
        <v>60</v>
      </c>
      <c r="U1551" s="28" t="s">
        <v>7431</v>
      </c>
      <c r="V1551" s="66"/>
      <c r="W1551" s="106"/>
      <c r="X1551" s="106" t="s">
        <v>176</v>
      </c>
      <c r="Y1551" s="26"/>
      <c r="Z1551" s="75" t="s">
        <v>93</v>
      </c>
      <c r="AA1551" s="30"/>
    </row>
    <row r="1552" spans="1:28" ht="43.5" hidden="1" customHeight="1">
      <c r="A1552" s="98">
        <v>1542</v>
      </c>
      <c r="B1552" s="79" t="s">
        <v>7432</v>
      </c>
      <c r="C1552" s="148" t="s">
        <v>8</v>
      </c>
      <c r="D1552" s="80" t="s">
        <v>63</v>
      </c>
      <c r="E1552" s="27" t="s">
        <v>2404</v>
      </c>
      <c r="F1552" s="80" t="s">
        <v>65</v>
      </c>
      <c r="G1552" s="81" t="s">
        <v>1132</v>
      </c>
      <c r="H1552" s="80" t="s">
        <v>2405</v>
      </c>
      <c r="I1552" s="92">
        <v>45909</v>
      </c>
      <c r="J1552" s="80" t="s">
        <v>3595</v>
      </c>
      <c r="K1552" s="80" t="s">
        <v>146</v>
      </c>
      <c r="L1552" s="84" t="s">
        <v>147</v>
      </c>
      <c r="M1552" s="84" t="s">
        <v>101</v>
      </c>
      <c r="N1552" s="84" t="s">
        <v>72</v>
      </c>
      <c r="O1552" s="194" t="s">
        <v>7433</v>
      </c>
      <c r="P1552" s="194" t="s">
        <v>7434</v>
      </c>
      <c r="Q1552" s="49" t="s">
        <v>75</v>
      </c>
      <c r="R1552" s="25" t="s">
        <v>91</v>
      </c>
      <c r="S1552" s="26">
        <v>18</v>
      </c>
      <c r="T1552" s="26">
        <v>60</v>
      </c>
      <c r="U1552" s="28" t="s">
        <v>7435</v>
      </c>
      <c r="V1552" s="66"/>
      <c r="W1552" s="106"/>
      <c r="X1552" s="106" t="s">
        <v>176</v>
      </c>
      <c r="Y1552" s="26"/>
      <c r="Z1552" s="75" t="s">
        <v>93</v>
      </c>
      <c r="AA1552" s="30"/>
    </row>
    <row r="1553" spans="1:28" ht="44.25" hidden="1" customHeight="1">
      <c r="A1553" s="98">
        <v>1543</v>
      </c>
      <c r="B1553" s="79" t="s">
        <v>7436</v>
      </c>
      <c r="C1553" s="148" t="s">
        <v>8</v>
      </c>
      <c r="D1553" s="80" t="s">
        <v>63</v>
      </c>
      <c r="E1553" s="27" t="s">
        <v>2404</v>
      </c>
      <c r="F1553" s="80" t="s">
        <v>65</v>
      </c>
      <c r="G1553" s="81" t="s">
        <v>1132</v>
      </c>
      <c r="H1553" s="80" t="s">
        <v>2405</v>
      </c>
      <c r="I1553" s="92">
        <v>45909</v>
      </c>
      <c r="J1553" s="80" t="s">
        <v>3505</v>
      </c>
      <c r="K1553" s="80" t="s">
        <v>146</v>
      </c>
      <c r="L1553" s="84" t="s">
        <v>147</v>
      </c>
      <c r="M1553" s="84" t="s">
        <v>148</v>
      </c>
      <c r="N1553" s="84" t="s">
        <v>72</v>
      </c>
      <c r="O1553" s="194" t="s">
        <v>7437</v>
      </c>
      <c r="P1553" s="194" t="s">
        <v>7438</v>
      </c>
      <c r="Q1553" s="49" t="s">
        <v>75</v>
      </c>
      <c r="R1553" s="25" t="s">
        <v>91</v>
      </c>
      <c r="S1553" s="26">
        <v>18</v>
      </c>
      <c r="T1553" s="26">
        <v>60</v>
      </c>
      <c r="U1553" s="28" t="s">
        <v>7439</v>
      </c>
      <c r="V1553" s="66"/>
      <c r="W1553" s="106"/>
      <c r="X1553" s="106" t="s">
        <v>176</v>
      </c>
      <c r="Y1553" s="26"/>
      <c r="Z1553" s="75" t="s">
        <v>93</v>
      </c>
      <c r="AA1553" s="30"/>
    </row>
    <row r="1554" spans="1:28" ht="46.5" hidden="1" customHeight="1">
      <c r="A1554" s="98">
        <v>1544</v>
      </c>
      <c r="B1554" s="79" t="s">
        <v>7440</v>
      </c>
      <c r="C1554" s="148" t="s">
        <v>8</v>
      </c>
      <c r="D1554" s="80" t="s">
        <v>63</v>
      </c>
      <c r="E1554" s="27" t="s">
        <v>2404</v>
      </c>
      <c r="F1554" s="80" t="s">
        <v>65</v>
      </c>
      <c r="G1554" s="81" t="s">
        <v>1132</v>
      </c>
      <c r="H1554" s="80" t="s">
        <v>2405</v>
      </c>
      <c r="I1554" s="92">
        <v>45909</v>
      </c>
      <c r="J1554" s="80" t="s">
        <v>3512</v>
      </c>
      <c r="K1554" s="81" t="s">
        <v>146</v>
      </c>
      <c r="L1554" s="84" t="s">
        <v>300</v>
      </c>
      <c r="M1554" s="84" t="s">
        <v>221</v>
      </c>
      <c r="N1554" s="84" t="s">
        <v>72</v>
      </c>
      <c r="O1554" s="194" t="s">
        <v>7441</v>
      </c>
      <c r="P1554" s="194" t="s">
        <v>7442</v>
      </c>
      <c r="Q1554" s="49" t="s">
        <v>91</v>
      </c>
      <c r="R1554" s="25"/>
      <c r="S1554" s="26">
        <v>16</v>
      </c>
      <c r="T1554" s="26"/>
      <c r="U1554" s="28" t="s">
        <v>7443</v>
      </c>
      <c r="V1554" s="66"/>
      <c r="W1554" s="106"/>
      <c r="X1554" s="106" t="s">
        <v>76</v>
      </c>
      <c r="Y1554" s="26"/>
      <c r="Z1554" s="75" t="s">
        <v>193</v>
      </c>
      <c r="AA1554" s="30"/>
    </row>
    <row r="1555" spans="1:28" ht="46.5" hidden="1" customHeight="1">
      <c r="A1555" s="98">
        <v>1545</v>
      </c>
      <c r="B1555" s="79" t="s">
        <v>7444</v>
      </c>
      <c r="C1555" s="148" t="s">
        <v>8</v>
      </c>
      <c r="D1555" s="80" t="s">
        <v>63</v>
      </c>
      <c r="E1555" s="27" t="s">
        <v>3682</v>
      </c>
      <c r="F1555" s="80" t="s">
        <v>65</v>
      </c>
      <c r="G1555" s="81" t="s">
        <v>1701</v>
      </c>
      <c r="H1555" s="80" t="s">
        <v>3683</v>
      </c>
      <c r="I1555" s="92">
        <v>45910</v>
      </c>
      <c r="J1555" s="80" t="s">
        <v>3505</v>
      </c>
      <c r="K1555" s="80" t="s">
        <v>69</v>
      </c>
      <c r="L1555" s="84" t="s">
        <v>251</v>
      </c>
      <c r="M1555" s="84" t="s">
        <v>252</v>
      </c>
      <c r="N1555" s="84" t="s">
        <v>72</v>
      </c>
      <c r="O1555" s="194" t="s">
        <v>7445</v>
      </c>
      <c r="P1555" s="194" t="s">
        <v>7446</v>
      </c>
      <c r="Q1555" s="49" t="s">
        <v>91</v>
      </c>
      <c r="R1555" s="25"/>
      <c r="S1555" s="26">
        <v>12</v>
      </c>
      <c r="T1555" s="26"/>
      <c r="U1555" s="28" t="s">
        <v>7447</v>
      </c>
      <c r="V1555" s="66"/>
      <c r="W1555" s="106"/>
      <c r="X1555" s="106" t="s">
        <v>76</v>
      </c>
      <c r="Y1555" s="26"/>
      <c r="Z1555" s="75" t="s">
        <v>193</v>
      </c>
      <c r="AA1555" s="30"/>
    </row>
    <row r="1556" spans="1:28" ht="54" hidden="1" customHeight="1">
      <c r="A1556" s="98">
        <v>1546</v>
      </c>
      <c r="B1556" s="79" t="s">
        <v>7448</v>
      </c>
      <c r="C1556" s="148" t="s">
        <v>9</v>
      </c>
      <c r="D1556" s="80" t="s">
        <v>63</v>
      </c>
      <c r="E1556" s="27" t="s">
        <v>3555</v>
      </c>
      <c r="F1556" s="80" t="s">
        <v>65</v>
      </c>
      <c r="G1556" s="81" t="s">
        <v>2762</v>
      </c>
      <c r="H1556" s="80" t="s">
        <v>3556</v>
      </c>
      <c r="I1556" s="92">
        <v>45910</v>
      </c>
      <c r="J1556" s="80" t="s">
        <v>3595</v>
      </c>
      <c r="K1556" s="80" t="s">
        <v>69</v>
      </c>
      <c r="L1556" s="84" t="s">
        <v>100</v>
      </c>
      <c r="M1556" s="84" t="s">
        <v>784</v>
      </c>
      <c r="N1556" s="84" t="s">
        <v>72</v>
      </c>
      <c r="O1556" s="194" t="s">
        <v>7449</v>
      </c>
      <c r="P1556" s="194" t="s">
        <v>7450</v>
      </c>
      <c r="Q1556" s="49" t="s">
        <v>75</v>
      </c>
      <c r="R1556" s="25" t="s">
        <v>504</v>
      </c>
      <c r="S1556" s="26">
        <v>20</v>
      </c>
      <c r="T1556" s="26"/>
      <c r="U1556" s="28" t="s">
        <v>7451</v>
      </c>
      <c r="V1556" s="66"/>
      <c r="W1556" s="106"/>
      <c r="X1556" s="106" t="s">
        <v>176</v>
      </c>
      <c r="Y1556" s="26"/>
      <c r="Z1556" s="75" t="s">
        <v>106</v>
      </c>
      <c r="AA1556" s="30"/>
    </row>
    <row r="1557" spans="1:28" ht="62.25" hidden="1" customHeight="1">
      <c r="A1557" s="98">
        <v>1547</v>
      </c>
      <c r="B1557" s="79" t="s">
        <v>7452</v>
      </c>
      <c r="C1557" s="148" t="s">
        <v>9</v>
      </c>
      <c r="D1557" s="80" t="s">
        <v>83</v>
      </c>
      <c r="E1557" s="27" t="s">
        <v>1316</v>
      </c>
      <c r="F1557" s="80" t="s">
        <v>120</v>
      </c>
      <c r="G1557" s="81" t="s">
        <v>1286</v>
      </c>
      <c r="H1557" s="80" t="s">
        <v>1317</v>
      </c>
      <c r="I1557" s="202">
        <v>45910</v>
      </c>
      <c r="J1557" s="80" t="s">
        <v>3500</v>
      </c>
      <c r="K1557" s="80" t="s">
        <v>198</v>
      </c>
      <c r="L1557" s="84" t="s">
        <v>199</v>
      </c>
      <c r="M1557" s="84" t="s">
        <v>221</v>
      </c>
      <c r="N1557" s="84" t="s">
        <v>72</v>
      </c>
      <c r="O1557" s="194" t="s">
        <v>7453</v>
      </c>
      <c r="P1557" s="194" t="s">
        <v>7454</v>
      </c>
      <c r="Q1557" s="49" t="s">
        <v>75</v>
      </c>
      <c r="R1557" s="25" t="s">
        <v>91</v>
      </c>
      <c r="S1557" s="26">
        <v>18</v>
      </c>
      <c r="T1557" s="26">
        <v>58</v>
      </c>
      <c r="U1557" s="28" t="s">
        <v>7455</v>
      </c>
      <c r="V1557" s="66"/>
      <c r="W1557" s="106"/>
      <c r="X1557" s="106" t="s">
        <v>176</v>
      </c>
      <c r="Y1557" s="26"/>
      <c r="Z1557" s="75" t="s">
        <v>93</v>
      </c>
      <c r="AA1557" s="30"/>
    </row>
    <row r="1558" spans="1:28" ht="39.75" hidden="1" customHeight="1">
      <c r="A1558" s="98">
        <v>1548</v>
      </c>
      <c r="B1558" s="79" t="s">
        <v>7456</v>
      </c>
      <c r="C1558" s="148" t="s">
        <v>8</v>
      </c>
      <c r="D1558" s="80" t="s">
        <v>63</v>
      </c>
      <c r="E1558" s="27" t="s">
        <v>1983</v>
      </c>
      <c r="F1558" s="80" t="s">
        <v>109</v>
      </c>
      <c r="G1558" s="81" t="s">
        <v>1041</v>
      </c>
      <c r="H1558" s="80" t="s">
        <v>1984</v>
      </c>
      <c r="I1558" s="92">
        <v>45910</v>
      </c>
      <c r="J1558" s="80" t="s">
        <v>3517</v>
      </c>
      <c r="K1558" s="80" t="s">
        <v>69</v>
      </c>
      <c r="L1558" s="84" t="s">
        <v>300</v>
      </c>
      <c r="M1558" s="84" t="s">
        <v>784</v>
      </c>
      <c r="N1558" s="84" t="s">
        <v>72</v>
      </c>
      <c r="O1558" s="194" t="s">
        <v>7457</v>
      </c>
      <c r="P1558" s="194" t="s">
        <v>7458</v>
      </c>
      <c r="Q1558" s="49" t="s">
        <v>91</v>
      </c>
      <c r="R1558" s="25"/>
      <c r="S1558" s="55" t="s">
        <v>7459</v>
      </c>
      <c r="T1558" s="26"/>
      <c r="U1558" s="28" t="s">
        <v>7460</v>
      </c>
      <c r="V1558" s="66"/>
      <c r="W1558" s="106"/>
      <c r="X1558" s="106" t="s">
        <v>76</v>
      </c>
      <c r="Y1558" s="26"/>
      <c r="Z1558" s="75" t="s">
        <v>193</v>
      </c>
      <c r="AA1558" s="30"/>
    </row>
    <row r="1559" spans="1:28" ht="40.5" hidden="1" customHeight="1">
      <c r="A1559" s="98">
        <v>1549</v>
      </c>
      <c r="B1559" s="79" t="s">
        <v>7461</v>
      </c>
      <c r="C1559" s="148" t="s">
        <v>8</v>
      </c>
      <c r="D1559" s="80" t="s">
        <v>63</v>
      </c>
      <c r="E1559" s="27" t="s">
        <v>7191</v>
      </c>
      <c r="F1559" s="80" t="s">
        <v>65</v>
      </c>
      <c r="G1559" s="81" t="s">
        <v>995</v>
      </c>
      <c r="H1559" s="80" t="s">
        <v>7192</v>
      </c>
      <c r="I1559" s="92">
        <v>45911</v>
      </c>
      <c r="J1559" s="80" t="s">
        <v>3517</v>
      </c>
      <c r="K1559" s="80" t="s">
        <v>146</v>
      </c>
      <c r="L1559" s="84" t="s">
        <v>300</v>
      </c>
      <c r="M1559" s="84" t="s">
        <v>784</v>
      </c>
      <c r="N1559" s="84" t="s">
        <v>72</v>
      </c>
      <c r="O1559" s="200" t="s">
        <v>7462</v>
      </c>
      <c r="P1559" s="194" t="s">
        <v>7463</v>
      </c>
      <c r="Q1559" s="49" t="s">
        <v>75</v>
      </c>
      <c r="R1559" s="25" t="s">
        <v>91</v>
      </c>
      <c r="S1559" s="26">
        <v>18</v>
      </c>
      <c r="T1559" s="26">
        <v>58</v>
      </c>
      <c r="U1559" s="28" t="s">
        <v>7464</v>
      </c>
      <c r="V1559" s="66"/>
      <c r="W1559" s="106"/>
      <c r="X1559" s="106" t="s">
        <v>176</v>
      </c>
      <c r="Y1559" s="26"/>
      <c r="Z1559" s="75" t="s">
        <v>93</v>
      </c>
      <c r="AA1559" s="30"/>
    </row>
    <row r="1560" spans="1:28" ht="51.75" hidden="1" customHeight="1">
      <c r="A1560" s="98">
        <v>1550</v>
      </c>
      <c r="B1560" s="79" t="s">
        <v>7465</v>
      </c>
      <c r="C1560" s="148" t="s">
        <v>8</v>
      </c>
      <c r="D1560" s="80" t="s">
        <v>63</v>
      </c>
      <c r="E1560" s="27" t="s">
        <v>1983</v>
      </c>
      <c r="F1560" s="80" t="s">
        <v>109</v>
      </c>
      <c r="G1560" s="81" t="s">
        <v>1041</v>
      </c>
      <c r="H1560" s="80" t="s">
        <v>1984</v>
      </c>
      <c r="I1560" s="92">
        <v>45912</v>
      </c>
      <c r="J1560" s="80" t="s">
        <v>3565</v>
      </c>
      <c r="K1560" s="80" t="s">
        <v>299</v>
      </c>
      <c r="L1560" s="84" t="s">
        <v>189</v>
      </c>
      <c r="M1560" s="84" t="s">
        <v>595</v>
      </c>
      <c r="N1560" s="84" t="s">
        <v>72</v>
      </c>
      <c r="O1560" s="200" t="s">
        <v>7466</v>
      </c>
      <c r="P1560" s="194" t="s">
        <v>7467</v>
      </c>
      <c r="Q1560" s="49" t="s">
        <v>75</v>
      </c>
      <c r="R1560" s="25" t="s">
        <v>91</v>
      </c>
      <c r="S1560" s="26">
        <v>19</v>
      </c>
      <c r="T1560" s="26">
        <v>57</v>
      </c>
      <c r="U1560" s="28" t="s">
        <v>7468</v>
      </c>
      <c r="V1560" s="66"/>
      <c r="W1560" s="106"/>
      <c r="X1560" s="106" t="s">
        <v>176</v>
      </c>
      <c r="Y1560" s="26"/>
      <c r="Z1560" s="75" t="s">
        <v>93</v>
      </c>
      <c r="AA1560" s="30"/>
    </row>
    <row r="1561" spans="1:28" ht="54" hidden="1" customHeight="1">
      <c r="A1561" s="98">
        <v>1551</v>
      </c>
      <c r="B1561" s="79" t="s">
        <v>7469</v>
      </c>
      <c r="C1561" s="148" t="s">
        <v>8</v>
      </c>
      <c r="D1561" s="80" t="s">
        <v>63</v>
      </c>
      <c r="E1561" s="27" t="s">
        <v>4034</v>
      </c>
      <c r="F1561" s="80" t="s">
        <v>338</v>
      </c>
      <c r="G1561" s="81" t="s">
        <v>1132</v>
      </c>
      <c r="H1561" s="80" t="s">
        <v>4035</v>
      </c>
      <c r="I1561" s="92">
        <v>45912</v>
      </c>
      <c r="J1561" s="80" t="s">
        <v>3505</v>
      </c>
      <c r="K1561" s="80" t="s">
        <v>69</v>
      </c>
      <c r="L1561" s="84" t="s">
        <v>100</v>
      </c>
      <c r="M1561" s="84" t="s">
        <v>595</v>
      </c>
      <c r="N1561" s="84" t="s">
        <v>72</v>
      </c>
      <c r="O1561" s="200" t="s">
        <v>7470</v>
      </c>
      <c r="P1561" s="194" t="s">
        <v>7471</v>
      </c>
      <c r="Q1561" s="49" t="s">
        <v>75</v>
      </c>
      <c r="R1561" s="25" t="s">
        <v>91</v>
      </c>
      <c r="S1561" s="26">
        <v>20</v>
      </c>
      <c r="T1561" s="26">
        <v>44</v>
      </c>
      <c r="U1561" s="28" t="s">
        <v>7472</v>
      </c>
      <c r="V1561" s="66"/>
      <c r="W1561" s="106"/>
      <c r="X1561" s="106" t="s">
        <v>176</v>
      </c>
      <c r="Y1561" s="26"/>
      <c r="Z1561" s="75" t="s">
        <v>93</v>
      </c>
      <c r="AA1561" s="30"/>
    </row>
    <row r="1562" spans="1:28" ht="63" hidden="1" customHeight="1">
      <c r="A1562" s="98">
        <v>1552</v>
      </c>
      <c r="B1562" s="79" t="s">
        <v>7473</v>
      </c>
      <c r="C1562" s="148" t="s">
        <v>8</v>
      </c>
      <c r="D1562" s="80" t="s">
        <v>63</v>
      </c>
      <c r="E1562" s="27" t="s">
        <v>2613</v>
      </c>
      <c r="F1562" s="80" t="s">
        <v>109</v>
      </c>
      <c r="G1562" s="81" t="s">
        <v>995</v>
      </c>
      <c r="H1562" s="80" t="s">
        <v>2614</v>
      </c>
      <c r="I1562" s="92">
        <v>45915</v>
      </c>
      <c r="J1562" s="80" t="s">
        <v>3517</v>
      </c>
      <c r="K1562" s="80" t="s">
        <v>299</v>
      </c>
      <c r="L1562" s="84" t="s">
        <v>189</v>
      </c>
      <c r="M1562" s="84" t="s">
        <v>784</v>
      </c>
      <c r="N1562" s="84" t="s">
        <v>72</v>
      </c>
      <c r="O1562" s="200" t="s">
        <v>7474</v>
      </c>
      <c r="P1562" s="194" t="s">
        <v>7475</v>
      </c>
      <c r="Q1562" s="49" t="s">
        <v>91</v>
      </c>
      <c r="R1562" s="25"/>
      <c r="S1562" s="26">
        <v>6</v>
      </c>
      <c r="T1562" s="26"/>
      <c r="U1562" s="28" t="s">
        <v>3533</v>
      </c>
      <c r="V1562" s="66"/>
      <c r="W1562" s="106"/>
      <c r="X1562" s="106" t="s">
        <v>76</v>
      </c>
      <c r="Y1562" s="26"/>
      <c r="Z1562" s="75" t="s">
        <v>193</v>
      </c>
      <c r="AA1562" s="30"/>
    </row>
    <row r="1563" spans="1:28" ht="42" hidden="1" customHeight="1">
      <c r="A1563" s="98">
        <v>1553</v>
      </c>
      <c r="B1563" s="79" t="s">
        <v>7476</v>
      </c>
      <c r="C1563" s="148" t="s">
        <v>9</v>
      </c>
      <c r="D1563" s="80" t="s">
        <v>83</v>
      </c>
      <c r="E1563" s="27" t="s">
        <v>1304</v>
      </c>
      <c r="F1563" s="80" t="s">
        <v>120</v>
      </c>
      <c r="G1563" s="81" t="s">
        <v>1286</v>
      </c>
      <c r="H1563" s="80" t="s">
        <v>1305</v>
      </c>
      <c r="I1563" s="92">
        <v>45915</v>
      </c>
      <c r="J1563" s="80" t="s">
        <v>7477</v>
      </c>
      <c r="K1563" s="80" t="s">
        <v>112</v>
      </c>
      <c r="L1563" s="84" t="s">
        <v>189</v>
      </c>
      <c r="M1563" s="84" t="s">
        <v>853</v>
      </c>
      <c r="N1563" s="84" t="s">
        <v>72</v>
      </c>
      <c r="O1563" s="200" t="s">
        <v>7478</v>
      </c>
      <c r="P1563" s="194" t="s">
        <v>7479</v>
      </c>
      <c r="Q1563" s="49" t="s">
        <v>75</v>
      </c>
      <c r="R1563" s="25" t="s">
        <v>91</v>
      </c>
      <c r="S1563" s="26">
        <v>21</v>
      </c>
      <c r="T1563" s="26">
        <v>48</v>
      </c>
      <c r="U1563" s="28" t="s">
        <v>7480</v>
      </c>
      <c r="V1563" s="66"/>
      <c r="W1563" s="106"/>
      <c r="X1563" s="106" t="s">
        <v>176</v>
      </c>
      <c r="Y1563" s="26"/>
      <c r="Z1563" s="75" t="s">
        <v>93</v>
      </c>
      <c r="AA1563" s="30"/>
    </row>
    <row r="1564" spans="1:28" ht="36" hidden="1" customHeight="1">
      <c r="A1564" s="98">
        <v>1554</v>
      </c>
      <c r="B1564" s="79" t="s">
        <v>7481</v>
      </c>
      <c r="C1564" s="148" t="s">
        <v>9</v>
      </c>
      <c r="D1564" s="80" t="s">
        <v>83</v>
      </c>
      <c r="E1564" s="27" t="s">
        <v>1321</v>
      </c>
      <c r="F1564" s="80" t="s">
        <v>65</v>
      </c>
      <c r="G1564" s="81" t="s">
        <v>1286</v>
      </c>
      <c r="H1564" s="80" t="s">
        <v>1322</v>
      </c>
      <c r="I1564" s="92">
        <v>45915</v>
      </c>
      <c r="J1564" s="80" t="s">
        <v>3821</v>
      </c>
      <c r="K1564" s="80" t="s">
        <v>112</v>
      </c>
      <c r="L1564" s="84" t="s">
        <v>122</v>
      </c>
      <c r="M1564" s="84" t="s">
        <v>252</v>
      </c>
      <c r="N1564" s="84" t="s">
        <v>72</v>
      </c>
      <c r="O1564" s="200" t="s">
        <v>7482</v>
      </c>
      <c r="P1564" s="194" t="s">
        <v>7483</v>
      </c>
      <c r="Q1564" s="49" t="s">
        <v>91</v>
      </c>
      <c r="R1564" s="25"/>
      <c r="S1564" s="26" t="s">
        <v>59</v>
      </c>
      <c r="T1564" s="26"/>
      <c r="U1564" s="28" t="s">
        <v>7484</v>
      </c>
      <c r="V1564" s="66"/>
      <c r="W1564" s="106"/>
      <c r="X1564" s="106" t="s">
        <v>76</v>
      </c>
      <c r="Y1564" s="26"/>
      <c r="Z1564" s="75" t="s">
        <v>193</v>
      </c>
      <c r="AA1564" s="30"/>
      <c r="AB1564" s="25" t="s">
        <v>75</v>
      </c>
    </row>
    <row r="1565" spans="1:28" ht="39.75" hidden="1" customHeight="1">
      <c r="A1565" s="98">
        <v>1555</v>
      </c>
      <c r="B1565" s="79" t="s">
        <v>7485</v>
      </c>
      <c r="C1565" s="148" t="s">
        <v>5211</v>
      </c>
      <c r="D1565" s="80" t="s">
        <v>83</v>
      </c>
      <c r="E1565" s="27" t="s">
        <v>7486</v>
      </c>
      <c r="F1565" s="80" t="s">
        <v>109</v>
      </c>
      <c r="G1565" s="81" t="s">
        <v>85</v>
      </c>
      <c r="H1565" s="80" t="s">
        <v>3373</v>
      </c>
      <c r="I1565" s="92">
        <v>45915</v>
      </c>
      <c r="J1565" s="80" t="s">
        <v>3494</v>
      </c>
      <c r="K1565" s="80" t="s">
        <v>3373</v>
      </c>
      <c r="L1565" s="84" t="s">
        <v>199</v>
      </c>
      <c r="M1565" s="84" t="s">
        <v>200</v>
      </c>
      <c r="N1565" s="84" t="s">
        <v>72</v>
      </c>
      <c r="O1565" s="200" t="s">
        <v>7487</v>
      </c>
      <c r="P1565" s="194" t="s">
        <v>7488</v>
      </c>
      <c r="Q1565" s="49" t="s">
        <v>75</v>
      </c>
      <c r="R1565" s="25" t="s">
        <v>75</v>
      </c>
      <c r="S1565" s="26">
        <v>19</v>
      </c>
      <c r="T1565" s="26">
        <v>72</v>
      </c>
      <c r="U1565" s="28" t="s">
        <v>7489</v>
      </c>
      <c r="V1565" s="66"/>
      <c r="W1565" s="106"/>
      <c r="X1565" s="106" t="s">
        <v>176</v>
      </c>
      <c r="Y1565" s="26"/>
      <c r="Z1565" s="75" t="s">
        <v>76</v>
      </c>
      <c r="AA1565" s="30"/>
    </row>
    <row r="1566" spans="1:28" ht="42.75" hidden="1" customHeight="1">
      <c r="A1566" s="98">
        <v>1556</v>
      </c>
      <c r="B1566" s="79" t="s">
        <v>7490</v>
      </c>
      <c r="C1566" s="148" t="s">
        <v>10</v>
      </c>
      <c r="D1566" s="80" t="s">
        <v>63</v>
      </c>
      <c r="E1566" s="27" t="s">
        <v>7491</v>
      </c>
      <c r="F1566" s="80" t="s">
        <v>338</v>
      </c>
      <c r="G1566" s="81" t="s">
        <v>6012</v>
      </c>
      <c r="H1566" s="80" t="s">
        <v>7492</v>
      </c>
      <c r="I1566" s="92">
        <v>45916</v>
      </c>
      <c r="J1566" s="80" t="s">
        <v>3505</v>
      </c>
      <c r="K1566" s="80" t="s">
        <v>69</v>
      </c>
      <c r="L1566" s="84" t="s">
        <v>251</v>
      </c>
      <c r="M1566" s="84" t="s">
        <v>252</v>
      </c>
      <c r="N1566" s="201" t="s">
        <v>72</v>
      </c>
      <c r="O1566" s="310" t="s">
        <v>7493</v>
      </c>
      <c r="P1566" s="194" t="s">
        <v>7494</v>
      </c>
      <c r="Q1566" s="49" t="s">
        <v>75</v>
      </c>
      <c r="R1566" s="25" t="s">
        <v>91</v>
      </c>
      <c r="S1566" s="26">
        <v>20</v>
      </c>
      <c r="T1566" s="26">
        <v>48</v>
      </c>
      <c r="U1566" s="28" t="s">
        <v>7495</v>
      </c>
      <c r="V1566" s="66"/>
      <c r="W1566" s="106"/>
      <c r="X1566" s="106" t="s">
        <v>176</v>
      </c>
      <c r="Y1566" s="26"/>
      <c r="Z1566" s="75" t="s">
        <v>93</v>
      </c>
      <c r="AA1566" s="30"/>
    </row>
    <row r="1567" spans="1:28" ht="33.75" hidden="1" customHeight="1">
      <c r="A1567" s="98">
        <v>1557</v>
      </c>
      <c r="B1567" s="79" t="s">
        <v>7496</v>
      </c>
      <c r="C1567" s="148" t="s">
        <v>8</v>
      </c>
      <c r="D1567" s="80" t="s">
        <v>63</v>
      </c>
      <c r="E1567" s="27" t="s">
        <v>1983</v>
      </c>
      <c r="F1567" s="80" t="s">
        <v>109</v>
      </c>
      <c r="G1567" s="81" t="s">
        <v>1041</v>
      </c>
      <c r="H1567" s="80" t="s">
        <v>1984</v>
      </c>
      <c r="I1567" s="92">
        <v>45916</v>
      </c>
      <c r="J1567" s="80" t="s">
        <v>3505</v>
      </c>
      <c r="K1567" s="80" t="s">
        <v>69</v>
      </c>
      <c r="L1567" s="84" t="s">
        <v>251</v>
      </c>
      <c r="M1567" s="84" t="s">
        <v>595</v>
      </c>
      <c r="N1567" s="201" t="s">
        <v>72</v>
      </c>
      <c r="O1567" s="200" t="s">
        <v>7497</v>
      </c>
      <c r="P1567" s="194" t="s">
        <v>7498</v>
      </c>
      <c r="Q1567" s="49" t="s">
        <v>91</v>
      </c>
      <c r="R1567" s="25"/>
      <c r="S1567" s="26" t="s">
        <v>59</v>
      </c>
      <c r="T1567" s="26"/>
      <c r="U1567" s="28" t="s">
        <v>7499</v>
      </c>
      <c r="V1567" s="66"/>
      <c r="W1567" s="106"/>
      <c r="X1567" s="106" t="s">
        <v>76</v>
      </c>
      <c r="Y1567" s="26"/>
      <c r="Z1567" s="75" t="s">
        <v>193</v>
      </c>
      <c r="AA1567" s="30"/>
    </row>
    <row r="1568" spans="1:28" ht="39.75" hidden="1" customHeight="1">
      <c r="A1568" s="98">
        <v>1558</v>
      </c>
      <c r="B1568" s="79" t="s">
        <v>7500</v>
      </c>
      <c r="C1568" s="148" t="s">
        <v>8</v>
      </c>
      <c r="D1568" s="80" t="s">
        <v>63</v>
      </c>
      <c r="E1568" s="27" t="s">
        <v>7501</v>
      </c>
      <c r="F1568" s="80" t="s">
        <v>65</v>
      </c>
      <c r="G1568" s="81" t="s">
        <v>995</v>
      </c>
      <c r="H1568" s="80" t="s">
        <v>7502</v>
      </c>
      <c r="I1568" s="92">
        <v>45917</v>
      </c>
      <c r="J1568" s="80" t="s">
        <v>3543</v>
      </c>
      <c r="K1568" s="80" t="s">
        <v>112</v>
      </c>
      <c r="L1568" s="84" t="s">
        <v>122</v>
      </c>
      <c r="M1568" s="84" t="s">
        <v>114</v>
      </c>
      <c r="N1568" s="201" t="s">
        <v>72</v>
      </c>
      <c r="O1568" s="200" t="s">
        <v>7503</v>
      </c>
      <c r="P1568" s="194" t="s">
        <v>7504</v>
      </c>
      <c r="Q1568" s="49" t="s">
        <v>91</v>
      </c>
      <c r="R1568" s="25"/>
      <c r="S1568" s="26" t="s">
        <v>59</v>
      </c>
      <c r="T1568" s="26"/>
      <c r="U1568" s="28" t="s">
        <v>7505</v>
      </c>
      <c r="V1568" s="66"/>
      <c r="W1568" s="106"/>
      <c r="X1568" s="106" t="s">
        <v>76</v>
      </c>
      <c r="Y1568" s="26"/>
      <c r="Z1568" s="75" t="s">
        <v>193</v>
      </c>
      <c r="AA1568" s="30"/>
      <c r="AB1568" s="25" t="s">
        <v>75</v>
      </c>
    </row>
    <row r="1569" spans="1:28" ht="69" hidden="1" customHeight="1">
      <c r="A1569" s="98">
        <v>1559</v>
      </c>
      <c r="B1569" s="79" t="s">
        <v>7506</v>
      </c>
      <c r="C1569" s="148" t="s">
        <v>8</v>
      </c>
      <c r="D1569" s="80" t="s">
        <v>63</v>
      </c>
      <c r="E1569" s="27" t="s">
        <v>1992</v>
      </c>
      <c r="F1569" s="80" t="s">
        <v>338</v>
      </c>
      <c r="G1569" s="81" t="s">
        <v>995</v>
      </c>
      <c r="H1569" s="80" t="s">
        <v>1993</v>
      </c>
      <c r="I1569" s="92">
        <v>45917</v>
      </c>
      <c r="J1569" s="80" t="s">
        <v>3517</v>
      </c>
      <c r="K1569" s="80" t="s">
        <v>299</v>
      </c>
      <c r="L1569" s="84" t="s">
        <v>189</v>
      </c>
      <c r="M1569" s="84" t="s">
        <v>784</v>
      </c>
      <c r="N1569" s="201" t="s">
        <v>72</v>
      </c>
      <c r="O1569" s="200" t="s">
        <v>7507</v>
      </c>
      <c r="P1569" s="194" t="s">
        <v>7508</v>
      </c>
      <c r="Q1569" s="49" t="s">
        <v>75</v>
      </c>
      <c r="R1569" s="25" t="s">
        <v>504</v>
      </c>
      <c r="S1569" s="26">
        <v>21</v>
      </c>
      <c r="T1569" s="26">
        <v>72</v>
      </c>
      <c r="U1569" s="28" t="s">
        <v>7509</v>
      </c>
      <c r="V1569" s="66"/>
      <c r="W1569" s="106"/>
      <c r="X1569" s="106" t="s">
        <v>176</v>
      </c>
      <c r="Y1569" s="26"/>
      <c r="Z1569" s="75" t="s">
        <v>106</v>
      </c>
      <c r="AA1569" s="30"/>
    </row>
    <row r="1570" spans="1:28" ht="59.25" hidden="1" customHeight="1">
      <c r="A1570" s="98">
        <v>1560</v>
      </c>
      <c r="B1570" s="79" t="s">
        <v>7510</v>
      </c>
      <c r="C1570" s="148" t="s">
        <v>8</v>
      </c>
      <c r="D1570" s="80" t="s">
        <v>63</v>
      </c>
      <c r="E1570" s="27" t="s">
        <v>2677</v>
      </c>
      <c r="F1570" s="80" t="s">
        <v>120</v>
      </c>
      <c r="G1570" s="81" t="s">
        <v>651</v>
      </c>
      <c r="H1570" s="80" t="s">
        <v>2678</v>
      </c>
      <c r="I1570" s="92">
        <v>45917</v>
      </c>
      <c r="J1570" s="80" t="s">
        <v>3505</v>
      </c>
      <c r="K1570" s="80" t="s">
        <v>69</v>
      </c>
      <c r="L1570" s="84" t="s">
        <v>251</v>
      </c>
      <c r="M1570" s="84" t="s">
        <v>252</v>
      </c>
      <c r="N1570" s="201" t="s">
        <v>72</v>
      </c>
      <c r="O1570" s="200" t="s">
        <v>7511</v>
      </c>
      <c r="P1570" s="194" t="s">
        <v>7512</v>
      </c>
      <c r="Q1570" s="49" t="s">
        <v>75</v>
      </c>
      <c r="R1570" s="25" t="s">
        <v>91</v>
      </c>
      <c r="S1570" s="26">
        <v>20</v>
      </c>
      <c r="T1570" s="26">
        <v>42</v>
      </c>
      <c r="U1570" s="28" t="s">
        <v>7513</v>
      </c>
      <c r="V1570" s="66"/>
      <c r="W1570" s="106"/>
      <c r="X1570" s="106" t="s">
        <v>176</v>
      </c>
      <c r="Y1570" s="26"/>
      <c r="Z1570" s="75" t="s">
        <v>93</v>
      </c>
      <c r="AA1570" s="30"/>
    </row>
    <row r="1571" spans="1:28" ht="52.5" hidden="1" customHeight="1">
      <c r="A1571" s="98">
        <v>1561</v>
      </c>
      <c r="B1571" s="79" t="s">
        <v>7514</v>
      </c>
      <c r="C1571" s="148" t="s">
        <v>5211</v>
      </c>
      <c r="D1571" s="80" t="s">
        <v>83</v>
      </c>
      <c r="E1571" s="27" t="s">
        <v>5872</v>
      </c>
      <c r="F1571" s="80" t="s">
        <v>109</v>
      </c>
      <c r="G1571" s="81" t="s">
        <v>85</v>
      </c>
      <c r="H1571" s="80" t="s">
        <v>4386</v>
      </c>
      <c r="I1571" s="92">
        <v>45917</v>
      </c>
      <c r="J1571" s="80" t="s">
        <v>4385</v>
      </c>
      <c r="K1571" s="80" t="s">
        <v>5213</v>
      </c>
      <c r="L1571" s="84" t="s">
        <v>4387</v>
      </c>
      <c r="M1571" s="84" t="s">
        <v>595</v>
      </c>
      <c r="N1571" s="201" t="s">
        <v>72</v>
      </c>
      <c r="O1571" s="200" t="s">
        <v>7515</v>
      </c>
      <c r="P1571" s="194" t="s">
        <v>7516</v>
      </c>
      <c r="Q1571" s="49" t="s">
        <v>75</v>
      </c>
      <c r="R1571" s="25" t="s">
        <v>75</v>
      </c>
      <c r="S1571" s="26">
        <v>20</v>
      </c>
      <c r="T1571" s="26">
        <v>72</v>
      </c>
      <c r="U1571" s="28" t="s">
        <v>7517</v>
      </c>
      <c r="V1571" s="66" t="s">
        <v>75</v>
      </c>
      <c r="W1571" s="106" t="s">
        <v>175</v>
      </c>
      <c r="X1571" s="106" t="s">
        <v>176</v>
      </c>
      <c r="Y1571" s="26" t="s">
        <v>176</v>
      </c>
      <c r="Z1571" s="75" t="s">
        <v>76</v>
      </c>
      <c r="AA1571" s="30"/>
    </row>
    <row r="1572" spans="1:28" ht="46.5" hidden="1" customHeight="1">
      <c r="A1572" s="98">
        <v>1562</v>
      </c>
      <c r="B1572" s="79" t="s">
        <v>7518</v>
      </c>
      <c r="C1572" s="148" t="s">
        <v>8</v>
      </c>
      <c r="D1572" s="80" t="s">
        <v>63</v>
      </c>
      <c r="E1572" s="27" t="s">
        <v>7519</v>
      </c>
      <c r="F1572" s="80" t="s">
        <v>120</v>
      </c>
      <c r="G1572" s="81" t="s">
        <v>651</v>
      </c>
      <c r="H1572" s="80" t="s">
        <v>7520</v>
      </c>
      <c r="I1572" s="92">
        <v>45918</v>
      </c>
      <c r="J1572" s="80" t="s">
        <v>3505</v>
      </c>
      <c r="K1572" s="80" t="s">
        <v>69</v>
      </c>
      <c r="L1572" s="84" t="s">
        <v>251</v>
      </c>
      <c r="M1572" s="84" t="s">
        <v>252</v>
      </c>
      <c r="N1572" s="201" t="s">
        <v>72</v>
      </c>
      <c r="O1572" s="200" t="s">
        <v>7521</v>
      </c>
      <c r="P1572" s="194" t="s">
        <v>7522</v>
      </c>
      <c r="Q1572" s="49" t="s">
        <v>91</v>
      </c>
      <c r="R1572" s="25"/>
      <c r="S1572" s="55" t="s">
        <v>7523</v>
      </c>
      <c r="T1572" s="26"/>
      <c r="U1572" s="28"/>
      <c r="V1572" s="66"/>
      <c r="W1572" s="106"/>
      <c r="X1572" s="106" t="s">
        <v>76</v>
      </c>
      <c r="Y1572" s="26"/>
      <c r="Z1572" s="75" t="s">
        <v>193</v>
      </c>
      <c r="AA1572" s="30"/>
    </row>
    <row r="1573" spans="1:28" ht="54.75" hidden="1" customHeight="1">
      <c r="A1573" s="98">
        <v>1563</v>
      </c>
      <c r="B1573" s="79" t="s">
        <v>7524</v>
      </c>
      <c r="C1573" s="148" t="s">
        <v>8</v>
      </c>
      <c r="D1573" s="80" t="s">
        <v>63</v>
      </c>
      <c r="E1573" s="27" t="s">
        <v>3770</v>
      </c>
      <c r="F1573" s="80" t="s">
        <v>120</v>
      </c>
      <c r="G1573" s="81" t="s">
        <v>995</v>
      </c>
      <c r="H1573" s="80" t="s">
        <v>3771</v>
      </c>
      <c r="I1573" s="92">
        <v>45918</v>
      </c>
      <c r="J1573" s="80" t="s">
        <v>3505</v>
      </c>
      <c r="K1573" s="80" t="s">
        <v>69</v>
      </c>
      <c r="L1573" s="84" t="s">
        <v>251</v>
      </c>
      <c r="M1573" s="84" t="s">
        <v>252</v>
      </c>
      <c r="N1573" s="201" t="s">
        <v>72</v>
      </c>
      <c r="O1573" s="200" t="s">
        <v>7525</v>
      </c>
      <c r="P1573" s="194" t="s">
        <v>7526</v>
      </c>
      <c r="Q1573" s="49" t="s">
        <v>75</v>
      </c>
      <c r="R1573" s="25" t="s">
        <v>91</v>
      </c>
      <c r="S1573" s="26">
        <v>22</v>
      </c>
      <c r="T1573" s="26"/>
      <c r="U1573" s="28" t="s">
        <v>7527</v>
      </c>
      <c r="V1573" s="66"/>
      <c r="W1573" s="106"/>
      <c r="X1573" s="106" t="s">
        <v>176</v>
      </c>
      <c r="Y1573" s="26"/>
      <c r="Z1573" s="75" t="s">
        <v>93</v>
      </c>
      <c r="AA1573" s="30"/>
    </row>
    <row r="1574" spans="1:28" ht="53.25" hidden="1" customHeight="1">
      <c r="A1574" s="98">
        <v>1564</v>
      </c>
      <c r="B1574" s="79" t="s">
        <v>7528</v>
      </c>
      <c r="C1574" s="148" t="s">
        <v>8</v>
      </c>
      <c r="D1574" s="80" t="s">
        <v>63</v>
      </c>
      <c r="E1574" s="27" t="s">
        <v>7205</v>
      </c>
      <c r="F1574" s="80" t="s">
        <v>65</v>
      </c>
      <c r="G1574" s="81" t="s">
        <v>995</v>
      </c>
      <c r="H1574" s="80" t="s">
        <v>7206</v>
      </c>
      <c r="I1574" s="92">
        <v>45919</v>
      </c>
      <c r="J1574" s="80" t="s">
        <v>3543</v>
      </c>
      <c r="K1574" s="80" t="s">
        <v>112</v>
      </c>
      <c r="L1574" s="84" t="s">
        <v>122</v>
      </c>
      <c r="M1574" s="84" t="s">
        <v>114</v>
      </c>
      <c r="N1574" s="201" t="s">
        <v>72</v>
      </c>
      <c r="O1574" s="200" t="s">
        <v>7529</v>
      </c>
      <c r="P1574" s="194" t="s">
        <v>7530</v>
      </c>
      <c r="Q1574" s="49" t="s">
        <v>91</v>
      </c>
      <c r="R1574" s="25"/>
      <c r="S1574" s="26" t="s">
        <v>59</v>
      </c>
      <c r="T1574" s="26"/>
      <c r="U1574" s="28" t="s">
        <v>7531</v>
      </c>
      <c r="V1574" s="66"/>
      <c r="W1574" s="106"/>
      <c r="X1574" s="106" t="s">
        <v>76</v>
      </c>
      <c r="Y1574" s="102"/>
      <c r="Z1574" s="75" t="s">
        <v>193</v>
      </c>
      <c r="AA1574" s="30"/>
      <c r="AB1574" s="25" t="s">
        <v>75</v>
      </c>
    </row>
    <row r="1575" spans="1:28" ht="46.5" hidden="1" customHeight="1">
      <c r="A1575" s="98">
        <v>1565</v>
      </c>
      <c r="B1575" s="79" t="s">
        <v>7532</v>
      </c>
      <c r="C1575" s="148" t="s">
        <v>8</v>
      </c>
      <c r="D1575" s="80" t="s">
        <v>63</v>
      </c>
      <c r="E1575" s="27" t="s">
        <v>6767</v>
      </c>
      <c r="F1575" s="80" t="s">
        <v>65</v>
      </c>
      <c r="G1575" s="81" t="s">
        <v>995</v>
      </c>
      <c r="H1575" s="80" t="s">
        <v>6768</v>
      </c>
      <c r="I1575" s="92">
        <v>45919</v>
      </c>
      <c r="J1575" s="80" t="s">
        <v>3543</v>
      </c>
      <c r="K1575" s="80" t="s">
        <v>69</v>
      </c>
      <c r="L1575" s="84" t="s">
        <v>122</v>
      </c>
      <c r="M1575" s="84" t="s">
        <v>114</v>
      </c>
      <c r="N1575" s="201" t="s">
        <v>72</v>
      </c>
      <c r="O1575" s="200" t="s">
        <v>7533</v>
      </c>
      <c r="P1575" s="194" t="s">
        <v>7534</v>
      </c>
      <c r="Q1575" s="49" t="s">
        <v>75</v>
      </c>
      <c r="R1575" s="25" t="s">
        <v>91</v>
      </c>
      <c r="S1575" s="26">
        <v>18</v>
      </c>
      <c r="T1575" s="26">
        <v>42</v>
      </c>
      <c r="U1575" s="28" t="s">
        <v>7535</v>
      </c>
      <c r="V1575" s="66"/>
      <c r="W1575" s="106"/>
      <c r="X1575" s="106" t="s">
        <v>176</v>
      </c>
      <c r="Y1575" s="26"/>
      <c r="Z1575" s="75" t="s">
        <v>93</v>
      </c>
      <c r="AA1575" s="30"/>
    </row>
    <row r="1576" spans="1:28" ht="44.25" hidden="1" customHeight="1">
      <c r="A1576" s="98">
        <v>1566</v>
      </c>
      <c r="B1576" s="79" t="s">
        <v>7536</v>
      </c>
      <c r="C1576" s="148" t="s">
        <v>8</v>
      </c>
      <c r="D1576" s="80" t="s">
        <v>63</v>
      </c>
      <c r="E1576" s="27" t="s">
        <v>3929</v>
      </c>
      <c r="F1576" s="80" t="s">
        <v>120</v>
      </c>
      <c r="G1576" s="81" t="s">
        <v>1132</v>
      </c>
      <c r="H1576" s="80" t="s">
        <v>3930</v>
      </c>
      <c r="I1576" s="92">
        <v>45919</v>
      </c>
      <c r="J1576" s="80" t="s">
        <v>3526</v>
      </c>
      <c r="K1576" s="80" t="s">
        <v>299</v>
      </c>
      <c r="L1576" s="84" t="s">
        <v>300</v>
      </c>
      <c r="M1576" s="84" t="s">
        <v>114</v>
      </c>
      <c r="N1576" s="201" t="s">
        <v>72</v>
      </c>
      <c r="O1576" s="200" t="s">
        <v>7537</v>
      </c>
      <c r="P1576" s="194" t="s">
        <v>7538</v>
      </c>
      <c r="Q1576" s="49" t="s">
        <v>75</v>
      </c>
      <c r="R1576" s="25" t="s">
        <v>91</v>
      </c>
      <c r="S1576">
        <v>20</v>
      </c>
      <c r="T1576" s="26">
        <v>68</v>
      </c>
      <c r="U1576" s="28" t="s">
        <v>7539</v>
      </c>
      <c r="V1576" s="66"/>
      <c r="W1576" s="106"/>
      <c r="X1576" s="106" t="s">
        <v>176</v>
      </c>
      <c r="Y1576" s="26"/>
      <c r="Z1576" s="75" t="s">
        <v>93</v>
      </c>
      <c r="AA1576" s="30"/>
    </row>
    <row r="1577" spans="1:28" ht="46.5" hidden="1" customHeight="1">
      <c r="A1577" s="98">
        <v>1567</v>
      </c>
      <c r="B1577" s="79" t="s">
        <v>7540</v>
      </c>
      <c r="C1577" s="148" t="s">
        <v>10</v>
      </c>
      <c r="D1577" s="80" t="s">
        <v>63</v>
      </c>
      <c r="E1577" s="27" t="s">
        <v>3675</v>
      </c>
      <c r="F1577" s="80" t="s">
        <v>338</v>
      </c>
      <c r="G1577" s="81" t="s">
        <v>3676</v>
      </c>
      <c r="H1577" s="80" t="s">
        <v>3677</v>
      </c>
      <c r="I1577" s="92">
        <v>45919</v>
      </c>
      <c r="J1577" s="80" t="s">
        <v>3505</v>
      </c>
      <c r="K1577" s="80" t="s">
        <v>69</v>
      </c>
      <c r="L1577" s="84" t="s">
        <v>251</v>
      </c>
      <c r="M1577" s="84" t="s">
        <v>252</v>
      </c>
      <c r="N1577" s="201" t="s">
        <v>72</v>
      </c>
      <c r="O1577" s="310" t="s">
        <v>7541</v>
      </c>
      <c r="P1577" s="194" t="s">
        <v>7542</v>
      </c>
      <c r="Q1577" s="49" t="s">
        <v>75</v>
      </c>
      <c r="R1577" s="25" t="s">
        <v>504</v>
      </c>
      <c r="S1577" s="26">
        <v>24</v>
      </c>
      <c r="T1577" s="26"/>
      <c r="U1577" s="28" t="s">
        <v>7543</v>
      </c>
      <c r="V1577" s="66"/>
      <c r="W1577" s="106"/>
      <c r="X1577" s="106" t="s">
        <v>176</v>
      </c>
      <c r="Y1577" s="26"/>
      <c r="Z1577" s="75" t="s">
        <v>106</v>
      </c>
      <c r="AA1577" s="30"/>
    </row>
    <row r="1578" spans="1:28" ht="45" hidden="1" customHeight="1">
      <c r="A1578" s="98">
        <v>1568</v>
      </c>
      <c r="B1578" s="79" t="s">
        <v>7544</v>
      </c>
      <c r="C1578" s="148" t="s">
        <v>8</v>
      </c>
      <c r="D1578" s="80" t="s">
        <v>63</v>
      </c>
      <c r="E1578" s="27" t="s">
        <v>1983</v>
      </c>
      <c r="F1578" s="80" t="s">
        <v>109</v>
      </c>
      <c r="G1578" s="81" t="s">
        <v>1041</v>
      </c>
      <c r="H1578" s="80" t="s">
        <v>1984</v>
      </c>
      <c r="I1578" s="92">
        <v>45922</v>
      </c>
      <c r="J1578" s="80" t="s">
        <v>3565</v>
      </c>
      <c r="K1578" s="80" t="s">
        <v>5213</v>
      </c>
      <c r="L1578" s="84" t="s">
        <v>189</v>
      </c>
      <c r="M1578" s="84" t="s">
        <v>252</v>
      </c>
      <c r="N1578" s="201" t="s">
        <v>72</v>
      </c>
      <c r="O1578" s="200" t="s">
        <v>7545</v>
      </c>
      <c r="P1578" s="194" t="s">
        <v>7546</v>
      </c>
      <c r="Q1578" s="49" t="s">
        <v>91</v>
      </c>
      <c r="R1578" s="25"/>
      <c r="S1578" s="26">
        <v>14</v>
      </c>
      <c r="T1578" s="26"/>
      <c r="U1578" s="101" t="s">
        <v>7547</v>
      </c>
      <c r="V1578" s="66"/>
      <c r="W1578" s="106"/>
      <c r="X1578" s="106" t="s">
        <v>76</v>
      </c>
      <c r="Y1578" s="26"/>
      <c r="Z1578" s="75" t="s">
        <v>76</v>
      </c>
      <c r="AA1578" s="30"/>
    </row>
    <row r="1579" spans="1:28" ht="51.75" hidden="1" customHeight="1">
      <c r="A1579" s="98">
        <v>1569</v>
      </c>
      <c r="B1579" s="79" t="s">
        <v>7548</v>
      </c>
      <c r="C1579" s="148" t="s">
        <v>8</v>
      </c>
      <c r="D1579" s="80" t="s">
        <v>63</v>
      </c>
      <c r="E1579" s="27" t="s">
        <v>1983</v>
      </c>
      <c r="F1579" s="80" t="s">
        <v>109</v>
      </c>
      <c r="G1579" s="81" t="s">
        <v>1041</v>
      </c>
      <c r="H1579" s="80" t="s">
        <v>1984</v>
      </c>
      <c r="I1579" s="92">
        <v>45922</v>
      </c>
      <c r="J1579" s="80" t="s">
        <v>3505</v>
      </c>
      <c r="K1579" s="80" t="s">
        <v>69</v>
      </c>
      <c r="L1579" s="84" t="s">
        <v>100</v>
      </c>
      <c r="M1579" s="84" t="s">
        <v>252</v>
      </c>
      <c r="N1579" s="201" t="s">
        <v>72</v>
      </c>
      <c r="O1579" s="200" t="s">
        <v>7549</v>
      </c>
      <c r="P1579" s="194" t="s">
        <v>7550</v>
      </c>
      <c r="Q1579" s="49" t="s">
        <v>91</v>
      </c>
      <c r="R1579" s="25"/>
      <c r="S1579" s="55" t="s">
        <v>7551</v>
      </c>
      <c r="T1579" s="26"/>
      <c r="U1579" s="28"/>
      <c r="V1579" s="66"/>
      <c r="W1579" s="106"/>
      <c r="X1579" s="106" t="s">
        <v>76</v>
      </c>
      <c r="Y1579" s="26"/>
      <c r="Z1579" s="75" t="s">
        <v>193</v>
      </c>
      <c r="AA1579" s="30"/>
    </row>
    <row r="1580" spans="1:28" ht="39" hidden="1" customHeight="1">
      <c r="A1580" s="98">
        <v>1570</v>
      </c>
      <c r="B1580" s="79" t="s">
        <v>7552</v>
      </c>
      <c r="C1580" s="148" t="s">
        <v>9</v>
      </c>
      <c r="D1580" s="80" t="s">
        <v>63</v>
      </c>
      <c r="E1580" s="27" t="s">
        <v>3555</v>
      </c>
      <c r="F1580" s="80" t="s">
        <v>65</v>
      </c>
      <c r="G1580" s="81" t="s">
        <v>2762</v>
      </c>
      <c r="H1580" s="80" t="s">
        <v>3556</v>
      </c>
      <c r="I1580" s="92">
        <v>45923</v>
      </c>
      <c r="J1580" s="80" t="s">
        <v>3517</v>
      </c>
      <c r="K1580" s="80" t="s">
        <v>299</v>
      </c>
      <c r="L1580" s="84" t="s">
        <v>189</v>
      </c>
      <c r="M1580" s="84" t="s">
        <v>784</v>
      </c>
      <c r="N1580" s="201" t="s">
        <v>72</v>
      </c>
      <c r="O1580" s="200" t="s">
        <v>7553</v>
      </c>
      <c r="P1580" s="194" t="s">
        <v>7554</v>
      </c>
      <c r="Q1580" s="49" t="s">
        <v>75</v>
      </c>
      <c r="R1580" s="25" t="s">
        <v>504</v>
      </c>
      <c r="S1580" s="26">
        <v>21</v>
      </c>
      <c r="T1580" s="26">
        <v>70</v>
      </c>
      <c r="U1580" s="28" t="s">
        <v>7555</v>
      </c>
      <c r="V1580" s="66"/>
      <c r="W1580" s="106"/>
      <c r="X1580" s="106" t="s">
        <v>176</v>
      </c>
      <c r="Y1580" s="26"/>
      <c r="Z1580" s="75" t="s">
        <v>106</v>
      </c>
      <c r="AA1580" s="30"/>
    </row>
    <row r="1581" spans="1:28" ht="42" hidden="1" customHeight="1">
      <c r="A1581" s="98">
        <v>1571</v>
      </c>
      <c r="B1581" s="79" t="s">
        <v>7556</v>
      </c>
      <c r="C1581" s="148" t="s">
        <v>237</v>
      </c>
      <c r="D1581" s="80" t="s">
        <v>83</v>
      </c>
      <c r="E1581" s="27" t="s">
        <v>523</v>
      </c>
      <c r="F1581" s="80" t="s">
        <v>109</v>
      </c>
      <c r="G1581" s="81" t="s">
        <v>290</v>
      </c>
      <c r="H1581" s="80" t="s">
        <v>524</v>
      </c>
      <c r="I1581" s="92">
        <v>45923</v>
      </c>
      <c r="J1581" s="80" t="s">
        <v>7557</v>
      </c>
      <c r="K1581" s="80" t="s">
        <v>146</v>
      </c>
      <c r="L1581" s="84" t="s">
        <v>147</v>
      </c>
      <c r="M1581" s="84" t="s">
        <v>252</v>
      </c>
      <c r="N1581" s="201" t="s">
        <v>72</v>
      </c>
      <c r="O1581" s="200" t="s">
        <v>7558</v>
      </c>
      <c r="P1581" s="194" t="s">
        <v>7559</v>
      </c>
      <c r="Q1581" s="49" t="s">
        <v>75</v>
      </c>
      <c r="R1581" s="25" t="s">
        <v>75</v>
      </c>
      <c r="S1581" s="26">
        <v>18</v>
      </c>
      <c r="T1581" s="26">
        <v>70</v>
      </c>
      <c r="U1581" s="28" t="s">
        <v>7560</v>
      </c>
      <c r="V1581" s="66"/>
      <c r="W1581" s="106"/>
      <c r="X1581" s="106" t="s">
        <v>176</v>
      </c>
      <c r="Y1581" s="26"/>
      <c r="Z1581" s="75" t="s">
        <v>106</v>
      </c>
      <c r="AA1581" s="30"/>
    </row>
    <row r="1582" spans="1:28" ht="50.25" hidden="1" customHeight="1">
      <c r="A1582" s="98">
        <v>1572</v>
      </c>
      <c r="B1582" s="79" t="s">
        <v>7561</v>
      </c>
      <c r="C1582" s="148" t="s">
        <v>237</v>
      </c>
      <c r="D1582" s="80" t="s">
        <v>83</v>
      </c>
      <c r="E1582" s="27" t="s">
        <v>523</v>
      </c>
      <c r="F1582" s="80" t="s">
        <v>109</v>
      </c>
      <c r="G1582" s="81" t="s">
        <v>290</v>
      </c>
      <c r="H1582" s="80" t="s">
        <v>524</v>
      </c>
      <c r="I1582" s="92">
        <v>45923</v>
      </c>
      <c r="J1582" s="80" t="s">
        <v>1288</v>
      </c>
      <c r="K1582" s="80" t="s">
        <v>146</v>
      </c>
      <c r="L1582" s="84" t="s">
        <v>147</v>
      </c>
      <c r="M1582" s="84" t="s">
        <v>148</v>
      </c>
      <c r="N1582" s="201" t="s">
        <v>72</v>
      </c>
      <c r="O1582" s="200" t="s">
        <v>7562</v>
      </c>
      <c r="P1582" s="194" t="s">
        <v>7563</v>
      </c>
      <c r="Q1582" s="49" t="s">
        <v>75</v>
      </c>
      <c r="R1582" s="25" t="s">
        <v>91</v>
      </c>
      <c r="S1582" s="26">
        <v>18</v>
      </c>
      <c r="T1582" s="26">
        <v>60</v>
      </c>
      <c r="U1582" s="28" t="s">
        <v>7564</v>
      </c>
      <c r="V1582" s="66"/>
      <c r="W1582" s="106"/>
      <c r="X1582" s="106" t="s">
        <v>176</v>
      </c>
      <c r="Y1582" s="26"/>
      <c r="Z1582" s="75" t="s">
        <v>93</v>
      </c>
      <c r="AA1582" s="30"/>
    </row>
    <row r="1583" spans="1:28" ht="49.5" hidden="1" customHeight="1">
      <c r="A1583" s="98">
        <v>1573</v>
      </c>
      <c r="B1583" s="79" t="s">
        <v>7565</v>
      </c>
      <c r="C1583" s="148" t="s">
        <v>8</v>
      </c>
      <c r="D1583" s="80" t="s">
        <v>63</v>
      </c>
      <c r="E1583" s="27" t="s">
        <v>6773</v>
      </c>
      <c r="F1583" s="80" t="s">
        <v>65</v>
      </c>
      <c r="G1583" s="81" t="s">
        <v>995</v>
      </c>
      <c r="H1583" s="80" t="s">
        <v>6774</v>
      </c>
      <c r="I1583" s="92">
        <v>45923</v>
      </c>
      <c r="J1583" s="80" t="s">
        <v>3565</v>
      </c>
      <c r="K1583" s="80" t="s">
        <v>299</v>
      </c>
      <c r="L1583" s="84" t="s">
        <v>189</v>
      </c>
      <c r="M1583" s="84" t="s">
        <v>252</v>
      </c>
      <c r="N1583" s="201" t="s">
        <v>72</v>
      </c>
      <c r="O1583" s="200" t="s">
        <v>7566</v>
      </c>
      <c r="P1583" s="194" t="s">
        <v>7567</v>
      </c>
      <c r="Q1583" s="49" t="s">
        <v>91</v>
      </c>
      <c r="R1583" s="25"/>
      <c r="S1583" s="26">
        <v>9</v>
      </c>
      <c r="T1583" s="26"/>
      <c r="U1583" s="28" t="s">
        <v>7568</v>
      </c>
      <c r="V1583" s="66"/>
      <c r="W1583" s="106"/>
      <c r="X1583" s="106" t="s">
        <v>76</v>
      </c>
      <c r="Y1583" s="26"/>
      <c r="Z1583" s="75" t="s">
        <v>193</v>
      </c>
      <c r="AA1583" s="30"/>
    </row>
    <row r="1584" spans="1:28" ht="51" hidden="1" customHeight="1">
      <c r="A1584" s="98">
        <v>1574</v>
      </c>
      <c r="B1584" s="79" t="s">
        <v>7569</v>
      </c>
      <c r="C1584" s="148" t="s">
        <v>8</v>
      </c>
      <c r="D1584" s="80" t="s">
        <v>63</v>
      </c>
      <c r="E1584" s="27" t="s">
        <v>6773</v>
      </c>
      <c r="F1584" s="80" t="s">
        <v>65</v>
      </c>
      <c r="G1584" s="81" t="s">
        <v>995</v>
      </c>
      <c r="H1584" s="80" t="s">
        <v>6774</v>
      </c>
      <c r="I1584" s="92">
        <v>45923</v>
      </c>
      <c r="J1584" s="80" t="s">
        <v>3565</v>
      </c>
      <c r="K1584" s="80" t="s">
        <v>299</v>
      </c>
      <c r="L1584" s="84" t="s">
        <v>189</v>
      </c>
      <c r="M1584" s="84" t="s">
        <v>252</v>
      </c>
      <c r="N1584" s="201" t="s">
        <v>72</v>
      </c>
      <c r="O1584" s="200" t="s">
        <v>7570</v>
      </c>
      <c r="P1584" s="194" t="s">
        <v>7571</v>
      </c>
      <c r="Q1584" s="49" t="s">
        <v>75</v>
      </c>
      <c r="R1584" s="25" t="s">
        <v>504</v>
      </c>
      <c r="S1584" s="26">
        <v>19</v>
      </c>
      <c r="T1584" s="26">
        <v>61</v>
      </c>
      <c r="U1584" s="28" t="s">
        <v>7572</v>
      </c>
      <c r="V1584" s="66"/>
      <c r="W1584" s="106"/>
      <c r="X1584" s="106" t="s">
        <v>176</v>
      </c>
      <c r="Y1584" s="26"/>
      <c r="Z1584" s="75" t="s">
        <v>106</v>
      </c>
      <c r="AA1584" s="30"/>
    </row>
    <row r="1585" spans="1:27" ht="60" hidden="1" customHeight="1">
      <c r="A1585" s="98">
        <v>1575</v>
      </c>
      <c r="B1585" s="79" t="s">
        <v>7573</v>
      </c>
      <c r="C1585" s="148" t="s">
        <v>8</v>
      </c>
      <c r="D1585" s="80" t="s">
        <v>83</v>
      </c>
      <c r="E1585" s="27" t="s">
        <v>185</v>
      </c>
      <c r="F1585" s="80" t="s">
        <v>120</v>
      </c>
      <c r="G1585" s="81" t="s">
        <v>96</v>
      </c>
      <c r="H1585" s="80" t="s">
        <v>186</v>
      </c>
      <c r="I1585" s="202">
        <v>45924</v>
      </c>
      <c r="J1585" s="80" t="s">
        <v>3500</v>
      </c>
      <c r="K1585" s="80" t="s">
        <v>198</v>
      </c>
      <c r="L1585" s="84" t="s">
        <v>199</v>
      </c>
      <c r="M1585" s="84" t="s">
        <v>221</v>
      </c>
      <c r="N1585" s="201" t="s">
        <v>72</v>
      </c>
      <c r="O1585" s="200" t="s">
        <v>7574</v>
      </c>
      <c r="P1585" s="194" t="s">
        <v>7575</v>
      </c>
      <c r="Q1585" s="49" t="s">
        <v>75</v>
      </c>
      <c r="R1585" s="25" t="s">
        <v>504</v>
      </c>
      <c r="S1585" s="26">
        <v>18</v>
      </c>
      <c r="T1585" s="26"/>
      <c r="U1585" s="28" t="s">
        <v>7576</v>
      </c>
      <c r="V1585" s="66"/>
      <c r="W1585" s="106"/>
      <c r="X1585" s="106" t="s">
        <v>176</v>
      </c>
      <c r="Y1585" s="26"/>
      <c r="Z1585" s="75" t="s">
        <v>106</v>
      </c>
      <c r="AA1585" s="30"/>
    </row>
    <row r="1586" spans="1:27" ht="50.25" hidden="1" customHeight="1">
      <c r="A1586" s="98">
        <v>1576</v>
      </c>
      <c r="B1586" s="79" t="s">
        <v>7577</v>
      </c>
      <c r="C1586" s="148" t="s">
        <v>9</v>
      </c>
      <c r="D1586" s="80" t="s">
        <v>63</v>
      </c>
      <c r="E1586" s="27" t="s">
        <v>3634</v>
      </c>
      <c r="F1586" s="80" t="s">
        <v>284</v>
      </c>
      <c r="G1586" s="81" t="s">
        <v>2762</v>
      </c>
      <c r="H1586" s="80" t="s">
        <v>3635</v>
      </c>
      <c r="I1586" s="92">
        <v>45924</v>
      </c>
      <c r="J1586" s="80" t="s">
        <v>3505</v>
      </c>
      <c r="K1586" s="80" t="s">
        <v>69</v>
      </c>
      <c r="L1586" s="84" t="s">
        <v>251</v>
      </c>
      <c r="M1586" s="84" t="s">
        <v>252</v>
      </c>
      <c r="N1586" s="201" t="s">
        <v>253</v>
      </c>
      <c r="O1586" s="200" t="s">
        <v>7578</v>
      </c>
      <c r="P1586" s="194" t="s">
        <v>7579</v>
      </c>
      <c r="Q1586" s="49" t="s">
        <v>91</v>
      </c>
      <c r="R1586" s="25"/>
      <c r="S1586" s="26">
        <v>8</v>
      </c>
      <c r="T1586" s="26"/>
      <c r="U1586" s="28" t="s">
        <v>7580</v>
      </c>
      <c r="V1586" s="66"/>
      <c r="W1586" s="106"/>
      <c r="X1586" s="106" t="s">
        <v>76</v>
      </c>
      <c r="Y1586" s="26"/>
      <c r="Z1586" s="75" t="s">
        <v>193</v>
      </c>
      <c r="AA1586" s="30"/>
    </row>
    <row r="1587" spans="1:27" ht="49.5" hidden="1" customHeight="1">
      <c r="A1587" s="98">
        <v>1577</v>
      </c>
      <c r="B1587" s="79" t="s">
        <v>7581</v>
      </c>
      <c r="C1587" s="148" t="s">
        <v>8</v>
      </c>
      <c r="D1587" s="80" t="s">
        <v>63</v>
      </c>
      <c r="E1587" s="27" t="s">
        <v>4034</v>
      </c>
      <c r="F1587" s="80" t="s">
        <v>338</v>
      </c>
      <c r="G1587" s="81" t="s">
        <v>1132</v>
      </c>
      <c r="H1587" s="80" t="s">
        <v>4035</v>
      </c>
      <c r="I1587" s="92">
        <v>45926</v>
      </c>
      <c r="J1587" s="80" t="s">
        <v>1288</v>
      </c>
      <c r="K1587" s="80" t="s">
        <v>146</v>
      </c>
      <c r="L1587" s="84" t="s">
        <v>113</v>
      </c>
      <c r="M1587" s="84" t="s">
        <v>148</v>
      </c>
      <c r="N1587" s="201" t="s">
        <v>72</v>
      </c>
      <c r="O1587" s="200" t="s">
        <v>7582</v>
      </c>
      <c r="P1587" s="194" t="s">
        <v>7583</v>
      </c>
      <c r="Q1587" s="49" t="s">
        <v>91</v>
      </c>
      <c r="R1587" s="25"/>
      <c r="S1587" s="26">
        <v>16</v>
      </c>
      <c r="T1587" s="26"/>
      <c r="U1587" s="28" t="s">
        <v>7584</v>
      </c>
      <c r="V1587" s="66"/>
      <c r="W1587" s="106"/>
      <c r="X1587" s="106" t="s">
        <v>76</v>
      </c>
      <c r="Y1587" s="26"/>
      <c r="Z1587" s="75" t="s">
        <v>193</v>
      </c>
      <c r="AA1587" s="30"/>
    </row>
    <row r="1588" spans="1:27" ht="47.25" hidden="1" customHeight="1">
      <c r="A1588" s="98">
        <v>1578</v>
      </c>
      <c r="B1588" s="79" t="s">
        <v>7585</v>
      </c>
      <c r="C1588" s="148" t="s">
        <v>8</v>
      </c>
      <c r="D1588" s="80" t="s">
        <v>63</v>
      </c>
      <c r="E1588" s="27" t="s">
        <v>994</v>
      </c>
      <c r="F1588" s="80" t="s">
        <v>109</v>
      </c>
      <c r="G1588" s="81" t="s">
        <v>995</v>
      </c>
      <c r="H1588" s="80" t="s">
        <v>996</v>
      </c>
      <c r="I1588" s="92">
        <v>45926</v>
      </c>
      <c r="J1588" s="80" t="s">
        <v>3517</v>
      </c>
      <c r="K1588" s="80" t="s">
        <v>299</v>
      </c>
      <c r="L1588" s="84" t="s">
        <v>189</v>
      </c>
      <c r="M1588" s="84" t="s">
        <v>784</v>
      </c>
      <c r="N1588" s="201" t="s">
        <v>72</v>
      </c>
      <c r="O1588" s="200" t="s">
        <v>7586</v>
      </c>
      <c r="P1588" s="194" t="s">
        <v>7587</v>
      </c>
      <c r="Q1588" s="203" t="s">
        <v>91</v>
      </c>
      <c r="R1588" s="25"/>
      <c r="S1588" s="26">
        <v>7</v>
      </c>
      <c r="T1588" s="26"/>
      <c r="U1588" s="28" t="s">
        <v>7588</v>
      </c>
      <c r="V1588" s="66"/>
      <c r="W1588" s="106"/>
      <c r="X1588" s="106" t="s">
        <v>76</v>
      </c>
      <c r="Y1588" s="26"/>
      <c r="Z1588" s="75" t="s">
        <v>193</v>
      </c>
      <c r="AA1588" s="30"/>
    </row>
    <row r="1589" spans="1:27" ht="49.5" hidden="1">
      <c r="A1589" s="98">
        <v>1579</v>
      </c>
      <c r="B1589" s="79" t="s">
        <v>7589</v>
      </c>
      <c r="C1589" s="148" t="s">
        <v>8</v>
      </c>
      <c r="D1589" s="80" t="s">
        <v>63</v>
      </c>
      <c r="E1589" s="27" t="s">
        <v>7590</v>
      </c>
      <c r="F1589" s="80" t="s">
        <v>338</v>
      </c>
      <c r="G1589" s="81" t="s">
        <v>1047</v>
      </c>
      <c r="H1589" s="80" t="s">
        <v>7591</v>
      </c>
      <c r="I1589" s="92">
        <v>45926</v>
      </c>
      <c r="J1589" s="80" t="s">
        <v>3505</v>
      </c>
      <c r="K1589" s="80" t="s">
        <v>69</v>
      </c>
      <c r="L1589" s="84" t="s">
        <v>100</v>
      </c>
      <c r="M1589" s="84" t="s">
        <v>904</v>
      </c>
      <c r="N1589" s="201" t="s">
        <v>72</v>
      </c>
      <c r="O1589" s="200" t="s">
        <v>7592</v>
      </c>
      <c r="P1589" s="194" t="s">
        <v>7593</v>
      </c>
      <c r="Q1589" s="49" t="s">
        <v>75</v>
      </c>
      <c r="R1589" s="25" t="s">
        <v>91</v>
      </c>
      <c r="S1589" s="26">
        <v>22</v>
      </c>
      <c r="T1589" s="26">
        <v>42</v>
      </c>
      <c r="U1589" s="28" t="s">
        <v>7594</v>
      </c>
      <c r="V1589" s="66"/>
      <c r="W1589" s="106"/>
      <c r="X1589" s="106" t="s">
        <v>176</v>
      </c>
      <c r="Y1589" s="26"/>
      <c r="Z1589" s="75" t="s">
        <v>93</v>
      </c>
      <c r="AA1589" s="30"/>
    </row>
    <row r="1590" spans="1:27" ht="43.5" hidden="1" customHeight="1">
      <c r="A1590" s="98">
        <v>1580</v>
      </c>
      <c r="B1590" s="79" t="s">
        <v>7595</v>
      </c>
      <c r="C1590" s="148" t="s">
        <v>8</v>
      </c>
      <c r="D1590" s="80" t="s">
        <v>63</v>
      </c>
      <c r="E1590" s="27" t="s">
        <v>3770</v>
      </c>
      <c r="F1590" s="80" t="s">
        <v>120</v>
      </c>
      <c r="G1590" s="81" t="s">
        <v>995</v>
      </c>
      <c r="H1590" s="80" t="s">
        <v>3771</v>
      </c>
      <c r="I1590" s="92">
        <v>45926</v>
      </c>
      <c r="J1590" s="80" t="s">
        <v>3517</v>
      </c>
      <c r="K1590" s="80" t="s">
        <v>299</v>
      </c>
      <c r="L1590" s="84" t="s">
        <v>189</v>
      </c>
      <c r="M1590" s="84" t="s">
        <v>784</v>
      </c>
      <c r="N1590" s="201" t="s">
        <v>72</v>
      </c>
      <c r="O1590" s="200" t="s">
        <v>7596</v>
      </c>
      <c r="P1590" s="194" t="s">
        <v>7597</v>
      </c>
      <c r="Q1590" s="49" t="s">
        <v>91</v>
      </c>
      <c r="R1590" s="25"/>
      <c r="S1590" s="26">
        <v>5</v>
      </c>
      <c r="T1590" s="26"/>
      <c r="U1590" s="28" t="s">
        <v>7598</v>
      </c>
      <c r="V1590" s="66"/>
      <c r="W1590" s="106"/>
      <c r="X1590" s="106" t="s">
        <v>76</v>
      </c>
      <c r="Y1590" s="26"/>
      <c r="Z1590" s="75" t="s">
        <v>193</v>
      </c>
      <c r="AA1590" s="30"/>
    </row>
    <row r="1591" spans="1:27" ht="66" hidden="1">
      <c r="A1591" s="98">
        <v>1581</v>
      </c>
      <c r="B1591" s="79" t="s">
        <v>7599</v>
      </c>
      <c r="C1591" s="148" t="s">
        <v>8</v>
      </c>
      <c r="D1591" s="80" t="s">
        <v>63</v>
      </c>
      <c r="E1591" s="27" t="s">
        <v>7600</v>
      </c>
      <c r="F1591" s="80" t="s">
        <v>65</v>
      </c>
      <c r="G1591" s="81" t="s">
        <v>995</v>
      </c>
      <c r="H1591" s="80" t="s">
        <v>7601</v>
      </c>
      <c r="I1591" s="92">
        <v>45926</v>
      </c>
      <c r="J1591" s="80" t="s">
        <v>170</v>
      </c>
      <c r="K1591" s="80" t="s">
        <v>156</v>
      </c>
      <c r="L1591" s="84" t="s">
        <v>171</v>
      </c>
      <c r="M1591" s="84" t="s">
        <v>71</v>
      </c>
      <c r="N1591" s="201" t="s">
        <v>72</v>
      </c>
      <c r="O1591" s="200" t="s">
        <v>7602</v>
      </c>
      <c r="P1591" s="194" t="s">
        <v>7603</v>
      </c>
      <c r="Q1591" s="49" t="s">
        <v>75</v>
      </c>
      <c r="R1591" s="25" t="s">
        <v>91</v>
      </c>
      <c r="S1591" s="26">
        <v>18</v>
      </c>
      <c r="T1591" s="26">
        <v>67</v>
      </c>
      <c r="U1591" s="28" t="s">
        <v>7604</v>
      </c>
      <c r="V1591" s="66"/>
      <c r="W1591" s="106"/>
      <c r="X1591" s="106" t="s">
        <v>176</v>
      </c>
      <c r="Y1591" s="26"/>
      <c r="Z1591" s="75" t="s">
        <v>93</v>
      </c>
      <c r="AA1591" s="30"/>
    </row>
    <row r="1592" spans="1:27" ht="62.25" hidden="1" customHeight="1">
      <c r="A1592" s="98">
        <v>1582</v>
      </c>
      <c r="B1592" s="79" t="s">
        <v>7605</v>
      </c>
      <c r="C1592" s="148" t="s">
        <v>8</v>
      </c>
      <c r="D1592" s="80" t="s">
        <v>63</v>
      </c>
      <c r="E1592" s="27" t="s">
        <v>2631</v>
      </c>
      <c r="F1592" s="80" t="s">
        <v>109</v>
      </c>
      <c r="G1592" s="81" t="s">
        <v>995</v>
      </c>
      <c r="H1592" s="80" t="s">
        <v>2632</v>
      </c>
      <c r="I1592" s="92">
        <v>45930</v>
      </c>
      <c r="J1592" s="80" t="s">
        <v>3512</v>
      </c>
      <c r="K1592" s="80" t="s">
        <v>299</v>
      </c>
      <c r="L1592" s="84" t="s">
        <v>189</v>
      </c>
      <c r="M1592" s="84" t="s">
        <v>221</v>
      </c>
      <c r="N1592" s="201" t="s">
        <v>72</v>
      </c>
      <c r="O1592" s="200" t="s">
        <v>7606</v>
      </c>
      <c r="P1592" s="194" t="s">
        <v>7607</v>
      </c>
      <c r="Q1592" s="49" t="s">
        <v>75</v>
      </c>
      <c r="R1592" s="25" t="s">
        <v>504</v>
      </c>
      <c r="S1592" s="26">
        <v>20</v>
      </c>
      <c r="T1592" s="26">
        <v>70</v>
      </c>
      <c r="U1592" s="28" t="s">
        <v>7608</v>
      </c>
      <c r="V1592" s="66"/>
      <c r="W1592" s="106"/>
      <c r="X1592" s="106" t="s">
        <v>176</v>
      </c>
      <c r="Y1592" s="26"/>
      <c r="Z1592" s="75" t="s">
        <v>106</v>
      </c>
      <c r="AA1592" s="30"/>
    </row>
    <row r="1593" spans="1:27" ht="60.75" customHeight="1">
      <c r="A1593" s="98">
        <v>1583</v>
      </c>
      <c r="B1593" s="79" t="s">
        <v>7609</v>
      </c>
      <c r="C1593" s="148" t="s">
        <v>2146</v>
      </c>
      <c r="D1593" s="80" t="s">
        <v>83</v>
      </c>
      <c r="E1593" s="27" t="s">
        <v>5652</v>
      </c>
      <c r="F1593" s="80" t="s">
        <v>65</v>
      </c>
      <c r="G1593" s="81" t="s">
        <v>5640</v>
      </c>
      <c r="H1593" s="80" t="s">
        <v>5653</v>
      </c>
      <c r="I1593" s="92">
        <v>45930</v>
      </c>
      <c r="J1593" s="80" t="s">
        <v>4385</v>
      </c>
      <c r="K1593" s="80" t="s">
        <v>4386</v>
      </c>
      <c r="L1593" s="84" t="s">
        <v>4387</v>
      </c>
      <c r="M1593" s="84" t="s">
        <v>252</v>
      </c>
      <c r="N1593" s="201" t="s">
        <v>1080</v>
      </c>
      <c r="O1593" s="200" t="s">
        <v>7610</v>
      </c>
      <c r="P1593" s="194" t="s">
        <v>7611</v>
      </c>
      <c r="Q1593" s="49" t="s">
        <v>75</v>
      </c>
      <c r="R1593" s="25" t="s">
        <v>91</v>
      </c>
      <c r="S1593" s="26">
        <v>20</v>
      </c>
      <c r="T1593" s="26">
        <v>65</v>
      </c>
      <c r="U1593" s="28" t="s">
        <v>7612</v>
      </c>
      <c r="V1593" s="66"/>
      <c r="W1593" s="106"/>
      <c r="X1593" s="106" t="s">
        <v>176</v>
      </c>
      <c r="Y1593" s="26"/>
      <c r="Z1593" s="75" t="s">
        <v>93</v>
      </c>
      <c r="AA1593" s="30"/>
    </row>
    <row r="1594" spans="1:27" ht="52.5" hidden="1" customHeight="1">
      <c r="A1594" s="98">
        <v>1584</v>
      </c>
      <c r="B1594" s="79" t="s">
        <v>7613</v>
      </c>
      <c r="C1594" s="148" t="s">
        <v>8</v>
      </c>
      <c r="D1594" s="80" t="s">
        <v>63</v>
      </c>
      <c r="E1594" s="27" t="s">
        <v>7501</v>
      </c>
      <c r="F1594" s="80" t="s">
        <v>65</v>
      </c>
      <c r="G1594" s="81" t="s">
        <v>995</v>
      </c>
      <c r="H1594" s="80" t="s">
        <v>7502</v>
      </c>
      <c r="I1594" s="92">
        <v>45930</v>
      </c>
      <c r="J1594" s="80" t="s">
        <v>3526</v>
      </c>
      <c r="K1594" s="80" t="s">
        <v>299</v>
      </c>
      <c r="L1594" s="84" t="s">
        <v>189</v>
      </c>
      <c r="M1594" s="84" t="s">
        <v>114</v>
      </c>
      <c r="N1594" s="201" t="s">
        <v>72</v>
      </c>
      <c r="O1594" s="200" t="s">
        <v>7614</v>
      </c>
      <c r="P1594" s="194" t="s">
        <v>7615</v>
      </c>
      <c r="Q1594" s="49" t="s">
        <v>91</v>
      </c>
      <c r="R1594" s="25"/>
      <c r="S1594" s="26">
        <v>11</v>
      </c>
      <c r="T1594" s="26"/>
      <c r="U1594" s="28" t="s">
        <v>7616</v>
      </c>
      <c r="V1594" s="66"/>
      <c r="W1594" s="106"/>
      <c r="X1594" s="106" t="s">
        <v>76</v>
      </c>
      <c r="Y1594" s="26"/>
      <c r="Z1594" s="75" t="s">
        <v>193</v>
      </c>
      <c r="AA1594" s="30"/>
    </row>
    <row r="1595" spans="1:27" ht="52.5" hidden="1" customHeight="1">
      <c r="A1595" s="98">
        <v>1585</v>
      </c>
      <c r="B1595" s="79" t="s">
        <v>7617</v>
      </c>
      <c r="C1595" s="148" t="s">
        <v>8</v>
      </c>
      <c r="D1595" s="80" t="s">
        <v>63</v>
      </c>
      <c r="E1595" s="27" t="s">
        <v>7600</v>
      </c>
      <c r="F1595" s="80" t="s">
        <v>65</v>
      </c>
      <c r="G1595" s="81" t="s">
        <v>995</v>
      </c>
      <c r="H1595" s="80" t="s">
        <v>7601</v>
      </c>
      <c r="I1595" s="92">
        <v>45930</v>
      </c>
      <c r="J1595" s="80" t="s">
        <v>3517</v>
      </c>
      <c r="K1595" s="80" t="s">
        <v>156</v>
      </c>
      <c r="L1595" s="84" t="s">
        <v>189</v>
      </c>
      <c r="M1595" s="84" t="s">
        <v>784</v>
      </c>
      <c r="N1595" s="201" t="s">
        <v>72</v>
      </c>
      <c r="O1595" s="200" t="s">
        <v>7618</v>
      </c>
      <c r="P1595" s="194" t="s">
        <v>7619</v>
      </c>
      <c r="Q1595" s="49" t="s">
        <v>75</v>
      </c>
      <c r="R1595" s="25" t="s">
        <v>91</v>
      </c>
      <c r="S1595" s="26">
        <v>18</v>
      </c>
      <c r="T1595" s="26">
        <v>67</v>
      </c>
      <c r="U1595" s="28" t="s">
        <v>7620</v>
      </c>
      <c r="V1595" s="66"/>
      <c r="W1595" s="106"/>
      <c r="X1595" s="106" t="s">
        <v>176</v>
      </c>
      <c r="Y1595" s="26"/>
      <c r="Z1595" s="75" t="s">
        <v>93</v>
      </c>
      <c r="AA1595" s="30"/>
    </row>
    <row r="1596" spans="1:27" ht="49.5" hidden="1" customHeight="1">
      <c r="A1596" s="98">
        <v>1586</v>
      </c>
      <c r="B1596" s="79" t="s">
        <v>7621</v>
      </c>
      <c r="C1596" s="148" t="s">
        <v>8</v>
      </c>
      <c r="D1596" s="80" t="s">
        <v>63</v>
      </c>
      <c r="E1596" s="27" t="s">
        <v>2767</v>
      </c>
      <c r="F1596" s="80" t="s">
        <v>65</v>
      </c>
      <c r="G1596" s="81" t="s">
        <v>995</v>
      </c>
      <c r="H1596" s="80" t="s">
        <v>2768</v>
      </c>
      <c r="I1596" s="92">
        <v>45930</v>
      </c>
      <c r="J1596" s="80" t="s">
        <v>3565</v>
      </c>
      <c r="K1596" s="80" t="s">
        <v>299</v>
      </c>
      <c r="L1596" s="84" t="s">
        <v>189</v>
      </c>
      <c r="M1596" s="84" t="s">
        <v>601</v>
      </c>
      <c r="N1596" s="201" t="s">
        <v>72</v>
      </c>
      <c r="O1596" s="200" t="s">
        <v>7622</v>
      </c>
      <c r="P1596" s="194" t="s">
        <v>7623</v>
      </c>
      <c r="Q1596" s="49" t="s">
        <v>91</v>
      </c>
      <c r="R1596" s="25"/>
      <c r="S1596" s="26">
        <v>14</v>
      </c>
      <c r="T1596" s="26"/>
      <c r="U1596" s="28" t="s">
        <v>7624</v>
      </c>
      <c r="V1596" s="66"/>
      <c r="W1596" s="106"/>
      <c r="X1596" s="106" t="s">
        <v>76</v>
      </c>
      <c r="Y1596" s="26"/>
      <c r="Z1596" s="75" t="s">
        <v>193</v>
      </c>
      <c r="AA1596" s="30"/>
    </row>
    <row r="1597" spans="1:27" ht="60" hidden="1" customHeight="1">
      <c r="A1597" s="98">
        <v>1587</v>
      </c>
      <c r="B1597" s="79" t="s">
        <v>7625</v>
      </c>
      <c r="C1597" s="148" t="s">
        <v>9</v>
      </c>
      <c r="D1597" s="80" t="s">
        <v>63</v>
      </c>
      <c r="E1597" s="27" t="s">
        <v>7626</v>
      </c>
      <c r="F1597" s="80" t="s">
        <v>65</v>
      </c>
      <c r="G1597" s="81" t="s">
        <v>2762</v>
      </c>
      <c r="H1597" s="80" t="s">
        <v>7627</v>
      </c>
      <c r="I1597" s="92">
        <v>45930</v>
      </c>
      <c r="J1597" s="80" t="s">
        <v>3526</v>
      </c>
      <c r="K1597" s="80" t="s">
        <v>299</v>
      </c>
      <c r="L1597" s="84" t="s">
        <v>189</v>
      </c>
      <c r="M1597" s="84" t="s">
        <v>114</v>
      </c>
      <c r="N1597" s="201" t="s">
        <v>72</v>
      </c>
      <c r="O1597" s="200" t="s">
        <v>7628</v>
      </c>
      <c r="P1597" s="194" t="s">
        <v>7629</v>
      </c>
      <c r="Q1597" s="49" t="s">
        <v>91</v>
      </c>
      <c r="R1597" s="25"/>
      <c r="S1597" s="26">
        <v>14</v>
      </c>
      <c r="T1597" s="26"/>
      <c r="U1597" s="28" t="s">
        <v>7630</v>
      </c>
      <c r="V1597" s="66"/>
      <c r="W1597" s="106"/>
      <c r="X1597" s="106" t="s">
        <v>76</v>
      </c>
      <c r="Y1597" s="26"/>
      <c r="Z1597" s="75" t="s">
        <v>193</v>
      </c>
      <c r="AA1597" s="30"/>
    </row>
    <row r="1598" spans="1:27" ht="84.75" hidden="1" customHeight="1">
      <c r="A1598" s="98">
        <v>1588</v>
      </c>
      <c r="B1598" s="79" t="s">
        <v>7631</v>
      </c>
      <c r="C1598" s="148" t="s">
        <v>9</v>
      </c>
      <c r="D1598" s="80" t="s">
        <v>63</v>
      </c>
      <c r="E1598" s="27" t="s">
        <v>7626</v>
      </c>
      <c r="F1598" s="80" t="s">
        <v>65</v>
      </c>
      <c r="G1598" s="81" t="s">
        <v>2762</v>
      </c>
      <c r="H1598" s="80" t="s">
        <v>7627</v>
      </c>
      <c r="I1598" s="92">
        <v>45930</v>
      </c>
      <c r="J1598" s="80" t="s">
        <v>3565</v>
      </c>
      <c r="K1598" s="80" t="s">
        <v>299</v>
      </c>
      <c r="L1598" s="84" t="s">
        <v>189</v>
      </c>
      <c r="M1598" s="84" t="s">
        <v>904</v>
      </c>
      <c r="N1598" s="201" t="s">
        <v>72</v>
      </c>
      <c r="O1598" s="200" t="s">
        <v>7632</v>
      </c>
      <c r="P1598" s="194" t="s">
        <v>7633</v>
      </c>
      <c r="Q1598" s="49" t="s">
        <v>75</v>
      </c>
      <c r="R1598" s="25" t="s">
        <v>91</v>
      </c>
      <c r="S1598" s="26">
        <v>20</v>
      </c>
      <c r="T1598" s="26">
        <v>61</v>
      </c>
      <c r="U1598" s="28" t="s">
        <v>7634</v>
      </c>
      <c r="V1598" s="66"/>
      <c r="W1598" s="106"/>
      <c r="X1598" s="106" t="s">
        <v>176</v>
      </c>
      <c r="Y1598" s="26"/>
      <c r="Z1598" s="75" t="s">
        <v>93</v>
      </c>
      <c r="AA1598" s="30"/>
    </row>
    <row r="1599" spans="1:27" ht="60" hidden="1" customHeight="1">
      <c r="A1599" s="98">
        <v>1589</v>
      </c>
      <c r="B1599" s="79" t="s">
        <v>7635</v>
      </c>
      <c r="C1599" s="148" t="s">
        <v>8</v>
      </c>
      <c r="D1599" s="80" t="s">
        <v>63</v>
      </c>
      <c r="E1599" s="27" t="s">
        <v>2790</v>
      </c>
      <c r="F1599" s="80" t="s">
        <v>338</v>
      </c>
      <c r="G1599" s="81" t="s">
        <v>995</v>
      </c>
      <c r="H1599" s="80" t="s">
        <v>2791</v>
      </c>
      <c r="I1599" s="92">
        <v>45930</v>
      </c>
      <c r="J1599" s="80" t="s">
        <v>3517</v>
      </c>
      <c r="K1599" s="80" t="s">
        <v>156</v>
      </c>
      <c r="L1599" s="84" t="s">
        <v>189</v>
      </c>
      <c r="M1599" s="84" t="s">
        <v>784</v>
      </c>
      <c r="N1599" s="201" t="s">
        <v>72</v>
      </c>
      <c r="O1599" s="200" t="s">
        <v>7636</v>
      </c>
      <c r="P1599" s="194" t="s">
        <v>7637</v>
      </c>
      <c r="Q1599" s="49" t="s">
        <v>75</v>
      </c>
      <c r="R1599" s="25" t="s">
        <v>91</v>
      </c>
      <c r="S1599" s="26">
        <v>18</v>
      </c>
      <c r="T1599" s="26">
        <v>67</v>
      </c>
      <c r="U1599" s="28" t="s">
        <v>7638</v>
      </c>
      <c r="V1599" s="66"/>
      <c r="W1599" s="106"/>
      <c r="X1599" s="106" t="s">
        <v>176</v>
      </c>
      <c r="Y1599" s="26"/>
      <c r="Z1599" s="75" t="s">
        <v>93</v>
      </c>
      <c r="AA1599" s="30"/>
    </row>
    <row r="1600" spans="1:27" ht="64.5" hidden="1" customHeight="1">
      <c r="A1600" s="98">
        <v>1590</v>
      </c>
      <c r="B1600" s="79" t="s">
        <v>7639</v>
      </c>
      <c r="C1600" s="148" t="s">
        <v>8</v>
      </c>
      <c r="D1600" s="80" t="s">
        <v>63</v>
      </c>
      <c r="E1600" s="27" t="s">
        <v>2404</v>
      </c>
      <c r="F1600" s="80" t="s">
        <v>65</v>
      </c>
      <c r="G1600" s="81" t="s">
        <v>1132</v>
      </c>
      <c r="H1600" s="80" t="s">
        <v>2405</v>
      </c>
      <c r="I1600" s="92">
        <v>45930</v>
      </c>
      <c r="J1600" s="80" t="s">
        <v>3517</v>
      </c>
      <c r="K1600" s="80" t="s">
        <v>146</v>
      </c>
      <c r="L1600" s="84" t="s">
        <v>189</v>
      </c>
      <c r="M1600" s="84" t="s">
        <v>784</v>
      </c>
      <c r="N1600" s="201" t="s">
        <v>72</v>
      </c>
      <c r="O1600" s="200" t="s">
        <v>7640</v>
      </c>
      <c r="P1600" s="194" t="s">
        <v>7641</v>
      </c>
      <c r="Q1600" s="49" t="s">
        <v>75</v>
      </c>
      <c r="R1600" s="25" t="s">
        <v>91</v>
      </c>
      <c r="S1600" s="26">
        <v>18</v>
      </c>
      <c r="T1600" s="26">
        <v>58</v>
      </c>
      <c r="U1600" s="28" t="s">
        <v>7642</v>
      </c>
      <c r="V1600" s="66"/>
      <c r="W1600" s="106"/>
      <c r="X1600" s="106" t="s">
        <v>176</v>
      </c>
      <c r="Y1600" s="26"/>
      <c r="Z1600" s="75" t="s">
        <v>93</v>
      </c>
      <c r="AA1600" s="30"/>
    </row>
    <row r="1601" spans="1:27" ht="66.75" hidden="1" customHeight="1">
      <c r="A1601" s="98">
        <v>1591</v>
      </c>
      <c r="B1601" s="79" t="s">
        <v>7643</v>
      </c>
      <c r="C1601" s="148" t="s">
        <v>8</v>
      </c>
      <c r="D1601" s="80" t="s">
        <v>63</v>
      </c>
      <c r="E1601" s="27" t="s">
        <v>2404</v>
      </c>
      <c r="F1601" s="80" t="s">
        <v>65</v>
      </c>
      <c r="G1601" s="81" t="s">
        <v>1132</v>
      </c>
      <c r="H1601" s="80" t="s">
        <v>2405</v>
      </c>
      <c r="I1601" s="92">
        <v>45930</v>
      </c>
      <c r="J1601" s="80" t="s">
        <v>3565</v>
      </c>
      <c r="K1601" s="80" t="s">
        <v>146</v>
      </c>
      <c r="L1601" s="84" t="s">
        <v>189</v>
      </c>
      <c r="M1601" s="84" t="s">
        <v>595</v>
      </c>
      <c r="N1601" s="201" t="s">
        <v>72</v>
      </c>
      <c r="O1601" s="200" t="s">
        <v>7644</v>
      </c>
      <c r="P1601" s="194" t="s">
        <v>7645</v>
      </c>
      <c r="Q1601" s="49" t="s">
        <v>91</v>
      </c>
      <c r="R1601" s="25"/>
      <c r="S1601" s="26">
        <v>16</v>
      </c>
      <c r="T1601" s="26"/>
      <c r="U1601" s="28" t="s">
        <v>7646</v>
      </c>
      <c r="V1601" s="66"/>
      <c r="W1601" s="106"/>
      <c r="X1601" s="106" t="s">
        <v>76</v>
      </c>
      <c r="Y1601" s="26"/>
      <c r="Z1601" s="75" t="s">
        <v>193</v>
      </c>
      <c r="AA1601" s="30"/>
    </row>
    <row r="1602" spans="1:27" ht="66.75" hidden="1" customHeight="1">
      <c r="A1602" s="98">
        <v>1592</v>
      </c>
      <c r="B1602" s="79" t="s">
        <v>7647</v>
      </c>
      <c r="C1602" s="148" t="s">
        <v>8</v>
      </c>
      <c r="D1602" s="80" t="s">
        <v>63</v>
      </c>
      <c r="E1602" s="27" t="s">
        <v>2404</v>
      </c>
      <c r="F1602" s="80" t="s">
        <v>65</v>
      </c>
      <c r="G1602" s="81" t="s">
        <v>1132</v>
      </c>
      <c r="H1602" s="80" t="s">
        <v>2405</v>
      </c>
      <c r="I1602" s="92">
        <v>45930</v>
      </c>
      <c r="J1602" s="80" t="s">
        <v>3565</v>
      </c>
      <c r="K1602" s="80" t="s">
        <v>146</v>
      </c>
      <c r="L1602" s="84" t="s">
        <v>189</v>
      </c>
      <c r="M1602" s="84" t="s">
        <v>252</v>
      </c>
      <c r="N1602" s="201" t="s">
        <v>72</v>
      </c>
      <c r="O1602" s="200" t="s">
        <v>7648</v>
      </c>
      <c r="P1602" s="194" t="s">
        <v>7649</v>
      </c>
      <c r="Q1602" s="49" t="s">
        <v>91</v>
      </c>
      <c r="R1602" s="25"/>
      <c r="S1602" s="26">
        <v>16</v>
      </c>
      <c r="T1602" s="26"/>
      <c r="U1602" s="28" t="s">
        <v>7646</v>
      </c>
      <c r="V1602" s="66"/>
      <c r="W1602" s="106"/>
      <c r="X1602" s="106" t="s">
        <v>76</v>
      </c>
      <c r="Y1602" s="26"/>
      <c r="Z1602" s="75" t="s">
        <v>193</v>
      </c>
      <c r="AA1602" s="30"/>
    </row>
    <row r="1603" spans="1:27" ht="62.25" hidden="1" customHeight="1">
      <c r="A1603" s="98">
        <v>1593</v>
      </c>
      <c r="B1603" s="79" t="s">
        <v>7650</v>
      </c>
      <c r="C1603" s="148" t="s">
        <v>10</v>
      </c>
      <c r="D1603" s="80" t="s">
        <v>63</v>
      </c>
      <c r="E1603" s="27" t="s">
        <v>7651</v>
      </c>
      <c r="F1603" s="80" t="s">
        <v>109</v>
      </c>
      <c r="G1603" s="81" t="s">
        <v>7652</v>
      </c>
      <c r="H1603" s="80" t="s">
        <v>7653</v>
      </c>
      <c r="I1603" s="92">
        <v>45930</v>
      </c>
      <c r="J1603" s="80" t="s">
        <v>3565</v>
      </c>
      <c r="K1603" s="80" t="s">
        <v>1654</v>
      </c>
      <c r="L1603" s="84" t="s">
        <v>189</v>
      </c>
      <c r="M1603" s="84" t="s">
        <v>595</v>
      </c>
      <c r="N1603" s="201" t="s">
        <v>72</v>
      </c>
      <c r="O1603" s="310" t="s">
        <v>7654</v>
      </c>
      <c r="P1603" s="194" t="s">
        <v>7655</v>
      </c>
      <c r="Q1603" s="49" t="s">
        <v>91</v>
      </c>
      <c r="R1603" s="25"/>
      <c r="S1603" s="26"/>
      <c r="T1603" s="26"/>
      <c r="U1603" s="28" t="s">
        <v>7656</v>
      </c>
      <c r="V1603" s="66"/>
      <c r="W1603" s="106"/>
      <c r="X1603" s="106" t="s">
        <v>76</v>
      </c>
      <c r="Y1603" s="26"/>
      <c r="Z1603" s="75" t="s">
        <v>76</v>
      </c>
      <c r="AA1603" s="30"/>
    </row>
    <row r="1604" spans="1:27" ht="49.5" hidden="1" customHeight="1">
      <c r="A1604" s="98">
        <v>1594</v>
      </c>
      <c r="B1604" s="79" t="s">
        <v>7657</v>
      </c>
      <c r="C1604" s="148" t="s">
        <v>10</v>
      </c>
      <c r="D1604" s="80" t="s">
        <v>63</v>
      </c>
      <c r="E1604" s="27" t="s">
        <v>7651</v>
      </c>
      <c r="F1604" s="80" t="s">
        <v>109</v>
      </c>
      <c r="G1604" s="81" t="s">
        <v>7652</v>
      </c>
      <c r="H1604" s="80" t="s">
        <v>7653</v>
      </c>
      <c r="I1604" s="92">
        <v>45930</v>
      </c>
      <c r="J1604" s="80" t="s">
        <v>3517</v>
      </c>
      <c r="K1604" s="80" t="s">
        <v>1654</v>
      </c>
      <c r="L1604" s="84" t="s">
        <v>189</v>
      </c>
      <c r="M1604" s="84" t="s">
        <v>784</v>
      </c>
      <c r="N1604" s="201" t="s">
        <v>72</v>
      </c>
      <c r="O1604" s="310" t="s">
        <v>7658</v>
      </c>
      <c r="P1604" s="194" t="s">
        <v>7659</v>
      </c>
      <c r="Q1604" s="49" t="s">
        <v>75</v>
      </c>
      <c r="R1604" s="25" t="s">
        <v>91</v>
      </c>
      <c r="S1604" s="26"/>
      <c r="T1604" s="26"/>
      <c r="U1604" s="28" t="s">
        <v>7660</v>
      </c>
      <c r="V1604" s="66"/>
      <c r="W1604" s="106"/>
      <c r="X1604" s="106" t="s">
        <v>176</v>
      </c>
      <c r="Y1604" s="26"/>
      <c r="Z1604" s="75" t="s">
        <v>76</v>
      </c>
      <c r="AA1604" s="30"/>
    </row>
    <row r="1605" spans="1:27" ht="48" hidden="1" customHeight="1">
      <c r="A1605" s="98">
        <v>1595</v>
      </c>
      <c r="B1605" s="79" t="s">
        <v>7661</v>
      </c>
      <c r="C1605" s="148" t="s">
        <v>10</v>
      </c>
      <c r="D1605" s="80" t="s">
        <v>63</v>
      </c>
      <c r="E1605" s="27" t="s">
        <v>6380</v>
      </c>
      <c r="F1605" s="80" t="s">
        <v>120</v>
      </c>
      <c r="G1605" s="81" t="s">
        <v>6381</v>
      </c>
      <c r="H1605" s="80" t="s">
        <v>6382</v>
      </c>
      <c r="I1605" s="92">
        <v>45930</v>
      </c>
      <c r="J1605" s="80" t="s">
        <v>3565</v>
      </c>
      <c r="K1605" s="80" t="s">
        <v>1654</v>
      </c>
      <c r="L1605" s="84" t="s">
        <v>189</v>
      </c>
      <c r="M1605" s="84" t="s">
        <v>595</v>
      </c>
      <c r="N1605" s="201" t="s">
        <v>72</v>
      </c>
      <c r="O1605" s="310" t="s">
        <v>7662</v>
      </c>
      <c r="P1605" s="194" t="s">
        <v>7663</v>
      </c>
      <c r="Q1605" s="49" t="s">
        <v>75</v>
      </c>
      <c r="R1605" s="25" t="s">
        <v>91</v>
      </c>
      <c r="S1605" s="26"/>
      <c r="T1605" s="26"/>
      <c r="U1605" s="28" t="s">
        <v>7664</v>
      </c>
      <c r="V1605" s="66"/>
      <c r="W1605" s="106"/>
      <c r="X1605" s="106" t="s">
        <v>176</v>
      </c>
      <c r="Y1605" s="26"/>
      <c r="Z1605" s="75" t="s">
        <v>76</v>
      </c>
      <c r="AA1605" s="30"/>
    </row>
    <row r="1606" spans="1:27" ht="68.25" hidden="1" customHeight="1">
      <c r="A1606" s="98">
        <v>1596</v>
      </c>
      <c r="B1606" s="79" t="s">
        <v>7665</v>
      </c>
      <c r="C1606" s="148" t="s">
        <v>8</v>
      </c>
      <c r="D1606" s="80" t="s">
        <v>63</v>
      </c>
      <c r="E1606" s="27" t="s">
        <v>2631</v>
      </c>
      <c r="F1606" s="80" t="s">
        <v>109</v>
      </c>
      <c r="G1606" s="81" t="s">
        <v>995</v>
      </c>
      <c r="H1606" s="80" t="s">
        <v>2632</v>
      </c>
      <c r="I1606" s="92">
        <v>45931</v>
      </c>
      <c r="J1606" s="80" t="s">
        <v>3565</v>
      </c>
      <c r="K1606" s="80" t="s">
        <v>299</v>
      </c>
      <c r="L1606" s="84" t="s">
        <v>189</v>
      </c>
      <c r="M1606" s="84" t="s">
        <v>595</v>
      </c>
      <c r="N1606" s="201" t="s">
        <v>72</v>
      </c>
      <c r="O1606" s="200" t="s">
        <v>7666</v>
      </c>
      <c r="P1606" s="194" t="s">
        <v>7667</v>
      </c>
      <c r="Q1606" s="49" t="s">
        <v>91</v>
      </c>
      <c r="R1606" s="25"/>
      <c r="S1606" s="26">
        <v>10</v>
      </c>
      <c r="T1606" s="26"/>
      <c r="U1606" s="28" t="s">
        <v>7668</v>
      </c>
      <c r="V1606" s="66"/>
      <c r="W1606" s="106"/>
      <c r="X1606" s="106" t="s">
        <v>76</v>
      </c>
      <c r="Y1606" s="26"/>
      <c r="Z1606" s="75" t="s">
        <v>193</v>
      </c>
      <c r="AA1606" s="30"/>
    </row>
    <row r="1607" spans="1:27" ht="57" hidden="1" customHeight="1">
      <c r="A1607" s="98">
        <v>1597</v>
      </c>
      <c r="B1607" s="79" t="s">
        <v>7669</v>
      </c>
      <c r="C1607" s="148" t="s">
        <v>8</v>
      </c>
      <c r="D1607" s="80" t="s">
        <v>63</v>
      </c>
      <c r="E1607" s="27" t="s">
        <v>2636</v>
      </c>
      <c r="F1607" s="80" t="s">
        <v>120</v>
      </c>
      <c r="G1607" s="81" t="s">
        <v>995</v>
      </c>
      <c r="H1607" s="80" t="s">
        <v>2637</v>
      </c>
      <c r="I1607" s="92">
        <v>45931</v>
      </c>
      <c r="J1607" s="80" t="s">
        <v>3565</v>
      </c>
      <c r="K1607" s="80" t="s">
        <v>299</v>
      </c>
      <c r="L1607" s="84" t="s">
        <v>189</v>
      </c>
      <c r="M1607" s="84" t="s">
        <v>252</v>
      </c>
      <c r="N1607" s="201" t="s">
        <v>72</v>
      </c>
      <c r="O1607" s="200" t="s">
        <v>7670</v>
      </c>
      <c r="P1607" s="194" t="s">
        <v>7671</v>
      </c>
      <c r="Q1607" s="49" t="s">
        <v>91</v>
      </c>
      <c r="R1607" s="25"/>
      <c r="S1607" s="26">
        <v>15</v>
      </c>
      <c r="T1607" s="26"/>
      <c r="U1607" s="28" t="s">
        <v>7672</v>
      </c>
      <c r="V1607" s="66"/>
      <c r="W1607" s="106"/>
      <c r="X1607" s="106" t="s">
        <v>76</v>
      </c>
      <c r="Y1607" s="26"/>
      <c r="Z1607" s="75" t="s">
        <v>193</v>
      </c>
      <c r="AA1607" s="30"/>
    </row>
    <row r="1608" spans="1:27" ht="54" hidden="1" customHeight="1">
      <c r="A1608" s="98">
        <v>1598</v>
      </c>
      <c r="B1608" s="79" t="s">
        <v>7673</v>
      </c>
      <c r="C1608" s="148" t="s">
        <v>10</v>
      </c>
      <c r="D1608" s="80" t="s">
        <v>63</v>
      </c>
      <c r="E1608" s="27" t="s">
        <v>6651</v>
      </c>
      <c r="F1608" s="80" t="s">
        <v>109</v>
      </c>
      <c r="G1608" s="81" t="s">
        <v>3103</v>
      </c>
      <c r="H1608" s="80" t="s">
        <v>6652</v>
      </c>
      <c r="I1608" s="92">
        <v>45931</v>
      </c>
      <c r="J1608" s="80" t="s">
        <v>3517</v>
      </c>
      <c r="K1608" s="80" t="s">
        <v>299</v>
      </c>
      <c r="L1608" s="84" t="s">
        <v>189</v>
      </c>
      <c r="M1608" s="84" t="s">
        <v>784</v>
      </c>
      <c r="N1608" s="201" t="s">
        <v>72</v>
      </c>
      <c r="O1608" s="310" t="s">
        <v>7674</v>
      </c>
      <c r="P1608" s="194" t="s">
        <v>7675</v>
      </c>
      <c r="Q1608" s="49" t="s">
        <v>91</v>
      </c>
      <c r="R1608" s="25"/>
      <c r="S1608" s="26">
        <v>14</v>
      </c>
      <c r="T1608" s="26"/>
      <c r="U1608" s="28" t="s">
        <v>7676</v>
      </c>
      <c r="V1608" s="66"/>
      <c r="W1608" s="106"/>
      <c r="X1608" s="106" t="s">
        <v>76</v>
      </c>
      <c r="Y1608" s="26"/>
      <c r="Z1608" s="75" t="s">
        <v>193</v>
      </c>
      <c r="AA1608" s="30"/>
    </row>
    <row r="1609" spans="1:27" ht="61.5" hidden="1" customHeight="1">
      <c r="A1609" s="98">
        <v>1599</v>
      </c>
      <c r="B1609" s="79" t="s">
        <v>7677</v>
      </c>
      <c r="C1609" s="148" t="s">
        <v>8</v>
      </c>
      <c r="D1609" s="80" t="s">
        <v>63</v>
      </c>
      <c r="E1609" s="27" t="s">
        <v>2613</v>
      </c>
      <c r="F1609" s="80" t="s">
        <v>109</v>
      </c>
      <c r="G1609" s="81" t="s">
        <v>995</v>
      </c>
      <c r="H1609" s="80" t="s">
        <v>2614</v>
      </c>
      <c r="I1609" s="92">
        <v>45931</v>
      </c>
      <c r="J1609" s="80" t="s">
        <v>3517</v>
      </c>
      <c r="K1609" s="80" t="s">
        <v>299</v>
      </c>
      <c r="L1609" s="84" t="s">
        <v>189</v>
      </c>
      <c r="M1609" s="84" t="s">
        <v>784</v>
      </c>
      <c r="N1609" s="201" t="s">
        <v>72</v>
      </c>
      <c r="O1609" s="200" t="s">
        <v>7678</v>
      </c>
      <c r="P1609" s="194" t="s">
        <v>7679</v>
      </c>
      <c r="Q1609" s="49" t="s">
        <v>75</v>
      </c>
      <c r="R1609" s="25" t="s">
        <v>91</v>
      </c>
      <c r="S1609" s="26">
        <v>20</v>
      </c>
      <c r="T1609" s="26">
        <v>62</v>
      </c>
      <c r="U1609" s="28" t="s">
        <v>7680</v>
      </c>
      <c r="V1609" s="66"/>
      <c r="W1609" s="106"/>
      <c r="X1609" s="106" t="s">
        <v>176</v>
      </c>
      <c r="Y1609" s="26"/>
      <c r="Z1609" s="75" t="s">
        <v>93</v>
      </c>
      <c r="AA1609" s="30"/>
    </row>
    <row r="1610" spans="1:27" ht="50.25" hidden="1" customHeight="1">
      <c r="A1610" s="98">
        <v>1600</v>
      </c>
      <c r="B1610" s="79" t="s">
        <v>7681</v>
      </c>
      <c r="C1610" s="148" t="s">
        <v>794</v>
      </c>
      <c r="D1610" s="80" t="s">
        <v>83</v>
      </c>
      <c r="E1610" s="27" t="s">
        <v>5406</v>
      </c>
      <c r="F1610" s="80" t="s">
        <v>284</v>
      </c>
      <c r="G1610" s="81" t="s">
        <v>5388</v>
      </c>
      <c r="H1610" s="80" t="s">
        <v>5407</v>
      </c>
      <c r="I1610" s="92">
        <v>45932</v>
      </c>
      <c r="J1610" s="80" t="s">
        <v>3505</v>
      </c>
      <c r="K1610" s="80" t="s">
        <v>69</v>
      </c>
      <c r="L1610" s="84" t="s">
        <v>251</v>
      </c>
      <c r="M1610" s="84" t="s">
        <v>252</v>
      </c>
      <c r="N1610" s="201" t="s">
        <v>920</v>
      </c>
      <c r="O1610" s="200" t="s">
        <v>7682</v>
      </c>
      <c r="P1610" s="194" t="s">
        <v>7683</v>
      </c>
      <c r="Q1610" s="49" t="s">
        <v>91</v>
      </c>
      <c r="R1610" s="25"/>
      <c r="S1610" s="26">
        <v>12</v>
      </c>
      <c r="T1610" s="26"/>
      <c r="U1610" s="28" t="s">
        <v>7684</v>
      </c>
      <c r="V1610" s="66"/>
      <c r="W1610" s="106"/>
      <c r="X1610" s="106" t="s">
        <v>76</v>
      </c>
      <c r="Y1610" s="26"/>
      <c r="Z1610" s="75" t="s">
        <v>193</v>
      </c>
      <c r="AA1610" s="30"/>
    </row>
    <row r="1611" spans="1:27" ht="81.75" hidden="1" customHeight="1">
      <c r="A1611" s="98">
        <v>1601</v>
      </c>
      <c r="B1611" s="79" t="s">
        <v>7685</v>
      </c>
      <c r="C1611" s="148" t="s">
        <v>10</v>
      </c>
      <c r="D1611" s="80" t="s">
        <v>63</v>
      </c>
      <c r="E1611" s="27" t="s">
        <v>7686</v>
      </c>
      <c r="F1611" s="80" t="s">
        <v>109</v>
      </c>
      <c r="G1611" s="81" t="s">
        <v>5893</v>
      </c>
      <c r="H1611" s="80" t="s">
        <v>7687</v>
      </c>
      <c r="I1611" s="92">
        <v>45932</v>
      </c>
      <c r="J1611" s="80" t="s">
        <v>3517</v>
      </c>
      <c r="K1611" s="80" t="s">
        <v>3373</v>
      </c>
      <c r="L1611" s="84" t="s">
        <v>189</v>
      </c>
      <c r="M1611" s="84" t="s">
        <v>200</v>
      </c>
      <c r="N1611" s="201" t="s">
        <v>72</v>
      </c>
      <c r="O1611" s="310" t="s">
        <v>7688</v>
      </c>
      <c r="P1611" s="194" t="s">
        <v>7689</v>
      </c>
      <c r="Q1611" s="49" t="s">
        <v>75</v>
      </c>
      <c r="R1611" s="25" t="s">
        <v>91</v>
      </c>
      <c r="S1611" s="26">
        <v>21</v>
      </c>
      <c r="T1611" s="26">
        <v>42</v>
      </c>
      <c r="U1611" s="28" t="s">
        <v>7690</v>
      </c>
      <c r="V1611" s="66"/>
      <c r="W1611" s="106"/>
      <c r="X1611" s="106" t="s">
        <v>176</v>
      </c>
      <c r="Y1611" s="26"/>
      <c r="Z1611" s="75" t="s">
        <v>76</v>
      </c>
      <c r="AA1611" s="30"/>
    </row>
    <row r="1612" spans="1:27" ht="59.25" hidden="1" customHeight="1">
      <c r="A1612" s="98">
        <v>1602</v>
      </c>
      <c r="B1612" s="79" t="s">
        <v>7691</v>
      </c>
      <c r="C1612" s="148" t="s">
        <v>10</v>
      </c>
      <c r="D1612" s="80" t="s">
        <v>63</v>
      </c>
      <c r="E1612" s="27" t="s">
        <v>7692</v>
      </c>
      <c r="F1612" s="80" t="s">
        <v>284</v>
      </c>
      <c r="G1612" s="81" t="s">
        <v>3676</v>
      </c>
      <c r="H1612" s="80" t="s">
        <v>7693</v>
      </c>
      <c r="I1612" s="92">
        <v>45932</v>
      </c>
      <c r="J1612" s="80" t="s">
        <v>3517</v>
      </c>
      <c r="K1612" s="80" t="s">
        <v>3373</v>
      </c>
      <c r="L1612" s="84" t="s">
        <v>189</v>
      </c>
      <c r="M1612" s="84" t="s">
        <v>200</v>
      </c>
      <c r="N1612" s="201" t="s">
        <v>72</v>
      </c>
      <c r="O1612" s="310" t="s">
        <v>7694</v>
      </c>
      <c r="P1612" s="194" t="s">
        <v>7695</v>
      </c>
      <c r="Q1612" s="49" t="s">
        <v>75</v>
      </c>
      <c r="R1612" s="25" t="s">
        <v>91</v>
      </c>
      <c r="S1612" s="26">
        <v>19</v>
      </c>
      <c r="T1612" s="26">
        <v>50</v>
      </c>
      <c r="U1612" s="28" t="s">
        <v>7696</v>
      </c>
      <c r="V1612" s="66"/>
      <c r="W1612" s="106"/>
      <c r="X1612" s="106" t="s">
        <v>176</v>
      </c>
      <c r="Y1612" s="26"/>
      <c r="Z1612" s="75" t="s">
        <v>76</v>
      </c>
      <c r="AA1612" s="30"/>
    </row>
    <row r="1613" spans="1:27" ht="69.75" hidden="1" customHeight="1">
      <c r="A1613" s="98">
        <v>1603</v>
      </c>
      <c r="B1613" s="79" t="s">
        <v>7697</v>
      </c>
      <c r="C1613" s="148" t="s">
        <v>10</v>
      </c>
      <c r="D1613" s="80" t="s">
        <v>63</v>
      </c>
      <c r="E1613" s="27" t="s">
        <v>7698</v>
      </c>
      <c r="F1613" s="80" t="s">
        <v>109</v>
      </c>
      <c r="G1613" s="81" t="s">
        <v>5893</v>
      </c>
      <c r="H1613" s="80" t="s">
        <v>7699</v>
      </c>
      <c r="I1613" s="92">
        <v>45932</v>
      </c>
      <c r="J1613" s="80" t="s">
        <v>3517</v>
      </c>
      <c r="K1613" s="80" t="s">
        <v>3373</v>
      </c>
      <c r="L1613" s="84" t="s">
        <v>189</v>
      </c>
      <c r="M1613" s="84" t="s">
        <v>200</v>
      </c>
      <c r="N1613" s="201" t="s">
        <v>72</v>
      </c>
      <c r="O1613" s="310" t="s">
        <v>7700</v>
      </c>
      <c r="P1613" s="194" t="s">
        <v>7701</v>
      </c>
      <c r="Q1613" s="49" t="s">
        <v>75</v>
      </c>
      <c r="R1613" s="25" t="s">
        <v>91</v>
      </c>
      <c r="S1613" s="26">
        <v>21</v>
      </c>
      <c r="T1613" s="26">
        <v>51</v>
      </c>
      <c r="U1613" s="28" t="s">
        <v>7702</v>
      </c>
      <c r="V1613" s="66"/>
      <c r="W1613" s="106"/>
      <c r="X1613" s="106" t="s">
        <v>176</v>
      </c>
      <c r="Y1613" s="26"/>
      <c r="Z1613" s="75" t="s">
        <v>76</v>
      </c>
      <c r="AA1613" s="30"/>
    </row>
    <row r="1614" spans="1:27" ht="311.25" hidden="1" customHeight="1">
      <c r="A1614" s="98">
        <v>1604</v>
      </c>
      <c r="B1614" s="79" t="s">
        <v>7703</v>
      </c>
      <c r="C1614" s="148" t="s">
        <v>10</v>
      </c>
      <c r="D1614" s="80" t="s">
        <v>63</v>
      </c>
      <c r="E1614" s="27" t="s">
        <v>3197</v>
      </c>
      <c r="F1614" s="80" t="s">
        <v>120</v>
      </c>
      <c r="G1614" s="81" t="s">
        <v>3198</v>
      </c>
      <c r="H1614" s="80" t="s">
        <v>3199</v>
      </c>
      <c r="I1614" s="202">
        <v>45940</v>
      </c>
      <c r="J1614" s="80" t="s">
        <v>3505</v>
      </c>
      <c r="K1614" s="80" t="s">
        <v>69</v>
      </c>
      <c r="L1614" s="84" t="s">
        <v>100</v>
      </c>
      <c r="M1614" s="84" t="s">
        <v>595</v>
      </c>
      <c r="N1614" s="201" t="s">
        <v>920</v>
      </c>
      <c r="O1614" s="310" t="s">
        <v>7704</v>
      </c>
      <c r="P1614" s="194" t="s">
        <v>7705</v>
      </c>
      <c r="Q1614" s="49" t="s">
        <v>75</v>
      </c>
      <c r="R1614" s="25" t="s">
        <v>91</v>
      </c>
      <c r="S1614" s="26">
        <v>20</v>
      </c>
      <c r="T1614" s="26">
        <v>44</v>
      </c>
      <c r="U1614" s="283" t="s">
        <v>7706</v>
      </c>
      <c r="V1614" s="66"/>
      <c r="W1614" s="106"/>
      <c r="X1614" s="106" t="s">
        <v>176</v>
      </c>
      <c r="Y1614" s="26"/>
      <c r="Z1614" s="75" t="s">
        <v>93</v>
      </c>
      <c r="AA1614" s="30"/>
    </row>
    <row r="1615" spans="1:27" ht="47.25" hidden="1" customHeight="1">
      <c r="A1615" s="98">
        <v>1605</v>
      </c>
      <c r="B1615" s="79" t="s">
        <v>7707</v>
      </c>
      <c r="C1615" s="148" t="s">
        <v>8</v>
      </c>
      <c r="D1615" s="80" t="s">
        <v>63</v>
      </c>
      <c r="E1615" s="27" t="s">
        <v>6276</v>
      </c>
      <c r="F1615" s="80" t="s">
        <v>120</v>
      </c>
      <c r="G1615" s="81" t="s">
        <v>277</v>
      </c>
      <c r="H1615" s="80" t="s">
        <v>6277</v>
      </c>
      <c r="I1615" s="202">
        <v>45940</v>
      </c>
      <c r="J1615" s="80" t="s">
        <v>3494</v>
      </c>
      <c r="K1615" s="80" t="s">
        <v>198</v>
      </c>
      <c r="L1615" s="84" t="s">
        <v>199</v>
      </c>
      <c r="M1615" s="84" t="s">
        <v>221</v>
      </c>
      <c r="N1615" s="201" t="s">
        <v>72</v>
      </c>
      <c r="O1615" s="200" t="s">
        <v>7708</v>
      </c>
      <c r="P1615" s="194" t="s">
        <v>7709</v>
      </c>
      <c r="Q1615" s="49" t="s">
        <v>75</v>
      </c>
      <c r="R1615" s="25" t="s">
        <v>91</v>
      </c>
      <c r="S1615" s="26">
        <v>18</v>
      </c>
      <c r="T1615" s="26">
        <v>58</v>
      </c>
      <c r="U1615" s="28" t="s">
        <v>7710</v>
      </c>
      <c r="V1615" s="66"/>
      <c r="W1615" s="106"/>
      <c r="X1615" s="106" t="s">
        <v>176</v>
      </c>
      <c r="Y1615" s="26"/>
      <c r="Z1615" s="75" t="s">
        <v>93</v>
      </c>
      <c r="AA1615" s="30"/>
    </row>
    <row r="1616" spans="1:27" ht="54" hidden="1" customHeight="1">
      <c r="A1616" s="98">
        <v>1606</v>
      </c>
      <c r="B1616" s="79" t="s">
        <v>7711</v>
      </c>
      <c r="C1616" s="148" t="s">
        <v>8</v>
      </c>
      <c r="D1616" s="80" t="s">
        <v>63</v>
      </c>
      <c r="E1616" s="27" t="s">
        <v>7712</v>
      </c>
      <c r="F1616" s="80" t="s">
        <v>65</v>
      </c>
      <c r="G1616" s="81" t="s">
        <v>1047</v>
      </c>
      <c r="H1616" s="80" t="s">
        <v>7713</v>
      </c>
      <c r="I1616" s="202">
        <v>45940</v>
      </c>
      <c r="J1616" s="80" t="s">
        <v>1079</v>
      </c>
      <c r="K1616" s="80" t="s">
        <v>146</v>
      </c>
      <c r="L1616" s="84" t="s">
        <v>113</v>
      </c>
      <c r="M1616" s="84" t="s">
        <v>71</v>
      </c>
      <c r="N1616" s="201" t="s">
        <v>72</v>
      </c>
      <c r="O1616" s="200" t="s">
        <v>7714</v>
      </c>
      <c r="P1616" s="194" t="s">
        <v>7715</v>
      </c>
      <c r="Q1616" s="49" t="s">
        <v>91</v>
      </c>
      <c r="R1616" s="25"/>
      <c r="S1616" s="26">
        <v>16</v>
      </c>
      <c r="T1616" s="26"/>
      <c r="U1616" s="28" t="s">
        <v>7716</v>
      </c>
      <c r="V1616" s="66"/>
      <c r="W1616" s="106"/>
      <c r="X1616" s="106" t="s">
        <v>76</v>
      </c>
      <c r="Y1616" s="26"/>
      <c r="Z1616" s="75" t="s">
        <v>193</v>
      </c>
      <c r="AA1616" s="30"/>
    </row>
    <row r="1617" spans="1:28" ht="54.75" hidden="1" customHeight="1">
      <c r="A1617" s="98">
        <v>1607</v>
      </c>
      <c r="B1617" s="79" t="s">
        <v>7717</v>
      </c>
      <c r="C1617" s="148" t="s">
        <v>8</v>
      </c>
      <c r="D1617" s="80" t="s">
        <v>63</v>
      </c>
      <c r="E1617" s="27" t="s">
        <v>7712</v>
      </c>
      <c r="F1617" s="80" t="s">
        <v>65</v>
      </c>
      <c r="G1617" s="81" t="s">
        <v>1047</v>
      </c>
      <c r="H1617" s="80" t="s">
        <v>7713</v>
      </c>
      <c r="I1617" s="202">
        <v>45940</v>
      </c>
      <c r="J1617" s="80" t="s">
        <v>1288</v>
      </c>
      <c r="K1617" s="80" t="s">
        <v>146</v>
      </c>
      <c r="L1617" s="84" t="s">
        <v>113</v>
      </c>
      <c r="M1617" s="84" t="s">
        <v>148</v>
      </c>
      <c r="N1617" s="201" t="s">
        <v>72</v>
      </c>
      <c r="O1617" s="200" t="s">
        <v>7718</v>
      </c>
      <c r="P1617" s="194" t="s">
        <v>7719</v>
      </c>
      <c r="Q1617" s="49" t="s">
        <v>75</v>
      </c>
      <c r="R1617" s="25" t="s">
        <v>91</v>
      </c>
      <c r="S1617" s="26">
        <v>18</v>
      </c>
      <c r="T1617" s="26">
        <v>60</v>
      </c>
      <c r="U1617" s="28" t="s">
        <v>7720</v>
      </c>
      <c r="V1617" s="66"/>
      <c r="W1617" s="106"/>
      <c r="X1617" s="106" t="s">
        <v>176</v>
      </c>
      <c r="Y1617" s="26"/>
      <c r="Z1617" s="75" t="s">
        <v>93</v>
      </c>
      <c r="AA1617" s="30"/>
    </row>
    <row r="1618" spans="1:28" ht="63.75" hidden="1" customHeight="1">
      <c r="A1618" s="98">
        <v>1608</v>
      </c>
      <c r="B1618" s="79" t="s">
        <v>7721</v>
      </c>
      <c r="C1618" s="148" t="s">
        <v>10</v>
      </c>
      <c r="D1618" s="80" t="s">
        <v>63</v>
      </c>
      <c r="E1618" s="27" t="s">
        <v>7722</v>
      </c>
      <c r="F1618" s="80" t="s">
        <v>65</v>
      </c>
      <c r="G1618" s="81" t="s">
        <v>7723</v>
      </c>
      <c r="H1618" s="80" t="s">
        <v>7724</v>
      </c>
      <c r="I1618" s="202">
        <v>45943</v>
      </c>
      <c r="J1618" s="80" t="s">
        <v>3517</v>
      </c>
      <c r="K1618" s="80" t="s">
        <v>3373</v>
      </c>
      <c r="L1618" s="84" t="s">
        <v>189</v>
      </c>
      <c r="M1618" s="84" t="s">
        <v>200</v>
      </c>
      <c r="N1618" s="201" t="s">
        <v>72</v>
      </c>
      <c r="O1618" s="310" t="s">
        <v>7725</v>
      </c>
      <c r="P1618" s="194" t="s">
        <v>7726</v>
      </c>
      <c r="Q1618" s="49" t="s">
        <v>75</v>
      </c>
      <c r="R1618" s="25" t="s">
        <v>91</v>
      </c>
      <c r="S1618" s="26">
        <v>18</v>
      </c>
      <c r="T1618" s="26">
        <v>51</v>
      </c>
      <c r="U1618" s="28" t="s">
        <v>7727</v>
      </c>
      <c r="V1618" s="66"/>
      <c r="W1618" s="106"/>
      <c r="X1618" s="106" t="s">
        <v>176</v>
      </c>
      <c r="Y1618" s="26"/>
      <c r="Z1618" s="75" t="s">
        <v>76</v>
      </c>
      <c r="AA1618" s="30"/>
    </row>
    <row r="1619" spans="1:28" ht="48" hidden="1" customHeight="1">
      <c r="A1619" s="98">
        <v>1609</v>
      </c>
      <c r="B1619" s="79" t="s">
        <v>7728</v>
      </c>
      <c r="C1619" s="148" t="s">
        <v>10</v>
      </c>
      <c r="D1619" s="80" t="s">
        <v>63</v>
      </c>
      <c r="E1619" s="27" t="s">
        <v>7722</v>
      </c>
      <c r="F1619" s="80" t="s">
        <v>65</v>
      </c>
      <c r="G1619" s="81" t="s">
        <v>7723</v>
      </c>
      <c r="H1619" s="80" t="s">
        <v>7724</v>
      </c>
      <c r="I1619" s="202">
        <v>45943</v>
      </c>
      <c r="J1619" s="80" t="s">
        <v>3517</v>
      </c>
      <c r="K1619" s="80" t="s">
        <v>3373</v>
      </c>
      <c r="L1619" s="84" t="s">
        <v>189</v>
      </c>
      <c r="M1619" s="84" t="s">
        <v>200</v>
      </c>
      <c r="N1619" s="201" t="s">
        <v>72</v>
      </c>
      <c r="O1619" s="310" t="s">
        <v>7729</v>
      </c>
      <c r="P1619" s="194" t="s">
        <v>7730</v>
      </c>
      <c r="Q1619" s="49" t="s">
        <v>75</v>
      </c>
      <c r="R1619" s="25" t="s">
        <v>91</v>
      </c>
      <c r="S1619" s="26">
        <v>18</v>
      </c>
      <c r="T1619" s="26">
        <v>53</v>
      </c>
      <c r="U1619" s="129" t="s">
        <v>7731</v>
      </c>
      <c r="V1619" s="66"/>
      <c r="W1619" s="106"/>
      <c r="X1619" s="106" t="s">
        <v>176</v>
      </c>
      <c r="Y1619" s="26"/>
      <c r="Z1619" s="75" t="s">
        <v>76</v>
      </c>
      <c r="AA1619" s="30"/>
    </row>
    <row r="1620" spans="1:28" ht="96.75" hidden="1" customHeight="1">
      <c r="A1620" s="98">
        <v>1610</v>
      </c>
      <c r="B1620" s="79" t="s">
        <v>7732</v>
      </c>
      <c r="C1620" s="148" t="s">
        <v>9</v>
      </c>
      <c r="D1620" s="80" t="s">
        <v>83</v>
      </c>
      <c r="E1620" s="27" t="s">
        <v>1321</v>
      </c>
      <c r="F1620" s="80" t="s">
        <v>65</v>
      </c>
      <c r="G1620" s="81" t="s">
        <v>1286</v>
      </c>
      <c r="H1620" s="80" t="s">
        <v>1322</v>
      </c>
      <c r="I1620" s="202">
        <v>45945</v>
      </c>
      <c r="J1620" s="80" t="s">
        <v>3505</v>
      </c>
      <c r="K1620" s="80" t="s">
        <v>69</v>
      </c>
      <c r="L1620" s="84" t="s">
        <v>251</v>
      </c>
      <c r="M1620" s="84" t="s">
        <v>252</v>
      </c>
      <c r="N1620" s="201" t="s">
        <v>920</v>
      </c>
      <c r="O1620" s="200" t="s">
        <v>7733</v>
      </c>
      <c r="P1620" s="194" t="s">
        <v>7734</v>
      </c>
      <c r="Q1620" s="49" t="s">
        <v>91</v>
      </c>
      <c r="R1620" s="25"/>
      <c r="S1620" s="26">
        <v>16</v>
      </c>
      <c r="T1620" s="26"/>
      <c r="U1620" s="53" t="s">
        <v>7735</v>
      </c>
      <c r="V1620" s="66"/>
      <c r="W1620" s="106"/>
      <c r="X1620" s="208"/>
      <c r="Y1620" s="208"/>
      <c r="Z1620" s="75" t="s">
        <v>193</v>
      </c>
    </row>
    <row r="1621" spans="1:28" ht="49.5" hidden="1" customHeight="1">
      <c r="A1621" s="98">
        <v>1611</v>
      </c>
      <c r="B1621" s="79" t="s">
        <v>7736</v>
      </c>
      <c r="C1621" s="148" t="s">
        <v>237</v>
      </c>
      <c r="D1621" s="80" t="s">
        <v>83</v>
      </c>
      <c r="E1621" s="27" t="s">
        <v>523</v>
      </c>
      <c r="F1621" s="80" t="s">
        <v>109</v>
      </c>
      <c r="G1621" s="81" t="s">
        <v>290</v>
      </c>
      <c r="H1621" s="80" t="s">
        <v>524</v>
      </c>
      <c r="I1621" s="202">
        <v>45946</v>
      </c>
      <c r="J1621" s="80" t="s">
        <v>1179</v>
      </c>
      <c r="K1621" s="80" t="s">
        <v>146</v>
      </c>
      <c r="L1621" s="84" t="s">
        <v>147</v>
      </c>
      <c r="M1621" s="84" t="s">
        <v>148</v>
      </c>
      <c r="N1621" s="201" t="s">
        <v>72</v>
      </c>
      <c r="O1621" s="200" t="s">
        <v>7737</v>
      </c>
      <c r="P1621" s="194" t="s">
        <v>7738</v>
      </c>
      <c r="Q1621" s="49" t="s">
        <v>75</v>
      </c>
      <c r="R1621" s="25" t="s">
        <v>91</v>
      </c>
      <c r="S1621" s="26">
        <v>20</v>
      </c>
      <c r="T1621" s="26">
        <v>62</v>
      </c>
      <c r="U1621" s="53" t="s">
        <v>7739</v>
      </c>
      <c r="V1621" s="66"/>
      <c r="W1621" s="106"/>
      <c r="X1621" s="106" t="s">
        <v>176</v>
      </c>
      <c r="Y1621" s="209"/>
      <c r="Z1621" s="75" t="s">
        <v>93</v>
      </c>
      <c r="AA1621" s="207"/>
    </row>
    <row r="1622" spans="1:28" ht="53.25" hidden="1" customHeight="1">
      <c r="A1622" s="98">
        <v>1612</v>
      </c>
      <c r="B1622" s="79" t="s">
        <v>7740</v>
      </c>
      <c r="C1622" s="148" t="s">
        <v>10</v>
      </c>
      <c r="D1622" s="80" t="s">
        <v>63</v>
      </c>
      <c r="E1622" s="27" t="s">
        <v>7741</v>
      </c>
      <c r="F1622" s="80" t="s">
        <v>120</v>
      </c>
      <c r="G1622" s="81" t="s">
        <v>5293</v>
      </c>
      <c r="H1622" s="80" t="s">
        <v>7742</v>
      </c>
      <c r="I1622" s="202">
        <v>45947</v>
      </c>
      <c r="J1622" s="80" t="s">
        <v>3505</v>
      </c>
      <c r="K1622" s="80" t="s">
        <v>112</v>
      </c>
      <c r="L1622" s="84" t="s">
        <v>113</v>
      </c>
      <c r="M1622" s="84" t="s">
        <v>252</v>
      </c>
      <c r="N1622" s="201" t="s">
        <v>72</v>
      </c>
      <c r="O1622" s="310" t="s">
        <v>7743</v>
      </c>
      <c r="P1622" s="194" t="s">
        <v>7744</v>
      </c>
      <c r="Q1622" s="49" t="s">
        <v>75</v>
      </c>
      <c r="R1622" s="25" t="s">
        <v>91</v>
      </c>
      <c r="S1622" s="26">
        <v>25</v>
      </c>
      <c r="T1622" s="26">
        <v>62</v>
      </c>
      <c r="U1622" s="53" t="s">
        <v>7745</v>
      </c>
      <c r="V1622" s="66"/>
      <c r="W1622" s="106"/>
      <c r="X1622" s="106" t="s">
        <v>176</v>
      </c>
      <c r="Y1622" s="285"/>
      <c r="Z1622" s="284" t="s">
        <v>93</v>
      </c>
      <c r="AA1622" s="207"/>
    </row>
    <row r="1623" spans="1:28" ht="58.5" hidden="1" customHeight="1">
      <c r="A1623" s="98">
        <v>1613</v>
      </c>
      <c r="B1623" s="79" t="s">
        <v>7746</v>
      </c>
      <c r="C1623" s="148" t="s">
        <v>10</v>
      </c>
      <c r="D1623" s="80" t="s">
        <v>63</v>
      </c>
      <c r="E1623" s="27" t="s">
        <v>7741</v>
      </c>
      <c r="F1623" s="80" t="s">
        <v>120</v>
      </c>
      <c r="G1623" s="81" t="s">
        <v>5293</v>
      </c>
      <c r="H1623" s="80" t="s">
        <v>7742</v>
      </c>
      <c r="I1623" s="202">
        <v>45947</v>
      </c>
      <c r="J1623" s="80" t="s">
        <v>4109</v>
      </c>
      <c r="K1623" s="80" t="s">
        <v>299</v>
      </c>
      <c r="L1623" s="84" t="s">
        <v>147</v>
      </c>
      <c r="M1623" s="84" t="s">
        <v>148</v>
      </c>
      <c r="N1623" s="201" t="s">
        <v>72</v>
      </c>
      <c r="O1623" s="310" t="s">
        <v>7747</v>
      </c>
      <c r="P1623" s="194" t="s">
        <v>7748</v>
      </c>
      <c r="Q1623" s="49" t="s">
        <v>75</v>
      </c>
      <c r="R1623" s="25" t="s">
        <v>91</v>
      </c>
      <c r="S1623" s="26">
        <v>20</v>
      </c>
      <c r="T1623" s="26">
        <v>64</v>
      </c>
      <c r="U1623" s="53" t="s">
        <v>7749</v>
      </c>
      <c r="V1623" s="66"/>
      <c r="W1623" s="106"/>
      <c r="X1623" s="106" t="s">
        <v>176</v>
      </c>
      <c r="Y1623" s="209"/>
      <c r="Z1623" s="75" t="s">
        <v>93</v>
      </c>
      <c r="AA1623" s="207"/>
    </row>
    <row r="1624" spans="1:28" ht="67.5" hidden="1" customHeight="1">
      <c r="A1624" s="98">
        <v>1614</v>
      </c>
      <c r="B1624" s="79" t="s">
        <v>7750</v>
      </c>
      <c r="C1624" s="148" t="s">
        <v>10</v>
      </c>
      <c r="D1624" s="80" t="s">
        <v>63</v>
      </c>
      <c r="E1624" s="27" t="s">
        <v>7741</v>
      </c>
      <c r="F1624" s="80" t="s">
        <v>120</v>
      </c>
      <c r="G1624" s="81" t="s">
        <v>5293</v>
      </c>
      <c r="H1624" s="80" t="s">
        <v>7742</v>
      </c>
      <c r="I1624" s="202">
        <v>45947</v>
      </c>
      <c r="J1624" s="80" t="s">
        <v>3517</v>
      </c>
      <c r="K1624" s="80" t="s">
        <v>198</v>
      </c>
      <c r="L1624" s="84" t="s">
        <v>189</v>
      </c>
      <c r="M1624" s="84" t="s">
        <v>114</v>
      </c>
      <c r="N1624" s="201" t="s">
        <v>72</v>
      </c>
      <c r="O1624" s="310" t="s">
        <v>7751</v>
      </c>
      <c r="P1624" s="194" t="s">
        <v>7752</v>
      </c>
      <c r="Q1624" s="49" t="s">
        <v>91</v>
      </c>
      <c r="R1624" s="25"/>
      <c r="S1624" s="26">
        <v>3</v>
      </c>
      <c r="T1624" s="26"/>
      <c r="U1624" s="28" t="s">
        <v>7753</v>
      </c>
      <c r="V1624" s="66"/>
      <c r="W1624" s="106"/>
      <c r="X1624" s="209"/>
      <c r="Y1624" s="209"/>
      <c r="Z1624" s="75" t="s">
        <v>193</v>
      </c>
      <c r="AA1624" s="207"/>
      <c r="AB1624" s="25" t="s">
        <v>75</v>
      </c>
    </row>
    <row r="1625" spans="1:28" ht="117.75" hidden="1" customHeight="1">
      <c r="A1625" s="98">
        <v>1615</v>
      </c>
      <c r="B1625" s="79" t="s">
        <v>7754</v>
      </c>
      <c r="C1625" s="148" t="s">
        <v>9</v>
      </c>
      <c r="D1625" s="80" t="s">
        <v>83</v>
      </c>
      <c r="E1625" s="27" t="s">
        <v>1304</v>
      </c>
      <c r="F1625" s="80" t="s">
        <v>120</v>
      </c>
      <c r="G1625" s="81" t="s">
        <v>1286</v>
      </c>
      <c r="H1625" s="80" t="s">
        <v>1305</v>
      </c>
      <c r="I1625" s="202">
        <v>45950</v>
      </c>
      <c r="J1625" s="80" t="s">
        <v>3810</v>
      </c>
      <c r="K1625" s="80" t="s">
        <v>112</v>
      </c>
      <c r="L1625" s="84" t="s">
        <v>113</v>
      </c>
      <c r="M1625" s="84" t="s">
        <v>221</v>
      </c>
      <c r="N1625" s="201" t="s">
        <v>72</v>
      </c>
      <c r="O1625" s="200" t="s">
        <v>7755</v>
      </c>
      <c r="P1625" s="194" t="s">
        <v>7756</v>
      </c>
      <c r="Q1625" s="49" t="s">
        <v>91</v>
      </c>
      <c r="R1625" s="25"/>
      <c r="S1625" s="26">
        <v>14</v>
      </c>
      <c r="T1625" s="26"/>
      <c r="U1625" s="53" t="s">
        <v>7757</v>
      </c>
      <c r="V1625" s="66"/>
      <c r="W1625" s="106"/>
      <c r="X1625" s="209"/>
      <c r="Y1625" s="285"/>
      <c r="Z1625" s="284" t="s">
        <v>193</v>
      </c>
      <c r="AA1625" s="207"/>
    </row>
    <row r="1626" spans="1:28" ht="48" hidden="1" customHeight="1">
      <c r="A1626" s="98">
        <v>1616</v>
      </c>
      <c r="B1626" s="79" t="s">
        <v>7758</v>
      </c>
      <c r="C1626" s="148" t="s">
        <v>9</v>
      </c>
      <c r="D1626" s="80" t="s">
        <v>83</v>
      </c>
      <c r="E1626" s="27" t="s">
        <v>1293</v>
      </c>
      <c r="F1626" s="80" t="s">
        <v>109</v>
      </c>
      <c r="G1626" s="81" t="s">
        <v>1286</v>
      </c>
      <c r="H1626" s="80" t="s">
        <v>1294</v>
      </c>
      <c r="I1626" s="202">
        <v>45950</v>
      </c>
      <c r="J1626" s="80" t="s">
        <v>3941</v>
      </c>
      <c r="K1626" s="80" t="s">
        <v>112</v>
      </c>
      <c r="L1626" s="84" t="s">
        <v>122</v>
      </c>
      <c r="M1626" s="84" t="s">
        <v>784</v>
      </c>
      <c r="N1626" s="201" t="s">
        <v>72</v>
      </c>
      <c r="O1626" s="200" t="s">
        <v>7759</v>
      </c>
      <c r="P1626" s="194" t="s">
        <v>7760</v>
      </c>
      <c r="Q1626" s="49" t="s">
        <v>91</v>
      </c>
      <c r="R1626" s="25"/>
      <c r="S1626" s="26">
        <v>16</v>
      </c>
      <c r="T1626" s="26"/>
      <c r="U1626" s="53" t="s">
        <v>7761</v>
      </c>
      <c r="V1626" s="66"/>
      <c r="W1626" s="106"/>
      <c r="X1626" s="209"/>
      <c r="Y1626" s="285"/>
      <c r="Z1626" s="284" t="s">
        <v>193</v>
      </c>
      <c r="AA1626" s="207"/>
      <c r="AB1626" s="25" t="s">
        <v>75</v>
      </c>
    </row>
    <row r="1627" spans="1:28" ht="60.75" hidden="1" customHeight="1">
      <c r="A1627" s="98">
        <v>1617</v>
      </c>
      <c r="B1627" s="79" t="s">
        <v>7762</v>
      </c>
      <c r="C1627" s="148" t="s">
        <v>10</v>
      </c>
      <c r="D1627" s="80" t="s">
        <v>63</v>
      </c>
      <c r="E1627" s="27" t="s">
        <v>7763</v>
      </c>
      <c r="F1627" s="80" t="s">
        <v>65</v>
      </c>
      <c r="G1627" s="81" t="s">
        <v>6012</v>
      </c>
      <c r="H1627" s="80" t="s">
        <v>7764</v>
      </c>
      <c r="I1627" s="202">
        <v>45950</v>
      </c>
      <c r="J1627" s="80" t="s">
        <v>3505</v>
      </c>
      <c r="K1627" s="80" t="s">
        <v>69</v>
      </c>
      <c r="L1627" s="84" t="s">
        <v>251</v>
      </c>
      <c r="M1627" s="84" t="s">
        <v>252</v>
      </c>
      <c r="N1627" s="201" t="s">
        <v>72</v>
      </c>
      <c r="O1627" s="310" t="s">
        <v>7765</v>
      </c>
      <c r="P1627" s="194" t="s">
        <v>7766</v>
      </c>
      <c r="Q1627" s="49" t="s">
        <v>75</v>
      </c>
      <c r="R1627" s="25" t="s">
        <v>91</v>
      </c>
      <c r="S1627" s="55">
        <v>18</v>
      </c>
      <c r="T1627" s="26">
        <v>50</v>
      </c>
      <c r="U1627" s="53" t="s">
        <v>7767</v>
      </c>
      <c r="V1627" s="66"/>
      <c r="W1627" s="106"/>
      <c r="X1627" s="106" t="s">
        <v>176</v>
      </c>
      <c r="Y1627" s="209"/>
      <c r="Z1627" s="75" t="s">
        <v>93</v>
      </c>
      <c r="AA1627" s="207"/>
    </row>
    <row r="1628" spans="1:28" ht="60.75" hidden="1" customHeight="1">
      <c r="A1628" s="98">
        <v>1618</v>
      </c>
      <c r="B1628" s="79" t="s">
        <v>7768</v>
      </c>
      <c r="C1628" s="148" t="s">
        <v>8</v>
      </c>
      <c r="D1628" s="80" t="s">
        <v>63</v>
      </c>
      <c r="E1628" s="27" t="s">
        <v>7769</v>
      </c>
      <c r="F1628" s="80" t="s">
        <v>338</v>
      </c>
      <c r="G1628" s="81" t="s">
        <v>1406</v>
      </c>
      <c r="H1628" s="80" t="s">
        <v>7770</v>
      </c>
      <c r="I1628" s="202">
        <v>45950</v>
      </c>
      <c r="J1628" s="80" t="s">
        <v>3505</v>
      </c>
      <c r="K1628" s="80" t="s">
        <v>69</v>
      </c>
      <c r="L1628" s="84" t="s">
        <v>251</v>
      </c>
      <c r="M1628" s="84" t="s">
        <v>252</v>
      </c>
      <c r="N1628" s="201" t="s">
        <v>72</v>
      </c>
      <c r="O1628" s="200" t="s">
        <v>7771</v>
      </c>
      <c r="P1628" s="194" t="s">
        <v>7772</v>
      </c>
      <c r="Q1628" s="49" t="s">
        <v>91</v>
      </c>
      <c r="R1628" s="25"/>
      <c r="S1628" s="55" t="s">
        <v>7773</v>
      </c>
      <c r="T1628" s="26"/>
      <c r="U1628" s="53" t="s">
        <v>7774</v>
      </c>
      <c r="V1628" s="66"/>
      <c r="W1628" s="106"/>
      <c r="X1628" s="209"/>
      <c r="Y1628" s="209"/>
      <c r="Z1628" s="75" t="s">
        <v>193</v>
      </c>
      <c r="AA1628" s="207"/>
    </row>
    <row r="1629" spans="1:28" ht="66" hidden="1" customHeight="1">
      <c r="A1629" s="98">
        <v>1619</v>
      </c>
      <c r="B1629" s="79" t="s">
        <v>7775</v>
      </c>
      <c r="C1629" s="148" t="s">
        <v>8</v>
      </c>
      <c r="D1629" s="80" t="s">
        <v>83</v>
      </c>
      <c r="E1629" s="27" t="s">
        <v>2532</v>
      </c>
      <c r="F1629" s="80" t="s">
        <v>120</v>
      </c>
      <c r="G1629" s="81" t="s">
        <v>339</v>
      </c>
      <c r="H1629" s="80" t="s">
        <v>2533</v>
      </c>
      <c r="I1629" s="202">
        <v>45952</v>
      </c>
      <c r="J1629" s="80" t="s">
        <v>3941</v>
      </c>
      <c r="K1629" s="80" t="s">
        <v>112</v>
      </c>
      <c r="L1629" s="84" t="s">
        <v>122</v>
      </c>
      <c r="M1629" s="84" t="s">
        <v>784</v>
      </c>
      <c r="N1629" s="201" t="s">
        <v>72</v>
      </c>
      <c r="O1629" s="200" t="s">
        <v>7776</v>
      </c>
      <c r="P1629" s="194" t="s">
        <v>7777</v>
      </c>
      <c r="Q1629" s="49" t="s">
        <v>91</v>
      </c>
      <c r="R1629" s="25"/>
      <c r="S1629" s="55">
        <v>24</v>
      </c>
      <c r="T1629" s="26">
        <v>66</v>
      </c>
      <c r="U1629" s="53" t="s">
        <v>7778</v>
      </c>
      <c r="V1629" s="66"/>
      <c r="W1629" s="106"/>
      <c r="X1629" s="209"/>
      <c r="Y1629" s="285"/>
      <c r="Z1629" s="284" t="s">
        <v>193</v>
      </c>
      <c r="AA1629" s="207"/>
    </row>
    <row r="1630" spans="1:28" ht="242.25" hidden="1" customHeight="1">
      <c r="A1630" s="98">
        <v>1620</v>
      </c>
      <c r="B1630" s="79" t="s">
        <v>7779</v>
      </c>
      <c r="C1630" s="148" t="s">
        <v>8</v>
      </c>
      <c r="D1630" s="80" t="s">
        <v>83</v>
      </c>
      <c r="E1630" s="27" t="s">
        <v>315</v>
      </c>
      <c r="F1630" s="80" t="s">
        <v>109</v>
      </c>
      <c r="G1630" s="81" t="s">
        <v>248</v>
      </c>
      <c r="H1630" s="80" t="s">
        <v>316</v>
      </c>
      <c r="I1630" s="202">
        <v>45953</v>
      </c>
      <c r="J1630" s="80" t="s">
        <v>3505</v>
      </c>
      <c r="K1630" s="80" t="s">
        <v>69</v>
      </c>
      <c r="L1630" s="84" t="s">
        <v>251</v>
      </c>
      <c r="M1630" s="84" t="s">
        <v>904</v>
      </c>
      <c r="N1630" s="201" t="s">
        <v>253</v>
      </c>
      <c r="O1630" s="200" t="s">
        <v>7780</v>
      </c>
      <c r="P1630" s="194" t="s">
        <v>7781</v>
      </c>
      <c r="Q1630" s="49" t="s">
        <v>75</v>
      </c>
      <c r="R1630" s="25" t="s">
        <v>91</v>
      </c>
      <c r="S1630" s="55">
        <v>18</v>
      </c>
      <c r="T1630" s="26">
        <v>50</v>
      </c>
      <c r="U1630" s="53" t="s">
        <v>7782</v>
      </c>
      <c r="V1630" s="66"/>
      <c r="W1630" s="106"/>
      <c r="X1630" s="106" t="s">
        <v>176</v>
      </c>
      <c r="Y1630" s="209"/>
      <c r="Z1630" s="75" t="s">
        <v>93</v>
      </c>
      <c r="AA1630" s="207"/>
    </row>
    <row r="1631" spans="1:28" ht="115.5" hidden="1" customHeight="1">
      <c r="A1631" s="98">
        <v>1621</v>
      </c>
      <c r="B1631" s="79" t="s">
        <v>7783</v>
      </c>
      <c r="C1631" s="148" t="s">
        <v>8</v>
      </c>
      <c r="D1631" s="80" t="s">
        <v>63</v>
      </c>
      <c r="E1631" s="27" t="s">
        <v>2367</v>
      </c>
      <c r="F1631" s="80" t="s">
        <v>65</v>
      </c>
      <c r="G1631" s="81" t="s">
        <v>2076</v>
      </c>
      <c r="H1631" s="80" t="s">
        <v>2368</v>
      </c>
      <c r="I1631" s="202">
        <v>45954</v>
      </c>
      <c r="J1631" s="80" t="s">
        <v>3517</v>
      </c>
      <c r="K1631" s="80" t="s">
        <v>299</v>
      </c>
      <c r="L1631" s="84" t="s">
        <v>189</v>
      </c>
      <c r="M1631" s="84" t="s">
        <v>784</v>
      </c>
      <c r="N1631" s="201" t="s">
        <v>72</v>
      </c>
      <c r="O1631" s="200" t="s">
        <v>7784</v>
      </c>
      <c r="P1631" s="194" t="s">
        <v>7785</v>
      </c>
      <c r="Q1631" s="49" t="s">
        <v>75</v>
      </c>
      <c r="R1631" s="25" t="s">
        <v>91</v>
      </c>
      <c r="S1631" s="55">
        <v>20</v>
      </c>
      <c r="T1631" s="26">
        <v>63</v>
      </c>
      <c r="U1631" s="53" t="s">
        <v>7786</v>
      </c>
      <c r="V1631" s="66"/>
      <c r="W1631" s="106"/>
      <c r="X1631" s="106" t="s">
        <v>176</v>
      </c>
      <c r="Y1631" s="209"/>
      <c r="Z1631" s="75" t="s">
        <v>93</v>
      </c>
      <c r="AA1631" s="207"/>
    </row>
    <row r="1632" spans="1:28" ht="52.5" hidden="1" customHeight="1">
      <c r="A1632" s="98">
        <v>1622</v>
      </c>
      <c r="B1632" s="79" t="s">
        <v>7787</v>
      </c>
      <c r="C1632" s="148" t="s">
        <v>8</v>
      </c>
      <c r="D1632" s="80" t="s">
        <v>63</v>
      </c>
      <c r="E1632" s="27" t="s">
        <v>2945</v>
      </c>
      <c r="F1632" s="80" t="s">
        <v>120</v>
      </c>
      <c r="G1632" s="81" t="s">
        <v>2076</v>
      </c>
      <c r="H1632" s="80" t="s">
        <v>2946</v>
      </c>
      <c r="I1632" s="202">
        <v>45954</v>
      </c>
      <c r="J1632" s="80" t="s">
        <v>3517</v>
      </c>
      <c r="K1632" s="80" t="s">
        <v>299</v>
      </c>
      <c r="L1632" s="84" t="s">
        <v>189</v>
      </c>
      <c r="M1632" s="84" t="s">
        <v>784</v>
      </c>
      <c r="N1632" s="201" t="s">
        <v>72</v>
      </c>
      <c r="O1632" s="200" t="s">
        <v>7788</v>
      </c>
      <c r="P1632" s="194" t="s">
        <v>7789</v>
      </c>
      <c r="Q1632" s="49" t="s">
        <v>91</v>
      </c>
      <c r="R1632" s="25"/>
      <c r="S1632" s="55">
        <v>11</v>
      </c>
      <c r="T1632" s="26"/>
      <c r="U1632" s="53" t="s">
        <v>7790</v>
      </c>
      <c r="V1632" s="66"/>
      <c r="W1632" s="106"/>
      <c r="X1632" s="209"/>
      <c r="Y1632" s="209"/>
      <c r="Z1632" s="75" t="s">
        <v>193</v>
      </c>
      <c r="AA1632" s="207"/>
    </row>
    <row r="1633" spans="1:27" ht="88.5" hidden="1" customHeight="1">
      <c r="A1633" s="98">
        <v>1623</v>
      </c>
      <c r="B1633" s="79" t="s">
        <v>7469</v>
      </c>
      <c r="C1633" s="148" t="s">
        <v>8</v>
      </c>
      <c r="D1633" s="80" t="s">
        <v>63</v>
      </c>
      <c r="E1633" s="27" t="s">
        <v>7791</v>
      </c>
      <c r="F1633" s="80" t="s">
        <v>338</v>
      </c>
      <c r="G1633" s="81" t="s">
        <v>1419</v>
      </c>
      <c r="H1633" s="80" t="s">
        <v>7792</v>
      </c>
      <c r="I1633" s="202">
        <v>45954</v>
      </c>
      <c r="J1633" s="80" t="s">
        <v>3505</v>
      </c>
      <c r="K1633" s="80" t="s">
        <v>69</v>
      </c>
      <c r="L1633" s="84" t="s">
        <v>100</v>
      </c>
      <c r="M1633" s="84" t="s">
        <v>595</v>
      </c>
      <c r="N1633" s="201" t="s">
        <v>72</v>
      </c>
      <c r="O1633" s="200" t="s">
        <v>7793</v>
      </c>
      <c r="P1633" s="194" t="s">
        <v>7794</v>
      </c>
      <c r="Q1633" s="49" t="s">
        <v>75</v>
      </c>
      <c r="R1633" s="25" t="s">
        <v>91</v>
      </c>
      <c r="S1633" s="55">
        <v>18</v>
      </c>
      <c r="T1633" s="26">
        <v>46</v>
      </c>
      <c r="U1633" s="53" t="s">
        <v>7795</v>
      </c>
      <c r="V1633" s="66"/>
      <c r="W1633" s="106"/>
      <c r="X1633" s="106" t="s">
        <v>176</v>
      </c>
      <c r="Y1633" s="209"/>
      <c r="Z1633" s="75" t="s">
        <v>93</v>
      </c>
      <c r="AA1633" s="207"/>
    </row>
    <row r="1634" spans="1:27" ht="86.25" hidden="1" customHeight="1">
      <c r="A1634" s="98">
        <v>1624</v>
      </c>
      <c r="B1634" s="79" t="s">
        <v>7796</v>
      </c>
      <c r="C1634" s="148" t="s">
        <v>8</v>
      </c>
      <c r="D1634" s="80" t="s">
        <v>63</v>
      </c>
      <c r="E1634" s="27" t="s">
        <v>7791</v>
      </c>
      <c r="F1634" s="80" t="s">
        <v>338</v>
      </c>
      <c r="G1634" s="81" t="s">
        <v>1419</v>
      </c>
      <c r="H1634" s="80" t="s">
        <v>7792</v>
      </c>
      <c r="I1634" s="202">
        <v>45954</v>
      </c>
      <c r="J1634" s="80" t="s">
        <v>3505</v>
      </c>
      <c r="K1634" s="80" t="s">
        <v>69</v>
      </c>
      <c r="L1634" s="84" t="s">
        <v>100</v>
      </c>
      <c r="M1634" s="84" t="s">
        <v>904</v>
      </c>
      <c r="N1634" s="201" t="s">
        <v>72</v>
      </c>
      <c r="O1634" s="200" t="s">
        <v>7797</v>
      </c>
      <c r="P1634" s="194" t="s">
        <v>7798</v>
      </c>
      <c r="Q1634" s="49" t="s">
        <v>91</v>
      </c>
      <c r="R1634" s="25"/>
      <c r="S1634" s="55">
        <v>8</v>
      </c>
      <c r="T1634" s="26"/>
      <c r="U1634" s="53" t="s">
        <v>5471</v>
      </c>
      <c r="V1634" s="66"/>
      <c r="W1634" s="106"/>
      <c r="X1634" s="209"/>
      <c r="Y1634" s="209"/>
      <c r="Z1634" s="75" t="s">
        <v>193</v>
      </c>
      <c r="AA1634" s="207"/>
    </row>
    <row r="1635" spans="1:27" ht="63" hidden="1" customHeight="1">
      <c r="A1635" s="98">
        <v>1625</v>
      </c>
      <c r="B1635" s="79" t="s">
        <v>7799</v>
      </c>
      <c r="C1635" s="148" t="s">
        <v>10</v>
      </c>
      <c r="D1635" s="80" t="s">
        <v>63</v>
      </c>
      <c r="E1635" s="27" t="s">
        <v>7800</v>
      </c>
      <c r="F1635" s="80" t="s">
        <v>109</v>
      </c>
      <c r="G1635" s="81" t="s">
        <v>7390</v>
      </c>
      <c r="H1635" s="80" t="s">
        <v>7801</v>
      </c>
      <c r="I1635" s="202">
        <v>45954</v>
      </c>
      <c r="J1635" s="80" t="s">
        <v>3565</v>
      </c>
      <c r="K1635" s="80" t="s">
        <v>299</v>
      </c>
      <c r="L1635" s="84" t="s">
        <v>300</v>
      </c>
      <c r="M1635" s="84" t="s">
        <v>595</v>
      </c>
      <c r="N1635" s="201" t="s">
        <v>72</v>
      </c>
      <c r="O1635" s="310" t="s">
        <v>7802</v>
      </c>
      <c r="P1635" s="194" t="s">
        <v>7803</v>
      </c>
      <c r="Q1635" s="49" t="s">
        <v>75</v>
      </c>
      <c r="R1635" s="25" t="s">
        <v>504</v>
      </c>
      <c r="S1635" s="55">
        <v>20</v>
      </c>
      <c r="T1635" s="26">
        <v>73</v>
      </c>
      <c r="U1635" s="53" t="s">
        <v>7804</v>
      </c>
      <c r="V1635" s="66"/>
      <c r="W1635" s="106"/>
      <c r="X1635" s="106" t="s">
        <v>176</v>
      </c>
      <c r="Y1635" s="209"/>
      <c r="Z1635" s="75" t="s">
        <v>106</v>
      </c>
      <c r="AA1635" s="207"/>
    </row>
    <row r="1636" spans="1:27" ht="71.25" hidden="1" customHeight="1">
      <c r="A1636" s="98">
        <v>1626</v>
      </c>
      <c r="B1636" s="79" t="s">
        <v>7805</v>
      </c>
      <c r="C1636" s="148" t="s">
        <v>8</v>
      </c>
      <c r="D1636" s="80" t="s">
        <v>63</v>
      </c>
      <c r="E1636" s="27" t="s">
        <v>7806</v>
      </c>
      <c r="F1636" s="80" t="s">
        <v>120</v>
      </c>
      <c r="G1636" s="81" t="s">
        <v>1047</v>
      </c>
      <c r="H1636" s="80" t="s">
        <v>7807</v>
      </c>
      <c r="I1636" s="202">
        <v>45955</v>
      </c>
      <c r="J1636" s="80" t="s">
        <v>3517</v>
      </c>
      <c r="K1636" s="80" t="s">
        <v>299</v>
      </c>
      <c r="L1636" s="84" t="s">
        <v>189</v>
      </c>
      <c r="M1636" s="84" t="s">
        <v>784</v>
      </c>
      <c r="N1636" s="201" t="s">
        <v>72</v>
      </c>
      <c r="O1636" s="200" t="s">
        <v>7808</v>
      </c>
      <c r="P1636" s="194" t="s">
        <v>7809</v>
      </c>
      <c r="Q1636" s="49" t="s">
        <v>75</v>
      </c>
      <c r="R1636" s="25" t="s">
        <v>91</v>
      </c>
      <c r="S1636" s="55">
        <v>18</v>
      </c>
      <c r="T1636" s="26">
        <v>58</v>
      </c>
      <c r="U1636" s="53" t="s">
        <v>7810</v>
      </c>
      <c r="V1636" s="66"/>
      <c r="W1636" s="106"/>
      <c r="X1636" s="106" t="s">
        <v>176</v>
      </c>
      <c r="Y1636" s="209"/>
      <c r="Z1636" s="75" t="s">
        <v>93</v>
      </c>
      <c r="AA1636" s="207"/>
    </row>
    <row r="1637" spans="1:27" ht="75.75" hidden="1" customHeight="1">
      <c r="A1637" s="98">
        <v>1627</v>
      </c>
      <c r="B1637" s="79" t="s">
        <v>7811</v>
      </c>
      <c r="C1637" s="148" t="s">
        <v>8</v>
      </c>
      <c r="D1637" s="80" t="s">
        <v>63</v>
      </c>
      <c r="E1637" s="27" t="s">
        <v>7806</v>
      </c>
      <c r="F1637" s="80" t="s">
        <v>120</v>
      </c>
      <c r="G1637" s="81" t="s">
        <v>1047</v>
      </c>
      <c r="H1637" s="80" t="s">
        <v>7807</v>
      </c>
      <c r="I1637" s="202">
        <v>45955</v>
      </c>
      <c r="J1637" s="80" t="s">
        <v>3505</v>
      </c>
      <c r="K1637" s="80" t="s">
        <v>299</v>
      </c>
      <c r="L1637" s="84" t="s">
        <v>100</v>
      </c>
      <c r="M1637" s="84" t="s">
        <v>904</v>
      </c>
      <c r="N1637" s="201" t="s">
        <v>72</v>
      </c>
      <c r="O1637" s="200" t="s">
        <v>7812</v>
      </c>
      <c r="P1637" s="194" t="s">
        <v>7813</v>
      </c>
      <c r="Q1637" s="49" t="s">
        <v>91</v>
      </c>
      <c r="R1637" s="25"/>
      <c r="S1637" s="55">
        <v>11</v>
      </c>
      <c r="T1637" s="26"/>
      <c r="U1637" s="53" t="s">
        <v>7814</v>
      </c>
      <c r="V1637" s="66"/>
      <c r="W1637" s="106"/>
      <c r="X1637" s="209"/>
      <c r="Y1637" s="209"/>
      <c r="Z1637" s="75" t="s">
        <v>193</v>
      </c>
      <c r="AA1637" s="207"/>
    </row>
    <row r="1638" spans="1:27" ht="54" hidden="1" customHeight="1">
      <c r="A1638" s="98">
        <v>1628</v>
      </c>
      <c r="B1638" s="79" t="s">
        <v>7746</v>
      </c>
      <c r="C1638" s="148" t="s">
        <v>10</v>
      </c>
      <c r="D1638" s="80" t="s">
        <v>83</v>
      </c>
      <c r="E1638" s="27" t="s">
        <v>7815</v>
      </c>
      <c r="F1638" s="80" t="s">
        <v>109</v>
      </c>
      <c r="G1638" s="81" t="s">
        <v>3370</v>
      </c>
      <c r="H1638" s="80" t="s">
        <v>7816</v>
      </c>
      <c r="I1638" s="202">
        <v>45955</v>
      </c>
      <c r="J1638" s="80" t="s">
        <v>4109</v>
      </c>
      <c r="K1638" s="80" t="s">
        <v>3373</v>
      </c>
      <c r="L1638" s="84" t="s">
        <v>10</v>
      </c>
      <c r="M1638" s="84" t="s">
        <v>200</v>
      </c>
      <c r="N1638" s="201" t="s">
        <v>72</v>
      </c>
      <c r="O1638" s="310" t="s">
        <v>7817</v>
      </c>
      <c r="P1638" s="194" t="s">
        <v>7818</v>
      </c>
      <c r="Q1638" s="49" t="s">
        <v>75</v>
      </c>
      <c r="R1638" s="25" t="s">
        <v>75</v>
      </c>
      <c r="S1638" s="55">
        <v>22</v>
      </c>
      <c r="T1638" s="26">
        <v>78</v>
      </c>
      <c r="U1638" s="28" t="s">
        <v>7819</v>
      </c>
      <c r="V1638" s="66" t="s">
        <v>75</v>
      </c>
      <c r="W1638" s="106" t="s">
        <v>175</v>
      </c>
      <c r="X1638" s="106" t="s">
        <v>176</v>
      </c>
      <c r="Y1638" s="26" t="s">
        <v>176</v>
      </c>
      <c r="Z1638" s="210"/>
      <c r="AA1638" s="207"/>
    </row>
    <row r="1639" spans="1:27" ht="57.75" hidden="1" customHeight="1">
      <c r="A1639" s="98">
        <v>1629</v>
      </c>
      <c r="B1639" s="79" t="s">
        <v>7820</v>
      </c>
      <c r="C1639" s="148" t="s">
        <v>8</v>
      </c>
      <c r="D1639" s="80" t="s">
        <v>63</v>
      </c>
      <c r="E1639" s="27" t="s">
        <v>7769</v>
      </c>
      <c r="F1639" s="80" t="s">
        <v>338</v>
      </c>
      <c r="G1639" s="81" t="s">
        <v>1406</v>
      </c>
      <c r="H1639" s="80" t="s">
        <v>7770</v>
      </c>
      <c r="I1639" s="202">
        <v>45966</v>
      </c>
      <c r="J1639" s="80" t="s">
        <v>3565</v>
      </c>
      <c r="K1639" s="80" t="s">
        <v>299</v>
      </c>
      <c r="L1639" s="84" t="s">
        <v>189</v>
      </c>
      <c r="M1639" s="84" t="s">
        <v>595</v>
      </c>
      <c r="N1639" s="201" t="s">
        <v>72</v>
      </c>
      <c r="O1639" s="200" t="s">
        <v>7821</v>
      </c>
      <c r="P1639" s="194" t="s">
        <v>7822</v>
      </c>
      <c r="Q1639" s="49" t="s">
        <v>75</v>
      </c>
      <c r="R1639" s="25" t="s">
        <v>91</v>
      </c>
      <c r="S1639" s="55">
        <v>20</v>
      </c>
      <c r="T1639" s="26">
        <v>56</v>
      </c>
      <c r="U1639" s="28" t="s">
        <v>7823</v>
      </c>
      <c r="V1639" s="66"/>
      <c r="W1639" s="106"/>
      <c r="X1639" s="106" t="s">
        <v>176</v>
      </c>
      <c r="Y1639" s="209"/>
      <c r="Z1639" s="75" t="s">
        <v>93</v>
      </c>
      <c r="AA1639" s="207"/>
    </row>
    <row r="1640" spans="1:27" ht="99" hidden="1" customHeight="1">
      <c r="A1640" s="98">
        <v>1630</v>
      </c>
      <c r="B1640" s="79" t="s">
        <v>7805</v>
      </c>
      <c r="C1640" s="148" t="s">
        <v>8</v>
      </c>
      <c r="D1640" s="80" t="s">
        <v>63</v>
      </c>
      <c r="E1640" s="27" t="s">
        <v>6276</v>
      </c>
      <c r="F1640" s="80" t="s">
        <v>120</v>
      </c>
      <c r="G1640" s="81" t="s">
        <v>277</v>
      </c>
      <c r="H1640" s="80" t="s">
        <v>6277</v>
      </c>
      <c r="I1640" s="202">
        <v>45967</v>
      </c>
      <c r="J1640" s="80" t="s">
        <v>3517</v>
      </c>
      <c r="K1640" s="80" t="s">
        <v>299</v>
      </c>
      <c r="L1640" s="84" t="s">
        <v>189</v>
      </c>
      <c r="M1640" s="84" t="s">
        <v>784</v>
      </c>
      <c r="N1640" s="201" t="s">
        <v>72</v>
      </c>
      <c r="O1640" s="200" t="s">
        <v>7824</v>
      </c>
      <c r="P1640" s="194" t="s">
        <v>7825</v>
      </c>
      <c r="Q1640" s="49" t="s">
        <v>75</v>
      </c>
      <c r="R1640" s="25" t="s">
        <v>91</v>
      </c>
      <c r="S1640" s="55">
        <v>19</v>
      </c>
      <c r="T1640" s="26">
        <v>57</v>
      </c>
      <c r="U1640" s="28" t="s">
        <v>7826</v>
      </c>
      <c r="V1640" s="66"/>
      <c r="W1640" s="106"/>
      <c r="X1640" s="106" t="s">
        <v>176</v>
      </c>
      <c r="Y1640" s="209"/>
      <c r="Z1640" s="75" t="s">
        <v>93</v>
      </c>
      <c r="AA1640" s="207"/>
    </row>
    <row r="1641" spans="1:27" ht="93.75" hidden="1" customHeight="1">
      <c r="A1641" s="98">
        <v>1631</v>
      </c>
      <c r="B1641" s="79" t="s">
        <v>7827</v>
      </c>
      <c r="C1641" s="148" t="s">
        <v>9</v>
      </c>
      <c r="D1641" s="80" t="s">
        <v>83</v>
      </c>
      <c r="E1641" s="27" t="s">
        <v>1285</v>
      </c>
      <c r="F1641" s="80" t="s">
        <v>109</v>
      </c>
      <c r="G1641" s="81" t="s">
        <v>1286</v>
      </c>
      <c r="H1641" s="80" t="s">
        <v>1287</v>
      </c>
      <c r="I1641" s="202">
        <v>45968</v>
      </c>
      <c r="J1641" s="80" t="s">
        <v>1288</v>
      </c>
      <c r="K1641" s="80" t="s">
        <v>112</v>
      </c>
      <c r="L1641" s="84" t="s">
        <v>113</v>
      </c>
      <c r="M1641" s="84" t="s">
        <v>148</v>
      </c>
      <c r="N1641" s="201" t="s">
        <v>72</v>
      </c>
      <c r="O1641" s="200" t="s">
        <v>7828</v>
      </c>
      <c r="P1641" s="194" t="s">
        <v>7829</v>
      </c>
      <c r="Q1641" s="49" t="s">
        <v>75</v>
      </c>
      <c r="R1641" s="25" t="s">
        <v>504</v>
      </c>
      <c r="S1641" s="55">
        <v>25</v>
      </c>
      <c r="T1641" s="26"/>
      <c r="U1641" s="28" t="s">
        <v>7830</v>
      </c>
      <c r="V1641" s="66"/>
      <c r="W1641" s="106"/>
      <c r="X1641" s="106" t="s">
        <v>176</v>
      </c>
      <c r="Y1641" s="209"/>
      <c r="Z1641" s="75" t="s">
        <v>93</v>
      </c>
      <c r="AA1641" s="207"/>
    </row>
    <row r="1642" spans="1:27" ht="70.5" hidden="1" customHeight="1">
      <c r="A1642" s="98">
        <v>1632</v>
      </c>
      <c r="B1642" s="79" t="s">
        <v>7831</v>
      </c>
      <c r="C1642" s="148" t="s">
        <v>10</v>
      </c>
      <c r="D1642" s="80" t="s">
        <v>63</v>
      </c>
      <c r="E1642" s="27" t="s">
        <v>7383</v>
      </c>
      <c r="F1642" s="80" t="s">
        <v>120</v>
      </c>
      <c r="G1642" s="81" t="s">
        <v>5893</v>
      </c>
      <c r="H1642" s="80" t="s">
        <v>7384</v>
      </c>
      <c r="I1642" s="202">
        <v>45968</v>
      </c>
      <c r="J1642" s="80" t="s">
        <v>3494</v>
      </c>
      <c r="K1642" s="80" t="s">
        <v>3373</v>
      </c>
      <c r="L1642" s="84" t="s">
        <v>199</v>
      </c>
      <c r="M1642" s="84" t="s">
        <v>200</v>
      </c>
      <c r="N1642" s="201" t="s">
        <v>72</v>
      </c>
      <c r="O1642" s="310" t="s">
        <v>7832</v>
      </c>
      <c r="P1642" s="194" t="s">
        <v>7833</v>
      </c>
      <c r="Q1642" s="49" t="s">
        <v>75</v>
      </c>
      <c r="R1642" s="25" t="s">
        <v>91</v>
      </c>
      <c r="S1642" s="55">
        <v>18</v>
      </c>
      <c r="T1642" s="26">
        <v>42</v>
      </c>
      <c r="U1642" s="28" t="s">
        <v>7834</v>
      </c>
      <c r="V1642" s="66"/>
      <c r="W1642" s="106"/>
      <c r="X1642" s="106" t="s">
        <v>176</v>
      </c>
      <c r="Y1642" s="209"/>
      <c r="Z1642" s="210"/>
      <c r="AA1642" s="207"/>
    </row>
    <row r="1643" spans="1:27" ht="48.75" hidden="1" customHeight="1">
      <c r="A1643" s="98">
        <v>1633</v>
      </c>
      <c r="B1643" s="79" t="s">
        <v>7835</v>
      </c>
      <c r="C1643" s="148" t="s">
        <v>10</v>
      </c>
      <c r="D1643" s="80" t="s">
        <v>63</v>
      </c>
      <c r="E1643" s="27" t="s">
        <v>7698</v>
      </c>
      <c r="F1643" s="80" t="s">
        <v>109</v>
      </c>
      <c r="G1643" s="81" t="s">
        <v>5893</v>
      </c>
      <c r="H1643" s="80" t="s">
        <v>7699</v>
      </c>
      <c r="I1643" s="202">
        <v>45968</v>
      </c>
      <c r="J1643" s="80" t="s">
        <v>4109</v>
      </c>
      <c r="K1643" s="80" t="s">
        <v>3373</v>
      </c>
      <c r="L1643" s="84" t="s">
        <v>10</v>
      </c>
      <c r="M1643" s="84" t="s">
        <v>200</v>
      </c>
      <c r="N1643" s="201" t="s">
        <v>72</v>
      </c>
      <c r="O1643" s="310" t="s">
        <v>7836</v>
      </c>
      <c r="P1643" s="194" t="s">
        <v>7837</v>
      </c>
      <c r="Q1643" s="49" t="s">
        <v>75</v>
      </c>
      <c r="R1643" s="25" t="s">
        <v>91</v>
      </c>
      <c r="S1643" s="55">
        <v>24</v>
      </c>
      <c r="T1643" s="26">
        <v>64</v>
      </c>
      <c r="U1643" s="28" t="s">
        <v>7838</v>
      </c>
      <c r="V1643" s="66"/>
      <c r="W1643" s="106"/>
      <c r="X1643" s="106" t="s">
        <v>176</v>
      </c>
      <c r="Y1643" s="209"/>
      <c r="Z1643" s="210"/>
      <c r="AA1643" s="207"/>
    </row>
    <row r="1644" spans="1:27" ht="131.25" hidden="1" customHeight="1">
      <c r="A1644" s="98">
        <v>1634</v>
      </c>
      <c r="B1644" s="79" t="s">
        <v>7839</v>
      </c>
      <c r="C1644" s="148" t="s">
        <v>10</v>
      </c>
      <c r="D1644" s="80" t="s">
        <v>63</v>
      </c>
      <c r="E1644" s="27" t="s">
        <v>5892</v>
      </c>
      <c r="F1644" s="80" t="s">
        <v>65</v>
      </c>
      <c r="G1644" s="81" t="s">
        <v>5893</v>
      </c>
      <c r="H1644" s="80" t="s">
        <v>5894</v>
      </c>
      <c r="I1644" s="202">
        <v>45968</v>
      </c>
      <c r="J1644" s="80" t="s">
        <v>3505</v>
      </c>
      <c r="K1644" s="80" t="s">
        <v>69</v>
      </c>
      <c r="L1644" s="84" t="s">
        <v>251</v>
      </c>
      <c r="M1644" s="84" t="s">
        <v>595</v>
      </c>
      <c r="N1644" s="201" t="s">
        <v>72</v>
      </c>
      <c r="O1644" s="310" t="s">
        <v>7840</v>
      </c>
      <c r="P1644" s="194" t="s">
        <v>7841</v>
      </c>
      <c r="Q1644" s="49" t="s">
        <v>91</v>
      </c>
      <c r="R1644" s="25"/>
      <c r="S1644" s="55">
        <v>16</v>
      </c>
      <c r="T1644" s="26"/>
      <c r="U1644" s="28" t="s">
        <v>7842</v>
      </c>
      <c r="V1644" s="66"/>
      <c r="W1644" s="106"/>
      <c r="X1644" s="209"/>
      <c r="Y1644" s="209"/>
      <c r="Z1644" s="75" t="s">
        <v>193</v>
      </c>
      <c r="AA1644" s="207"/>
    </row>
    <row r="1645" spans="1:27" ht="93.75" hidden="1" customHeight="1">
      <c r="A1645" s="98">
        <v>1635</v>
      </c>
      <c r="B1645" s="79" t="s">
        <v>7843</v>
      </c>
      <c r="C1645" s="148" t="s">
        <v>10</v>
      </c>
      <c r="D1645" s="80" t="s">
        <v>63</v>
      </c>
      <c r="E1645" s="27" t="s">
        <v>7844</v>
      </c>
      <c r="F1645" s="80" t="s">
        <v>65</v>
      </c>
      <c r="G1645" s="81" t="s">
        <v>5893</v>
      </c>
      <c r="H1645" s="80" t="s">
        <v>7845</v>
      </c>
      <c r="I1645" s="202">
        <v>45968</v>
      </c>
      <c r="J1645" s="80" t="s">
        <v>4109</v>
      </c>
      <c r="K1645" s="80" t="s">
        <v>3373</v>
      </c>
      <c r="L1645" s="84" t="s">
        <v>10</v>
      </c>
      <c r="M1645" s="84" t="s">
        <v>200</v>
      </c>
      <c r="N1645" s="201" t="s">
        <v>72</v>
      </c>
      <c r="O1645" s="310" t="s">
        <v>7846</v>
      </c>
      <c r="P1645" s="194" t="s">
        <v>7847</v>
      </c>
      <c r="Q1645" s="49" t="s">
        <v>75</v>
      </c>
      <c r="R1645" s="25" t="s">
        <v>91</v>
      </c>
      <c r="S1645" s="55">
        <v>19</v>
      </c>
      <c r="T1645" s="26">
        <v>51</v>
      </c>
      <c r="U1645" s="28" t="s">
        <v>7848</v>
      </c>
      <c r="V1645" s="66"/>
      <c r="W1645" s="106"/>
      <c r="X1645" s="106" t="s">
        <v>176</v>
      </c>
      <c r="Y1645" s="209"/>
      <c r="Z1645" s="210"/>
      <c r="AA1645" s="207"/>
    </row>
    <row r="1646" spans="1:27" ht="179.25" hidden="1" customHeight="1">
      <c r="A1646" s="98">
        <v>1636</v>
      </c>
      <c r="B1646" s="79" t="s">
        <v>7849</v>
      </c>
      <c r="C1646" s="148" t="s">
        <v>10</v>
      </c>
      <c r="D1646" s="80" t="s">
        <v>63</v>
      </c>
      <c r="E1646" s="27" t="s">
        <v>7850</v>
      </c>
      <c r="F1646" s="80" t="s">
        <v>120</v>
      </c>
      <c r="G1646" s="81" t="s">
        <v>5893</v>
      </c>
      <c r="H1646" s="80" t="s">
        <v>7851</v>
      </c>
      <c r="I1646" s="202">
        <v>45968</v>
      </c>
      <c r="J1646" s="80" t="s">
        <v>4109</v>
      </c>
      <c r="K1646" s="80" t="s">
        <v>3373</v>
      </c>
      <c r="L1646" s="84" t="s">
        <v>10</v>
      </c>
      <c r="M1646" s="84" t="s">
        <v>200</v>
      </c>
      <c r="N1646" s="201" t="s">
        <v>72</v>
      </c>
      <c r="O1646" s="310" t="s">
        <v>7852</v>
      </c>
      <c r="P1646" s="194" t="s">
        <v>7853</v>
      </c>
      <c r="Q1646" s="49" t="s">
        <v>75</v>
      </c>
      <c r="R1646" s="25" t="s">
        <v>91</v>
      </c>
      <c r="S1646" s="55">
        <v>21</v>
      </c>
      <c r="T1646" s="26">
        <v>53</v>
      </c>
      <c r="U1646" s="28" t="s">
        <v>7854</v>
      </c>
      <c r="V1646" s="66"/>
      <c r="W1646" s="106"/>
      <c r="X1646" s="106" t="s">
        <v>176</v>
      </c>
      <c r="Y1646" s="209"/>
      <c r="Z1646" s="210"/>
      <c r="AA1646" s="207"/>
    </row>
    <row r="1647" spans="1:27" ht="46.5" hidden="1" customHeight="1">
      <c r="A1647" s="98">
        <v>1637</v>
      </c>
      <c r="B1647" s="79" t="s">
        <v>7855</v>
      </c>
      <c r="C1647" s="148" t="s">
        <v>10</v>
      </c>
      <c r="D1647" s="80" t="s">
        <v>63</v>
      </c>
      <c r="E1647" s="27" t="s">
        <v>7280</v>
      </c>
      <c r="F1647" s="80" t="s">
        <v>109</v>
      </c>
      <c r="G1647" s="81" t="s">
        <v>3676</v>
      </c>
      <c r="H1647" s="80" t="s">
        <v>7281</v>
      </c>
      <c r="I1647" s="202">
        <v>45968</v>
      </c>
      <c r="J1647" s="80" t="s">
        <v>3517</v>
      </c>
      <c r="K1647" s="80" t="s">
        <v>3373</v>
      </c>
      <c r="L1647" s="84" t="s">
        <v>300</v>
      </c>
      <c r="M1647" s="84" t="s">
        <v>200</v>
      </c>
      <c r="N1647" s="201" t="s">
        <v>72</v>
      </c>
      <c r="O1647" s="310" t="s">
        <v>7856</v>
      </c>
      <c r="P1647" s="194" t="s">
        <v>7857</v>
      </c>
      <c r="Q1647" s="49" t="s">
        <v>75</v>
      </c>
      <c r="R1647" s="25" t="s">
        <v>75</v>
      </c>
      <c r="S1647" s="55">
        <v>21</v>
      </c>
      <c r="T1647" s="26">
        <v>75</v>
      </c>
      <c r="U1647" s="28" t="s">
        <v>7858</v>
      </c>
      <c r="V1647" s="66"/>
      <c r="W1647" s="106"/>
      <c r="X1647" s="106" t="s">
        <v>176</v>
      </c>
      <c r="Y1647" s="209"/>
      <c r="Z1647" s="210"/>
      <c r="AA1647" s="207"/>
    </row>
    <row r="1648" spans="1:27" ht="58.5" hidden="1" customHeight="1">
      <c r="A1648" s="98">
        <v>1638</v>
      </c>
      <c r="B1648" s="79" t="s">
        <v>7859</v>
      </c>
      <c r="C1648" s="148" t="s">
        <v>9</v>
      </c>
      <c r="D1648" s="80" t="s">
        <v>83</v>
      </c>
      <c r="E1648" s="27" t="s">
        <v>4629</v>
      </c>
      <c r="F1648" s="80" t="s">
        <v>65</v>
      </c>
      <c r="G1648" s="81" t="s">
        <v>4459</v>
      </c>
      <c r="H1648" s="80" t="s">
        <v>4630</v>
      </c>
      <c r="I1648" s="202">
        <v>45968</v>
      </c>
      <c r="J1648" s="80" t="s">
        <v>3505</v>
      </c>
      <c r="K1648" s="80" t="s">
        <v>69</v>
      </c>
      <c r="L1648" s="84" t="s">
        <v>251</v>
      </c>
      <c r="M1648" s="84" t="s">
        <v>252</v>
      </c>
      <c r="N1648" s="201" t="s">
        <v>920</v>
      </c>
      <c r="O1648" s="200" t="s">
        <v>7860</v>
      </c>
      <c r="P1648" s="194" t="s">
        <v>7861</v>
      </c>
      <c r="Q1648" s="49" t="s">
        <v>75</v>
      </c>
      <c r="R1648" s="25" t="s">
        <v>91</v>
      </c>
      <c r="S1648" s="55">
        <v>20</v>
      </c>
      <c r="T1648" s="26">
        <v>52</v>
      </c>
      <c r="U1648" s="28" t="s">
        <v>7862</v>
      </c>
      <c r="V1648" s="66"/>
      <c r="W1648" s="106"/>
      <c r="X1648" s="106" t="s">
        <v>176</v>
      </c>
      <c r="Y1648" s="209"/>
      <c r="Z1648" s="75" t="s">
        <v>93</v>
      </c>
      <c r="AA1648" s="207"/>
    </row>
    <row r="1649" spans="1:27" ht="65.25" customHeight="1">
      <c r="A1649" s="98">
        <v>1639</v>
      </c>
      <c r="B1649" s="79" t="s">
        <v>7863</v>
      </c>
      <c r="C1649" s="148" t="s">
        <v>9</v>
      </c>
      <c r="D1649" s="80" t="s">
        <v>83</v>
      </c>
      <c r="E1649" s="27" t="s">
        <v>4458</v>
      </c>
      <c r="F1649" s="80" t="s">
        <v>65</v>
      </c>
      <c r="G1649" s="81" t="s">
        <v>4459</v>
      </c>
      <c r="H1649" s="80" t="s">
        <v>4460</v>
      </c>
      <c r="I1649" s="202">
        <v>45968</v>
      </c>
      <c r="J1649" s="80" t="s">
        <v>4385</v>
      </c>
      <c r="K1649" s="80" t="s">
        <v>4386</v>
      </c>
      <c r="L1649" s="84" t="s">
        <v>4387</v>
      </c>
      <c r="M1649" s="84" t="s">
        <v>252</v>
      </c>
      <c r="N1649" s="201" t="s">
        <v>1191</v>
      </c>
      <c r="O1649" s="200" t="s">
        <v>7864</v>
      </c>
      <c r="P1649" s="194" t="s">
        <v>7865</v>
      </c>
      <c r="Q1649" s="49" t="s">
        <v>75</v>
      </c>
      <c r="R1649" s="25" t="s">
        <v>91</v>
      </c>
      <c r="S1649" s="55">
        <v>20</v>
      </c>
      <c r="T1649" s="26">
        <v>68</v>
      </c>
      <c r="U1649" s="28" t="s">
        <v>7866</v>
      </c>
      <c r="V1649" s="66"/>
      <c r="W1649" s="106"/>
      <c r="X1649" s="106" t="s">
        <v>176</v>
      </c>
      <c r="Y1649" s="209"/>
      <c r="Z1649" s="75" t="s">
        <v>93</v>
      </c>
      <c r="AA1649" s="207"/>
    </row>
    <row r="1650" spans="1:27" ht="62.25" hidden="1" customHeight="1">
      <c r="A1650" s="98">
        <v>1640</v>
      </c>
      <c r="B1650" s="79" t="s">
        <v>7867</v>
      </c>
      <c r="C1650" s="148" t="s">
        <v>8</v>
      </c>
      <c r="D1650" s="80" t="s">
        <v>83</v>
      </c>
      <c r="E1650" s="27" t="s">
        <v>1660</v>
      </c>
      <c r="F1650" s="80" t="s">
        <v>109</v>
      </c>
      <c r="G1650" s="81" t="s">
        <v>932</v>
      </c>
      <c r="H1650" s="80" t="s">
        <v>1661</v>
      </c>
      <c r="I1650" s="202">
        <v>45971</v>
      </c>
      <c r="J1650" s="80" t="s">
        <v>3941</v>
      </c>
      <c r="K1650" s="80" t="s">
        <v>112</v>
      </c>
      <c r="L1650" s="84" t="s">
        <v>122</v>
      </c>
      <c r="M1650" s="84" t="s">
        <v>784</v>
      </c>
      <c r="N1650" s="201" t="s">
        <v>72</v>
      </c>
      <c r="O1650" s="200" t="s">
        <v>7868</v>
      </c>
      <c r="P1650" s="194" t="s">
        <v>7869</v>
      </c>
      <c r="Q1650" s="49" t="s">
        <v>75</v>
      </c>
      <c r="R1650" s="25" t="s">
        <v>75</v>
      </c>
      <c r="S1650" s="55">
        <v>26</v>
      </c>
      <c r="T1650" s="26">
        <v>72</v>
      </c>
      <c r="U1650" s="28" t="s">
        <v>7870</v>
      </c>
      <c r="V1650" s="66"/>
      <c r="W1650" s="106"/>
      <c r="X1650" s="106" t="s">
        <v>176</v>
      </c>
      <c r="Y1650" s="209"/>
      <c r="Z1650" s="75" t="s">
        <v>79</v>
      </c>
      <c r="AA1650" s="207"/>
    </row>
    <row r="1651" spans="1:27" ht="58.5" hidden="1" customHeight="1">
      <c r="A1651" s="98">
        <v>1641</v>
      </c>
      <c r="B1651" s="79" t="s">
        <v>7871</v>
      </c>
      <c r="C1651" s="148" t="s">
        <v>8</v>
      </c>
      <c r="D1651" s="80" t="s">
        <v>63</v>
      </c>
      <c r="E1651" s="27" t="s">
        <v>7872</v>
      </c>
      <c r="F1651" s="80" t="s">
        <v>338</v>
      </c>
      <c r="G1651" s="81" t="s">
        <v>818</v>
      </c>
      <c r="H1651" s="80" t="s">
        <v>7873</v>
      </c>
      <c r="I1651" s="202">
        <v>45971</v>
      </c>
      <c r="J1651" s="80" t="s">
        <v>3505</v>
      </c>
      <c r="K1651" s="80" t="s">
        <v>69</v>
      </c>
      <c r="L1651" s="84" t="s">
        <v>100</v>
      </c>
      <c r="M1651" s="84" t="s">
        <v>595</v>
      </c>
      <c r="N1651" s="201" t="s">
        <v>72</v>
      </c>
      <c r="O1651" s="200" t="s">
        <v>7874</v>
      </c>
      <c r="P1651" s="194" t="s">
        <v>7875</v>
      </c>
      <c r="Q1651" s="49" t="s">
        <v>91</v>
      </c>
      <c r="R1651" s="25"/>
      <c r="S1651" s="55">
        <v>12</v>
      </c>
      <c r="T1651" s="26"/>
      <c r="U1651" s="28" t="s">
        <v>7876</v>
      </c>
      <c r="V1651" s="66"/>
      <c r="W1651" s="106"/>
      <c r="X1651" s="209"/>
      <c r="Y1651" s="209"/>
      <c r="Z1651" s="75" t="s">
        <v>193</v>
      </c>
      <c r="AA1651" s="207"/>
    </row>
    <row r="1652" spans="1:27" ht="61.5" hidden="1" customHeight="1">
      <c r="A1652" s="98">
        <v>1642</v>
      </c>
      <c r="B1652" s="79" t="s">
        <v>7877</v>
      </c>
      <c r="C1652" s="148" t="s">
        <v>8</v>
      </c>
      <c r="D1652" s="80" t="s">
        <v>63</v>
      </c>
      <c r="E1652" s="27" t="s">
        <v>2636</v>
      </c>
      <c r="F1652" s="80" t="s">
        <v>120</v>
      </c>
      <c r="G1652" s="81" t="s">
        <v>995</v>
      </c>
      <c r="H1652" s="80" t="s">
        <v>2637</v>
      </c>
      <c r="I1652" s="202">
        <v>45971</v>
      </c>
      <c r="J1652" s="80" t="s">
        <v>3543</v>
      </c>
      <c r="K1652" s="80" t="s">
        <v>112</v>
      </c>
      <c r="L1652" s="84" t="s">
        <v>122</v>
      </c>
      <c r="M1652" s="84" t="s">
        <v>114</v>
      </c>
      <c r="N1652" s="201" t="s">
        <v>72</v>
      </c>
      <c r="O1652" s="200" t="s">
        <v>7878</v>
      </c>
      <c r="P1652" s="194" t="s">
        <v>7879</v>
      </c>
      <c r="Q1652" s="49" t="s">
        <v>75</v>
      </c>
      <c r="R1652" s="25" t="s">
        <v>504</v>
      </c>
      <c r="S1652" s="55">
        <v>18</v>
      </c>
      <c r="T1652" s="26"/>
      <c r="U1652" s="28" t="s">
        <v>7880</v>
      </c>
      <c r="V1652" s="66"/>
      <c r="W1652" s="106"/>
      <c r="X1652" s="106" t="s">
        <v>176</v>
      </c>
      <c r="Y1652" s="209"/>
      <c r="Z1652" s="75" t="s">
        <v>93</v>
      </c>
      <c r="AA1652" s="207"/>
    </row>
    <row r="1653" spans="1:27" ht="81.75" hidden="1" customHeight="1">
      <c r="A1653" s="98">
        <v>1643</v>
      </c>
      <c r="B1653" s="79" t="s">
        <v>7881</v>
      </c>
      <c r="C1653" s="148" t="s">
        <v>10</v>
      </c>
      <c r="D1653" s="80" t="s">
        <v>63</v>
      </c>
      <c r="E1653" s="27" t="s">
        <v>7882</v>
      </c>
      <c r="F1653" s="80" t="s">
        <v>284</v>
      </c>
      <c r="G1653" s="81" t="s">
        <v>4914</v>
      </c>
      <c r="H1653" s="80" t="s">
        <v>7883</v>
      </c>
      <c r="I1653" s="202">
        <v>45971</v>
      </c>
      <c r="J1653" s="80" t="s">
        <v>3494</v>
      </c>
      <c r="K1653" s="80" t="s">
        <v>3373</v>
      </c>
      <c r="L1653" s="84" t="s">
        <v>199</v>
      </c>
      <c r="M1653" s="84" t="s">
        <v>200</v>
      </c>
      <c r="N1653" s="201" t="s">
        <v>72</v>
      </c>
      <c r="O1653" s="310" t="s">
        <v>7884</v>
      </c>
      <c r="P1653" s="194" t="s">
        <v>7885</v>
      </c>
      <c r="Q1653" s="49" t="s">
        <v>75</v>
      </c>
      <c r="R1653" s="25" t="s">
        <v>504</v>
      </c>
      <c r="S1653" s="55">
        <v>18</v>
      </c>
      <c r="T1653" s="26"/>
      <c r="U1653" s="28" t="s">
        <v>7886</v>
      </c>
      <c r="V1653" s="66"/>
      <c r="W1653" s="106"/>
      <c r="X1653" s="106" t="s">
        <v>176</v>
      </c>
      <c r="Y1653" s="209"/>
      <c r="Z1653" s="210"/>
      <c r="AA1653" s="207"/>
    </row>
    <row r="1654" spans="1:27" ht="75" hidden="1" customHeight="1">
      <c r="A1654" s="98">
        <v>1644</v>
      </c>
      <c r="B1654" s="79" t="s">
        <v>7887</v>
      </c>
      <c r="C1654" s="148" t="s">
        <v>8</v>
      </c>
      <c r="D1654" s="80" t="s">
        <v>63</v>
      </c>
      <c r="E1654" s="27" t="s">
        <v>7872</v>
      </c>
      <c r="F1654" s="80" t="s">
        <v>338</v>
      </c>
      <c r="G1654" s="81" t="s">
        <v>818</v>
      </c>
      <c r="H1654" s="80" t="s">
        <v>7873</v>
      </c>
      <c r="I1654" s="202">
        <v>45972</v>
      </c>
      <c r="J1654" s="80" t="s">
        <v>3505</v>
      </c>
      <c r="K1654" s="80" t="s">
        <v>69</v>
      </c>
      <c r="L1654" s="84" t="s">
        <v>100</v>
      </c>
      <c r="M1654" s="84" t="s">
        <v>595</v>
      </c>
      <c r="N1654" s="201" t="s">
        <v>72</v>
      </c>
      <c r="O1654" s="200" t="s">
        <v>7888</v>
      </c>
      <c r="P1654" s="194" t="s">
        <v>7889</v>
      </c>
      <c r="Q1654" s="49" t="s">
        <v>91</v>
      </c>
      <c r="R1654" s="25"/>
      <c r="S1654" s="55">
        <v>14</v>
      </c>
      <c r="T1654" s="26"/>
      <c r="U1654" s="28" t="s">
        <v>7890</v>
      </c>
      <c r="V1654" s="66"/>
      <c r="W1654" s="106"/>
      <c r="X1654" s="209"/>
      <c r="Y1654" s="209"/>
      <c r="Z1654" s="75" t="s">
        <v>193</v>
      </c>
      <c r="AA1654" s="207"/>
    </row>
    <row r="1655" spans="1:27" ht="75.75" hidden="1" customHeight="1">
      <c r="A1655" s="98">
        <v>1645</v>
      </c>
      <c r="B1655" s="79" t="s">
        <v>7891</v>
      </c>
      <c r="C1655" s="148" t="s">
        <v>794</v>
      </c>
      <c r="D1655" s="80" t="s">
        <v>83</v>
      </c>
      <c r="E1655" s="27" t="s">
        <v>795</v>
      </c>
      <c r="F1655" s="80" t="s">
        <v>109</v>
      </c>
      <c r="G1655" s="81" t="s">
        <v>796</v>
      </c>
      <c r="H1655" s="80" t="s">
        <v>797</v>
      </c>
      <c r="I1655" s="202">
        <v>45974</v>
      </c>
      <c r="J1655" s="80" t="s">
        <v>3517</v>
      </c>
      <c r="K1655" s="80" t="s">
        <v>198</v>
      </c>
      <c r="L1655" s="84" t="s">
        <v>300</v>
      </c>
      <c r="M1655" s="84" t="s">
        <v>784</v>
      </c>
      <c r="N1655" s="201" t="s">
        <v>72</v>
      </c>
      <c r="O1655" s="200" t="s">
        <v>7892</v>
      </c>
      <c r="P1655" s="194" t="s">
        <v>7893</v>
      </c>
      <c r="Q1655" s="49" t="s">
        <v>75</v>
      </c>
      <c r="R1655" s="25" t="s">
        <v>504</v>
      </c>
      <c r="S1655" s="55"/>
      <c r="T1655" s="26"/>
      <c r="U1655" s="28" t="s">
        <v>7894</v>
      </c>
      <c r="V1655" s="66"/>
      <c r="W1655" s="106"/>
      <c r="X1655" s="106" t="s">
        <v>176</v>
      </c>
      <c r="Y1655" s="209"/>
      <c r="Z1655" s="75" t="s">
        <v>106</v>
      </c>
      <c r="AA1655" s="207"/>
    </row>
    <row r="1656" spans="1:27" ht="72.75" hidden="1" customHeight="1">
      <c r="A1656" s="98">
        <v>1646</v>
      </c>
      <c r="B1656" s="79" t="s">
        <v>7895</v>
      </c>
      <c r="C1656" s="148" t="s">
        <v>8</v>
      </c>
      <c r="D1656" s="80" t="s">
        <v>83</v>
      </c>
      <c r="E1656" s="27" t="s">
        <v>7896</v>
      </c>
      <c r="F1656" s="80" t="s">
        <v>7897</v>
      </c>
      <c r="G1656" s="81" t="s">
        <v>7898</v>
      </c>
      <c r="H1656" s="80" t="s">
        <v>7899</v>
      </c>
      <c r="I1656" s="202">
        <v>45974</v>
      </c>
      <c r="J1656" s="80" t="s">
        <v>3500</v>
      </c>
      <c r="K1656" s="80" t="s">
        <v>198</v>
      </c>
      <c r="L1656" s="84" t="s">
        <v>199</v>
      </c>
      <c r="M1656" s="84" t="s">
        <v>221</v>
      </c>
      <c r="N1656" s="201" t="s">
        <v>72</v>
      </c>
      <c r="O1656" s="200" t="s">
        <v>7900</v>
      </c>
      <c r="P1656" s="194" t="s">
        <v>7901</v>
      </c>
      <c r="Q1656" s="49" t="s">
        <v>75</v>
      </c>
      <c r="R1656" s="25" t="s">
        <v>91</v>
      </c>
      <c r="S1656" s="55">
        <v>18</v>
      </c>
      <c r="T1656" s="26">
        <v>58</v>
      </c>
      <c r="U1656" s="28" t="s">
        <v>7902</v>
      </c>
      <c r="V1656" s="66"/>
      <c r="W1656" s="106"/>
      <c r="X1656" s="106" t="s">
        <v>176</v>
      </c>
      <c r="Y1656" s="209"/>
      <c r="Z1656" s="75" t="s">
        <v>93</v>
      </c>
      <c r="AA1656" s="207"/>
    </row>
    <row r="1657" spans="1:27" ht="70.5" hidden="1" customHeight="1">
      <c r="A1657" s="98">
        <v>1647</v>
      </c>
      <c r="B1657" s="79" t="s">
        <v>7903</v>
      </c>
      <c r="C1657" s="148" t="s">
        <v>8</v>
      </c>
      <c r="D1657" s="80" t="s">
        <v>63</v>
      </c>
      <c r="E1657" s="27" t="s">
        <v>3439</v>
      </c>
      <c r="F1657" s="80" t="s">
        <v>109</v>
      </c>
      <c r="G1657" s="81" t="s">
        <v>818</v>
      </c>
      <c r="H1657" s="80" t="s">
        <v>3440</v>
      </c>
      <c r="I1657" s="202">
        <v>45975</v>
      </c>
      <c r="J1657" s="80" t="s">
        <v>3810</v>
      </c>
      <c r="K1657" s="80" t="s">
        <v>198</v>
      </c>
      <c r="L1657" s="84" t="s">
        <v>113</v>
      </c>
      <c r="M1657" s="84" t="s">
        <v>221</v>
      </c>
      <c r="N1657" s="201" t="s">
        <v>72</v>
      </c>
      <c r="O1657" s="200" t="s">
        <v>7904</v>
      </c>
      <c r="P1657" s="194" t="s">
        <v>7905</v>
      </c>
      <c r="Q1657" s="49" t="s">
        <v>75</v>
      </c>
      <c r="R1657" s="25" t="s">
        <v>504</v>
      </c>
      <c r="S1657" s="55">
        <v>18</v>
      </c>
      <c r="T1657" s="26"/>
      <c r="U1657" s="28" t="s">
        <v>7906</v>
      </c>
      <c r="V1657" s="66"/>
      <c r="W1657" s="106"/>
      <c r="X1657" s="106" t="s">
        <v>176</v>
      </c>
      <c r="Y1657" s="209"/>
      <c r="Z1657" s="75" t="s">
        <v>106</v>
      </c>
      <c r="AA1657" s="207"/>
    </row>
    <row r="1658" spans="1:27" ht="60.75" hidden="1" customHeight="1">
      <c r="A1658" s="98">
        <v>1648</v>
      </c>
      <c r="B1658" s="79" t="s">
        <v>7907</v>
      </c>
      <c r="C1658" s="148" t="s">
        <v>8</v>
      </c>
      <c r="D1658" s="80" t="s">
        <v>63</v>
      </c>
      <c r="E1658" s="27" t="s">
        <v>2006</v>
      </c>
      <c r="F1658" s="80" t="s">
        <v>109</v>
      </c>
      <c r="G1658" s="81" t="s">
        <v>277</v>
      </c>
      <c r="H1658" s="80" t="s">
        <v>2007</v>
      </c>
      <c r="I1658" s="202">
        <v>45978</v>
      </c>
      <c r="J1658" s="80" t="s">
        <v>3512</v>
      </c>
      <c r="K1658" s="80" t="s">
        <v>299</v>
      </c>
      <c r="L1658" s="84" t="s">
        <v>300</v>
      </c>
      <c r="M1658" s="84" t="s">
        <v>221</v>
      </c>
      <c r="N1658" s="201" t="s">
        <v>72</v>
      </c>
      <c r="O1658" s="200" t="s">
        <v>7908</v>
      </c>
      <c r="P1658" s="194" t="s">
        <v>7909</v>
      </c>
      <c r="Q1658" s="49" t="s">
        <v>91</v>
      </c>
      <c r="R1658" s="25"/>
      <c r="S1658" s="55">
        <v>7</v>
      </c>
      <c r="T1658" s="26"/>
      <c r="U1658" s="28" t="s">
        <v>7910</v>
      </c>
      <c r="V1658" s="66"/>
      <c r="W1658" s="106"/>
      <c r="X1658" s="209"/>
      <c r="Y1658" s="209"/>
      <c r="Z1658" s="75" t="s">
        <v>193</v>
      </c>
      <c r="AA1658" s="207"/>
    </row>
    <row r="1659" spans="1:27" ht="68.25" hidden="1" customHeight="1">
      <c r="A1659" s="98">
        <v>1649</v>
      </c>
      <c r="B1659" s="79" t="s">
        <v>7911</v>
      </c>
      <c r="C1659" s="148" t="s">
        <v>8</v>
      </c>
      <c r="D1659" s="80" t="s">
        <v>63</v>
      </c>
      <c r="E1659" s="27" t="s">
        <v>2006</v>
      </c>
      <c r="F1659" s="80" t="s">
        <v>109</v>
      </c>
      <c r="G1659" s="81" t="s">
        <v>277</v>
      </c>
      <c r="H1659" s="80" t="s">
        <v>2007</v>
      </c>
      <c r="I1659" s="202">
        <v>45978</v>
      </c>
      <c r="J1659" s="80" t="s">
        <v>3526</v>
      </c>
      <c r="K1659" s="80" t="s">
        <v>299</v>
      </c>
      <c r="L1659" s="84" t="s">
        <v>300</v>
      </c>
      <c r="M1659" s="84" t="s">
        <v>114</v>
      </c>
      <c r="N1659" s="201" t="s">
        <v>72</v>
      </c>
      <c r="O1659" s="200" t="s">
        <v>7912</v>
      </c>
      <c r="P1659" s="194" t="s">
        <v>7913</v>
      </c>
      <c r="Q1659" s="49" t="s">
        <v>91</v>
      </c>
      <c r="R1659" s="25"/>
      <c r="S1659" s="55">
        <v>9</v>
      </c>
      <c r="T1659" s="26"/>
      <c r="U1659" s="28" t="s">
        <v>7914</v>
      </c>
      <c r="V1659" s="66"/>
      <c r="W1659" s="106"/>
      <c r="X1659" s="209"/>
      <c r="Y1659" s="209"/>
      <c r="Z1659" s="75" t="s">
        <v>193</v>
      </c>
      <c r="AA1659" s="207"/>
    </row>
    <row r="1660" spans="1:27" ht="72" hidden="1" customHeight="1">
      <c r="A1660" s="98">
        <v>1650</v>
      </c>
      <c r="B1660" s="79" t="s">
        <v>7915</v>
      </c>
      <c r="C1660" s="148" t="s">
        <v>8</v>
      </c>
      <c r="D1660" s="80" t="s">
        <v>63</v>
      </c>
      <c r="E1660" s="27" t="s">
        <v>7916</v>
      </c>
      <c r="F1660" s="80" t="s">
        <v>338</v>
      </c>
      <c r="G1660" s="81" t="s">
        <v>440</v>
      </c>
      <c r="H1660" s="80" t="s">
        <v>7917</v>
      </c>
      <c r="I1660" s="92">
        <v>45978</v>
      </c>
      <c r="J1660" s="80" t="s">
        <v>3500</v>
      </c>
      <c r="K1660" s="80" t="s">
        <v>198</v>
      </c>
      <c r="L1660" s="84" t="s">
        <v>199</v>
      </c>
      <c r="M1660" s="84" t="s">
        <v>221</v>
      </c>
      <c r="N1660" s="201" t="s">
        <v>72</v>
      </c>
      <c r="O1660" s="200" t="s">
        <v>7918</v>
      </c>
      <c r="P1660" s="194" t="s">
        <v>7919</v>
      </c>
      <c r="Q1660" s="49" t="s">
        <v>75</v>
      </c>
      <c r="R1660" s="25" t="s">
        <v>91</v>
      </c>
      <c r="S1660" s="55">
        <v>18</v>
      </c>
      <c r="T1660" s="26"/>
      <c r="U1660" s="28" t="s">
        <v>7920</v>
      </c>
      <c r="V1660" s="66"/>
      <c r="W1660" s="106"/>
      <c r="X1660" s="106" t="s">
        <v>176</v>
      </c>
      <c r="Y1660" s="209"/>
      <c r="Z1660" s="75"/>
      <c r="AA1660" s="207"/>
    </row>
    <row r="1661" spans="1:27" ht="54" hidden="1" customHeight="1">
      <c r="A1661" s="98">
        <v>1651</v>
      </c>
      <c r="B1661" s="79" t="s">
        <v>7921</v>
      </c>
      <c r="C1661" s="148" t="s">
        <v>8</v>
      </c>
      <c r="D1661" s="80" t="s">
        <v>83</v>
      </c>
      <c r="E1661" s="27" t="s">
        <v>337</v>
      </c>
      <c r="F1661" s="80" t="s">
        <v>338</v>
      </c>
      <c r="G1661" s="81" t="s">
        <v>339</v>
      </c>
      <c r="H1661" s="80" t="s">
        <v>340</v>
      </c>
      <c r="I1661" s="202">
        <v>45979</v>
      </c>
      <c r="J1661" s="80" t="s">
        <v>3512</v>
      </c>
      <c r="K1661" s="80" t="s">
        <v>198</v>
      </c>
      <c r="L1661" s="84" t="s">
        <v>300</v>
      </c>
      <c r="M1661" s="84" t="s">
        <v>221</v>
      </c>
      <c r="N1661" s="201" t="s">
        <v>72</v>
      </c>
      <c r="O1661" s="200" t="s">
        <v>7922</v>
      </c>
      <c r="P1661" s="194" t="s">
        <v>7923</v>
      </c>
      <c r="Q1661" s="49" t="s">
        <v>75</v>
      </c>
      <c r="R1661" s="25" t="s">
        <v>504</v>
      </c>
      <c r="S1661" s="55">
        <v>18</v>
      </c>
      <c r="T1661" s="26"/>
      <c r="U1661" s="28" t="s">
        <v>7924</v>
      </c>
      <c r="V1661" s="66"/>
      <c r="W1661" s="106"/>
      <c r="X1661" s="106" t="s">
        <v>176</v>
      </c>
      <c r="Y1661" s="209"/>
      <c r="Z1661" s="75" t="s">
        <v>106</v>
      </c>
      <c r="AA1661" s="207"/>
    </row>
    <row r="1662" spans="1:27" ht="61.5" hidden="1" customHeight="1">
      <c r="A1662" s="98">
        <v>1652</v>
      </c>
      <c r="B1662" s="79" t="s">
        <v>7925</v>
      </c>
      <c r="C1662" s="148" t="s">
        <v>8</v>
      </c>
      <c r="D1662" s="80" t="s">
        <v>63</v>
      </c>
      <c r="E1662" s="27" t="s">
        <v>7926</v>
      </c>
      <c r="F1662" s="80" t="s">
        <v>284</v>
      </c>
      <c r="G1662" s="81" t="s">
        <v>686</v>
      </c>
      <c r="H1662" s="80" t="s">
        <v>7927</v>
      </c>
      <c r="I1662" s="202">
        <v>45979</v>
      </c>
      <c r="J1662" s="80" t="s">
        <v>3595</v>
      </c>
      <c r="K1662" s="80" t="s">
        <v>69</v>
      </c>
      <c r="L1662" s="84" t="s">
        <v>70</v>
      </c>
      <c r="M1662" s="84" t="s">
        <v>784</v>
      </c>
      <c r="N1662" s="201" t="s">
        <v>72</v>
      </c>
      <c r="O1662" s="200" t="s">
        <v>7928</v>
      </c>
      <c r="P1662" s="194" t="s">
        <v>7929</v>
      </c>
      <c r="Q1662" s="49" t="s">
        <v>91</v>
      </c>
      <c r="R1662" s="25"/>
      <c r="S1662" s="55"/>
      <c r="T1662" s="26"/>
      <c r="U1662" s="28" t="s">
        <v>7930</v>
      </c>
      <c r="V1662" s="66"/>
      <c r="W1662" s="106"/>
      <c r="X1662" s="209"/>
      <c r="Y1662" s="209"/>
      <c r="Z1662" s="75" t="s">
        <v>193</v>
      </c>
      <c r="AA1662" s="207"/>
    </row>
    <row r="1663" spans="1:27" ht="50.25" hidden="1" customHeight="1">
      <c r="A1663" s="98">
        <v>1653</v>
      </c>
      <c r="B1663" s="79" t="s">
        <v>7931</v>
      </c>
      <c r="C1663" s="148" t="s">
        <v>10</v>
      </c>
      <c r="D1663" s="80" t="s">
        <v>63</v>
      </c>
      <c r="E1663" s="27" t="s">
        <v>7932</v>
      </c>
      <c r="F1663" s="80" t="s">
        <v>120</v>
      </c>
      <c r="G1663" s="81" t="s">
        <v>5335</v>
      </c>
      <c r="H1663" s="80" t="s">
        <v>7933</v>
      </c>
      <c r="I1663" s="202">
        <v>45983</v>
      </c>
      <c r="J1663" s="80" t="s">
        <v>3505</v>
      </c>
      <c r="K1663" s="80" t="s">
        <v>69</v>
      </c>
      <c r="L1663" s="84" t="s">
        <v>100</v>
      </c>
      <c r="M1663" s="84" t="s">
        <v>595</v>
      </c>
      <c r="N1663" s="201" t="s">
        <v>72</v>
      </c>
      <c r="O1663" s="310" t="s">
        <v>7934</v>
      </c>
      <c r="P1663" s="194" t="s">
        <v>7935</v>
      </c>
      <c r="Q1663" s="49" t="s">
        <v>75</v>
      </c>
      <c r="R1663" s="25" t="s">
        <v>504</v>
      </c>
      <c r="S1663" s="55">
        <v>20</v>
      </c>
      <c r="T1663" s="26"/>
      <c r="U1663" s="28" t="s">
        <v>7936</v>
      </c>
      <c r="V1663" s="66"/>
      <c r="W1663" s="106"/>
      <c r="X1663" s="106" t="s">
        <v>176</v>
      </c>
      <c r="Y1663" s="209"/>
      <c r="Z1663" s="75" t="s">
        <v>106</v>
      </c>
      <c r="AA1663" s="207"/>
    </row>
    <row r="1664" spans="1:27" ht="69" hidden="1" customHeight="1">
      <c r="A1664" s="98">
        <v>1654</v>
      </c>
      <c r="B1664" s="79" t="s">
        <v>7937</v>
      </c>
      <c r="C1664" s="148" t="s">
        <v>8</v>
      </c>
      <c r="D1664" s="80" t="s">
        <v>83</v>
      </c>
      <c r="E1664" s="27" t="s">
        <v>7938</v>
      </c>
      <c r="F1664" s="80" t="s">
        <v>7897</v>
      </c>
      <c r="G1664" s="81" t="s">
        <v>7939</v>
      </c>
      <c r="H1664" s="80" t="s">
        <v>7940</v>
      </c>
      <c r="I1664" s="202">
        <v>45983</v>
      </c>
      <c r="J1664" s="80" t="s">
        <v>3941</v>
      </c>
      <c r="K1664" s="80" t="s">
        <v>112</v>
      </c>
      <c r="L1664" s="84" t="s">
        <v>113</v>
      </c>
      <c r="M1664" s="84" t="s">
        <v>200</v>
      </c>
      <c r="N1664" s="201" t="s">
        <v>72</v>
      </c>
      <c r="O1664" s="200" t="s">
        <v>7941</v>
      </c>
      <c r="P1664" s="194" t="s">
        <v>7942</v>
      </c>
      <c r="Q1664" s="49" t="s">
        <v>75</v>
      </c>
      <c r="R1664" s="25" t="s">
        <v>504</v>
      </c>
      <c r="S1664" s="55">
        <v>24</v>
      </c>
      <c r="T1664" s="26"/>
      <c r="U1664" s="28" t="s">
        <v>7943</v>
      </c>
      <c r="V1664" s="66"/>
      <c r="W1664" s="106"/>
      <c r="X1664" s="106" t="s">
        <v>176</v>
      </c>
      <c r="Y1664" s="209"/>
      <c r="Z1664" s="75" t="s">
        <v>106</v>
      </c>
      <c r="AA1664" s="207"/>
    </row>
    <row r="1665" spans="1:27" ht="70.5" hidden="1" customHeight="1">
      <c r="A1665" s="98">
        <v>1655</v>
      </c>
      <c r="B1665" s="79" t="s">
        <v>7944</v>
      </c>
      <c r="C1665" s="148" t="s">
        <v>8</v>
      </c>
      <c r="D1665" s="80" t="s">
        <v>63</v>
      </c>
      <c r="E1665" s="27" t="s">
        <v>7945</v>
      </c>
      <c r="F1665" s="80" t="s">
        <v>65</v>
      </c>
      <c r="G1665" s="81" t="s">
        <v>818</v>
      </c>
      <c r="H1665" s="80" t="s">
        <v>7946</v>
      </c>
      <c r="I1665" s="202">
        <v>45983</v>
      </c>
      <c r="J1665" s="80" t="s">
        <v>3517</v>
      </c>
      <c r="K1665" s="80" t="s">
        <v>299</v>
      </c>
      <c r="L1665" s="84" t="s">
        <v>189</v>
      </c>
      <c r="M1665" s="84" t="s">
        <v>784</v>
      </c>
      <c r="N1665" s="201" t="s">
        <v>72</v>
      </c>
      <c r="O1665" s="200" t="s">
        <v>7947</v>
      </c>
      <c r="P1665" s="194" t="s">
        <v>7948</v>
      </c>
      <c r="Q1665" s="49" t="s">
        <v>91</v>
      </c>
      <c r="R1665" s="25"/>
      <c r="S1665" s="55">
        <v>6</v>
      </c>
      <c r="T1665" s="26"/>
      <c r="U1665" s="28" t="s">
        <v>7949</v>
      </c>
      <c r="V1665" s="66"/>
      <c r="W1665" s="106"/>
      <c r="X1665" s="209"/>
      <c r="Y1665" s="209"/>
      <c r="Z1665" s="75" t="s">
        <v>193</v>
      </c>
      <c r="AA1665" s="207"/>
    </row>
    <row r="1666" spans="1:27" ht="84.75" hidden="1" customHeight="1">
      <c r="A1666" s="98">
        <v>1656</v>
      </c>
      <c r="B1666" s="79" t="s">
        <v>7950</v>
      </c>
      <c r="C1666" s="148" t="s">
        <v>8</v>
      </c>
      <c r="D1666" s="80" t="s">
        <v>63</v>
      </c>
      <c r="E1666" s="27" t="s">
        <v>7945</v>
      </c>
      <c r="F1666" s="80" t="s">
        <v>65</v>
      </c>
      <c r="G1666" s="81" t="s">
        <v>818</v>
      </c>
      <c r="H1666" s="80" t="s">
        <v>7946</v>
      </c>
      <c r="I1666" s="202">
        <v>45983</v>
      </c>
      <c r="J1666" s="80" t="s">
        <v>3517</v>
      </c>
      <c r="K1666" s="80" t="s">
        <v>299</v>
      </c>
      <c r="L1666" s="84" t="s">
        <v>300</v>
      </c>
      <c r="M1666" s="84" t="s">
        <v>784</v>
      </c>
      <c r="N1666" s="201" t="s">
        <v>72</v>
      </c>
      <c r="O1666" s="200" t="s">
        <v>7951</v>
      </c>
      <c r="P1666" s="194" t="s">
        <v>7952</v>
      </c>
      <c r="Q1666" s="49" t="s">
        <v>91</v>
      </c>
      <c r="R1666" s="25"/>
      <c r="S1666" s="55">
        <v>10</v>
      </c>
      <c r="T1666" s="26"/>
      <c r="U1666" s="28" t="s">
        <v>7953</v>
      </c>
      <c r="V1666" s="66"/>
      <c r="W1666" s="106"/>
      <c r="X1666" s="209"/>
      <c r="Y1666" s="209"/>
      <c r="Z1666" s="75" t="s">
        <v>193</v>
      </c>
      <c r="AA1666" s="207"/>
    </row>
    <row r="1667" spans="1:27" ht="68.25" hidden="1" customHeight="1">
      <c r="A1667" s="98">
        <v>1657</v>
      </c>
      <c r="B1667" s="79" t="s">
        <v>7740</v>
      </c>
      <c r="C1667" s="148" t="s">
        <v>10</v>
      </c>
      <c r="D1667" s="80" t="s">
        <v>63</v>
      </c>
      <c r="E1667" s="27" t="s">
        <v>7954</v>
      </c>
      <c r="F1667" s="80" t="s">
        <v>109</v>
      </c>
      <c r="G1667" s="81" t="s">
        <v>7955</v>
      </c>
      <c r="H1667" s="80" t="s">
        <v>7956</v>
      </c>
      <c r="I1667" s="202">
        <v>45986</v>
      </c>
      <c r="J1667" s="80" t="s">
        <v>3505</v>
      </c>
      <c r="K1667" s="80" t="s">
        <v>69</v>
      </c>
      <c r="L1667" s="84" t="s">
        <v>100</v>
      </c>
      <c r="M1667" s="84" t="s">
        <v>252</v>
      </c>
      <c r="N1667" s="201" t="s">
        <v>72</v>
      </c>
      <c r="O1667" s="310" t="s">
        <v>7957</v>
      </c>
      <c r="P1667" s="194" t="s">
        <v>7958</v>
      </c>
      <c r="Q1667" s="49" t="s">
        <v>91</v>
      </c>
      <c r="R1667" s="25"/>
      <c r="S1667" s="55" t="s">
        <v>7959</v>
      </c>
      <c r="T1667" s="26"/>
      <c r="U1667" s="28" t="s">
        <v>7960</v>
      </c>
      <c r="V1667" s="66"/>
      <c r="W1667" s="106"/>
      <c r="X1667" s="209"/>
      <c r="Y1667" s="209"/>
      <c r="Z1667" s="75" t="s">
        <v>193</v>
      </c>
      <c r="AA1667" s="207"/>
    </row>
    <row r="1668" spans="1:27" ht="84.75" hidden="1" customHeight="1">
      <c r="A1668" s="98">
        <v>1658</v>
      </c>
      <c r="B1668" s="79" t="s">
        <v>7961</v>
      </c>
      <c r="C1668" s="148" t="s">
        <v>10</v>
      </c>
      <c r="D1668" s="80" t="s">
        <v>63</v>
      </c>
      <c r="E1668" s="27" t="s">
        <v>7954</v>
      </c>
      <c r="F1668" s="80" t="s">
        <v>109</v>
      </c>
      <c r="G1668" s="81" t="s">
        <v>7955</v>
      </c>
      <c r="H1668" s="80" t="s">
        <v>7956</v>
      </c>
      <c r="I1668" s="202">
        <v>45986</v>
      </c>
      <c r="J1668" s="80" t="s">
        <v>3565</v>
      </c>
      <c r="K1668" s="80" t="s">
        <v>299</v>
      </c>
      <c r="L1668" s="84" t="s">
        <v>300</v>
      </c>
      <c r="M1668" s="84" t="s">
        <v>252</v>
      </c>
      <c r="N1668" s="201" t="s">
        <v>72</v>
      </c>
      <c r="O1668" s="310" t="s">
        <v>7962</v>
      </c>
      <c r="P1668" s="194" t="s">
        <v>7963</v>
      </c>
      <c r="Q1668" s="49" t="s">
        <v>75</v>
      </c>
      <c r="R1668" s="25" t="s">
        <v>91</v>
      </c>
      <c r="S1668" s="55">
        <v>19</v>
      </c>
      <c r="T1668" s="26">
        <v>60</v>
      </c>
      <c r="U1668" s="28" t="s">
        <v>7964</v>
      </c>
      <c r="V1668" s="66"/>
      <c r="W1668" s="106"/>
      <c r="X1668" s="106" t="s">
        <v>176</v>
      </c>
      <c r="Y1668" s="209"/>
      <c r="Z1668" s="75" t="s">
        <v>93</v>
      </c>
      <c r="AA1668" s="207"/>
    </row>
    <row r="1669" spans="1:27" ht="55.5" hidden="1" customHeight="1">
      <c r="A1669" s="98">
        <v>1659</v>
      </c>
      <c r="B1669" s="79" t="s">
        <v>7965</v>
      </c>
      <c r="C1669" s="148" t="s">
        <v>10</v>
      </c>
      <c r="D1669" s="80" t="s">
        <v>63</v>
      </c>
      <c r="E1669" s="27" t="s">
        <v>7491</v>
      </c>
      <c r="F1669" s="80" t="s">
        <v>338</v>
      </c>
      <c r="G1669" s="81" t="s">
        <v>6012</v>
      </c>
      <c r="H1669" s="80" t="s">
        <v>7492</v>
      </c>
      <c r="I1669" s="202">
        <v>45986</v>
      </c>
      <c r="J1669" s="80" t="s">
        <v>3505</v>
      </c>
      <c r="K1669" s="80" t="s">
        <v>69</v>
      </c>
      <c r="L1669" s="84" t="s">
        <v>100</v>
      </c>
      <c r="M1669" s="84" t="s">
        <v>252</v>
      </c>
      <c r="N1669" s="201" t="s">
        <v>72</v>
      </c>
      <c r="O1669" s="310" t="s">
        <v>7966</v>
      </c>
      <c r="P1669" s="194" t="s">
        <v>7967</v>
      </c>
      <c r="Q1669" s="49" t="s">
        <v>75</v>
      </c>
      <c r="R1669" s="25" t="s">
        <v>91</v>
      </c>
      <c r="S1669" s="55">
        <v>22</v>
      </c>
      <c r="T1669" s="26">
        <v>54</v>
      </c>
      <c r="U1669" s="28" t="s">
        <v>7968</v>
      </c>
      <c r="V1669" s="66"/>
      <c r="W1669" s="106"/>
      <c r="X1669" s="106" t="s">
        <v>176</v>
      </c>
      <c r="Y1669" s="209"/>
      <c r="Z1669" s="75" t="s">
        <v>93</v>
      </c>
      <c r="AA1669" s="207"/>
    </row>
    <row r="1670" spans="1:27" ht="56.25" hidden="1" customHeight="1">
      <c r="A1670" s="98">
        <v>1660</v>
      </c>
      <c r="B1670" s="79" t="s">
        <v>7969</v>
      </c>
      <c r="C1670" s="148" t="s">
        <v>10</v>
      </c>
      <c r="D1670" s="80" t="s">
        <v>63</v>
      </c>
      <c r="E1670" s="27" t="s">
        <v>7970</v>
      </c>
      <c r="F1670" s="80" t="s">
        <v>109</v>
      </c>
      <c r="G1670" s="81" t="s">
        <v>6250</v>
      </c>
      <c r="H1670" s="80" t="s">
        <v>7971</v>
      </c>
      <c r="I1670" s="202">
        <v>45986</v>
      </c>
      <c r="J1670" s="80" t="s">
        <v>3565</v>
      </c>
      <c r="K1670" s="80" t="s">
        <v>299</v>
      </c>
      <c r="L1670" s="84" t="s">
        <v>300</v>
      </c>
      <c r="M1670" s="84" t="s">
        <v>252</v>
      </c>
      <c r="N1670" s="201" t="s">
        <v>72</v>
      </c>
      <c r="O1670" s="310" t="s">
        <v>7972</v>
      </c>
      <c r="P1670" s="194" t="s">
        <v>7973</v>
      </c>
      <c r="Q1670" s="49" t="s">
        <v>75</v>
      </c>
      <c r="R1670" s="25" t="s">
        <v>91</v>
      </c>
      <c r="S1670" s="55">
        <v>20</v>
      </c>
      <c r="T1670" s="26">
        <v>63</v>
      </c>
      <c r="U1670" s="28" t="s">
        <v>7974</v>
      </c>
      <c r="V1670" s="66"/>
      <c r="W1670" s="106"/>
      <c r="X1670" s="106" t="s">
        <v>176</v>
      </c>
      <c r="Y1670" s="209"/>
      <c r="Z1670" s="75" t="s">
        <v>93</v>
      </c>
      <c r="AA1670" s="207"/>
    </row>
    <row r="1671" spans="1:27" ht="67.5" hidden="1" customHeight="1">
      <c r="A1671" s="98">
        <v>1661</v>
      </c>
      <c r="B1671" s="79" t="s">
        <v>7975</v>
      </c>
      <c r="C1671" s="148" t="s">
        <v>10</v>
      </c>
      <c r="D1671" s="80" t="s">
        <v>63</v>
      </c>
      <c r="E1671" s="27" t="s">
        <v>7970</v>
      </c>
      <c r="F1671" s="80" t="s">
        <v>109</v>
      </c>
      <c r="G1671" s="81" t="s">
        <v>6250</v>
      </c>
      <c r="H1671" s="80" t="s">
        <v>7971</v>
      </c>
      <c r="I1671" s="202">
        <v>45986</v>
      </c>
      <c r="J1671" s="80" t="s">
        <v>3505</v>
      </c>
      <c r="K1671" s="80" t="s">
        <v>69</v>
      </c>
      <c r="L1671" s="84" t="s">
        <v>251</v>
      </c>
      <c r="M1671" s="84" t="s">
        <v>252</v>
      </c>
      <c r="N1671" s="201" t="s">
        <v>72</v>
      </c>
      <c r="O1671" s="310" t="s">
        <v>7976</v>
      </c>
      <c r="P1671" s="194" t="s">
        <v>7977</v>
      </c>
      <c r="Q1671" s="49" t="s">
        <v>91</v>
      </c>
      <c r="R1671" s="25"/>
      <c r="S1671" s="55" t="s">
        <v>7978</v>
      </c>
      <c r="T1671" s="26"/>
      <c r="U1671" s="28"/>
      <c r="V1671" s="66"/>
      <c r="W1671" s="106"/>
      <c r="X1671" s="209"/>
      <c r="Y1671" s="209"/>
      <c r="Z1671" s="75" t="s">
        <v>193</v>
      </c>
      <c r="AA1671" s="207"/>
    </row>
    <row r="1672" spans="1:27" ht="107.25" hidden="1" customHeight="1">
      <c r="A1672" s="98">
        <v>1662</v>
      </c>
      <c r="B1672" s="79" t="s">
        <v>7979</v>
      </c>
      <c r="C1672" s="148" t="s">
        <v>8</v>
      </c>
      <c r="D1672" s="80" t="s">
        <v>63</v>
      </c>
      <c r="E1672" s="27" t="s">
        <v>7205</v>
      </c>
      <c r="F1672" s="80" t="s">
        <v>65</v>
      </c>
      <c r="G1672" s="81" t="s">
        <v>995</v>
      </c>
      <c r="H1672" s="80" t="s">
        <v>7206</v>
      </c>
      <c r="I1672" s="202">
        <v>45986</v>
      </c>
      <c r="J1672" s="80" t="s">
        <v>3810</v>
      </c>
      <c r="K1672" s="80" t="s">
        <v>112</v>
      </c>
      <c r="L1672" s="84" t="s">
        <v>113</v>
      </c>
      <c r="M1672" s="84" t="s">
        <v>221</v>
      </c>
      <c r="N1672" s="201" t="s">
        <v>72</v>
      </c>
      <c r="O1672" s="200" t="s">
        <v>7980</v>
      </c>
      <c r="P1672" s="194" t="s">
        <v>7981</v>
      </c>
      <c r="Q1672" s="49" t="s">
        <v>75</v>
      </c>
      <c r="R1672" s="25" t="s">
        <v>91</v>
      </c>
      <c r="S1672" s="55">
        <v>21</v>
      </c>
      <c r="T1672" s="26">
        <v>59</v>
      </c>
      <c r="U1672" s="28" t="s">
        <v>7982</v>
      </c>
      <c r="V1672" s="66"/>
      <c r="W1672" s="106"/>
      <c r="X1672" s="106" t="s">
        <v>176</v>
      </c>
      <c r="Y1672" s="209"/>
      <c r="Z1672" s="75" t="s">
        <v>93</v>
      </c>
      <c r="AA1672" s="207"/>
    </row>
    <row r="1673" spans="1:27" ht="109.5" hidden="1" customHeight="1">
      <c r="A1673" s="98">
        <v>1663</v>
      </c>
      <c r="B1673" s="79" t="s">
        <v>7983</v>
      </c>
      <c r="C1673" s="148" t="s">
        <v>8</v>
      </c>
      <c r="D1673" s="80" t="s">
        <v>63</v>
      </c>
      <c r="E1673" s="27" t="s">
        <v>2031</v>
      </c>
      <c r="F1673" s="80" t="s">
        <v>120</v>
      </c>
      <c r="G1673" s="81" t="s">
        <v>1047</v>
      </c>
      <c r="H1673" s="80" t="s">
        <v>1831</v>
      </c>
      <c r="I1673" s="202">
        <v>45986</v>
      </c>
      <c r="J1673" s="80" t="s">
        <v>145</v>
      </c>
      <c r="K1673" s="80" t="s">
        <v>146</v>
      </c>
      <c r="L1673" s="84" t="s">
        <v>147</v>
      </c>
      <c r="M1673" s="84" t="s">
        <v>148</v>
      </c>
      <c r="N1673" s="201" t="s">
        <v>72</v>
      </c>
      <c r="O1673" s="200" t="s">
        <v>7984</v>
      </c>
      <c r="P1673" s="194" t="s">
        <v>7985</v>
      </c>
      <c r="Q1673" s="49" t="s">
        <v>91</v>
      </c>
      <c r="R1673" s="25"/>
      <c r="S1673" s="55">
        <v>16</v>
      </c>
      <c r="T1673" s="26"/>
      <c r="U1673" s="28" t="s">
        <v>7986</v>
      </c>
      <c r="V1673" s="66"/>
      <c r="W1673" s="106"/>
      <c r="X1673" s="209"/>
      <c r="Y1673" s="209"/>
      <c r="Z1673" s="75" t="s">
        <v>193</v>
      </c>
      <c r="AA1673" s="207"/>
    </row>
    <row r="1674" spans="1:27" ht="66.75" hidden="1" customHeight="1">
      <c r="A1674" s="98">
        <v>1664</v>
      </c>
      <c r="B1674" s="79" t="s">
        <v>7987</v>
      </c>
      <c r="C1674" s="148" t="s">
        <v>10</v>
      </c>
      <c r="D1674" s="80" t="s">
        <v>63</v>
      </c>
      <c r="E1674" s="27" t="s">
        <v>3854</v>
      </c>
      <c r="F1674" s="80" t="s">
        <v>120</v>
      </c>
      <c r="G1674" s="81" t="s">
        <v>3855</v>
      </c>
      <c r="H1674" s="80" t="s">
        <v>3856</v>
      </c>
      <c r="I1674" s="202">
        <v>45986</v>
      </c>
      <c r="J1674" s="80" t="s">
        <v>3505</v>
      </c>
      <c r="K1674" s="80" t="s">
        <v>69</v>
      </c>
      <c r="L1674" s="84" t="s">
        <v>70</v>
      </c>
      <c r="M1674" s="84" t="s">
        <v>601</v>
      </c>
      <c r="N1674" s="201" t="s">
        <v>72</v>
      </c>
      <c r="O1674" s="310" t="s">
        <v>7988</v>
      </c>
      <c r="P1674" s="194" t="s">
        <v>7989</v>
      </c>
      <c r="Q1674" s="49" t="s">
        <v>75</v>
      </c>
      <c r="R1674" s="25" t="s">
        <v>91</v>
      </c>
      <c r="S1674" s="55">
        <v>18</v>
      </c>
      <c r="T1674" s="26">
        <v>42</v>
      </c>
      <c r="U1674" s="28" t="s">
        <v>7990</v>
      </c>
      <c r="V1674" s="66"/>
      <c r="W1674" s="106"/>
      <c r="X1674" s="106" t="s">
        <v>176</v>
      </c>
      <c r="Y1674" s="209"/>
      <c r="Z1674" s="75" t="s">
        <v>93</v>
      </c>
      <c r="AA1674" s="207"/>
    </row>
    <row r="1675" spans="1:27" ht="66.75" hidden="1" customHeight="1">
      <c r="A1675" s="98">
        <v>1665</v>
      </c>
      <c r="B1675" s="79" t="s">
        <v>7991</v>
      </c>
      <c r="C1675" s="148" t="s">
        <v>10</v>
      </c>
      <c r="D1675" s="80" t="s">
        <v>63</v>
      </c>
      <c r="E1675" s="27" t="s">
        <v>6343</v>
      </c>
      <c r="F1675" s="80" t="s">
        <v>284</v>
      </c>
      <c r="G1675" s="81" t="s">
        <v>1826</v>
      </c>
      <c r="H1675" s="80" t="s">
        <v>6344</v>
      </c>
      <c r="I1675" s="202">
        <v>45986</v>
      </c>
      <c r="J1675" s="80" t="s">
        <v>3505</v>
      </c>
      <c r="K1675" s="80" t="s">
        <v>69</v>
      </c>
      <c r="L1675" s="84" t="s">
        <v>70</v>
      </c>
      <c r="M1675" s="84" t="s">
        <v>595</v>
      </c>
      <c r="N1675" s="201" t="s">
        <v>72</v>
      </c>
      <c r="O1675" s="310" t="s">
        <v>7992</v>
      </c>
      <c r="P1675" s="194" t="s">
        <v>7993</v>
      </c>
      <c r="Q1675" s="49" t="s">
        <v>75</v>
      </c>
      <c r="R1675" s="25" t="s">
        <v>91</v>
      </c>
      <c r="S1675" s="55">
        <v>18</v>
      </c>
      <c r="T1675" s="26">
        <v>46</v>
      </c>
      <c r="U1675" s="28" t="s">
        <v>7994</v>
      </c>
      <c r="V1675" s="66"/>
      <c r="W1675" s="106"/>
      <c r="X1675" s="106" t="s">
        <v>176</v>
      </c>
      <c r="Y1675" s="209"/>
      <c r="Z1675" s="75" t="s">
        <v>93</v>
      </c>
      <c r="AA1675" s="207"/>
    </row>
    <row r="1676" spans="1:27" ht="129" hidden="1" customHeight="1">
      <c r="A1676" s="98">
        <v>1666</v>
      </c>
      <c r="B1676" s="79" t="s">
        <v>7995</v>
      </c>
      <c r="C1676" s="148" t="s">
        <v>8</v>
      </c>
      <c r="D1676" s="80" t="s">
        <v>63</v>
      </c>
      <c r="E1676" s="27" t="s">
        <v>7590</v>
      </c>
      <c r="F1676" s="80" t="s">
        <v>338</v>
      </c>
      <c r="G1676" s="81" t="s">
        <v>1047</v>
      </c>
      <c r="H1676" s="80" t="s">
        <v>7591</v>
      </c>
      <c r="I1676" s="202">
        <v>45986</v>
      </c>
      <c r="J1676" s="80" t="s">
        <v>3505</v>
      </c>
      <c r="K1676" s="80" t="s">
        <v>69</v>
      </c>
      <c r="L1676" s="84" t="s">
        <v>251</v>
      </c>
      <c r="M1676" s="84" t="s">
        <v>252</v>
      </c>
      <c r="N1676" s="201" t="s">
        <v>920</v>
      </c>
      <c r="O1676" s="200" t="s">
        <v>7996</v>
      </c>
      <c r="P1676" s="194" t="s">
        <v>7997</v>
      </c>
      <c r="Q1676" s="49" t="s">
        <v>75</v>
      </c>
      <c r="R1676" s="25" t="s">
        <v>91</v>
      </c>
      <c r="S1676" s="55">
        <v>20</v>
      </c>
      <c r="T1676" s="26">
        <v>56</v>
      </c>
      <c r="U1676" s="28" t="s">
        <v>7998</v>
      </c>
      <c r="V1676" s="66"/>
      <c r="W1676" s="106"/>
      <c r="X1676" s="106" t="s">
        <v>176</v>
      </c>
      <c r="Y1676" s="209"/>
      <c r="Z1676" s="75" t="s">
        <v>93</v>
      </c>
      <c r="AA1676" s="207"/>
    </row>
    <row r="1677" spans="1:27" ht="142.5" hidden="1" customHeight="1">
      <c r="A1677" s="98">
        <v>1667</v>
      </c>
      <c r="B1677" s="79" t="s">
        <v>7999</v>
      </c>
      <c r="C1677" s="148" t="s">
        <v>8</v>
      </c>
      <c r="D1677" s="80" t="s">
        <v>63</v>
      </c>
      <c r="E1677" s="27" t="s">
        <v>7590</v>
      </c>
      <c r="F1677" s="80" t="s">
        <v>338</v>
      </c>
      <c r="G1677" s="81" t="s">
        <v>1047</v>
      </c>
      <c r="H1677" s="80" t="s">
        <v>7591</v>
      </c>
      <c r="I1677" s="202">
        <v>45986</v>
      </c>
      <c r="J1677" s="80" t="s">
        <v>3512</v>
      </c>
      <c r="K1677" s="80" t="s">
        <v>299</v>
      </c>
      <c r="L1677" s="84" t="s">
        <v>189</v>
      </c>
      <c r="M1677" s="84" t="s">
        <v>221</v>
      </c>
      <c r="N1677" s="201" t="s">
        <v>920</v>
      </c>
      <c r="O1677" s="200" t="s">
        <v>8000</v>
      </c>
      <c r="P1677" s="194" t="s">
        <v>8001</v>
      </c>
      <c r="Q1677" s="49" t="s">
        <v>75</v>
      </c>
      <c r="R1677" s="25" t="s">
        <v>91</v>
      </c>
      <c r="S1677" s="55">
        <v>18</v>
      </c>
      <c r="T1677" s="26">
        <v>57</v>
      </c>
      <c r="U1677" s="28" t="s">
        <v>8002</v>
      </c>
      <c r="V1677" s="66"/>
      <c r="W1677" s="106"/>
      <c r="X1677" s="106" t="s">
        <v>176</v>
      </c>
      <c r="Y1677" s="209"/>
      <c r="Z1677" s="75" t="s">
        <v>93</v>
      </c>
      <c r="AA1677" s="207"/>
    </row>
    <row r="1678" spans="1:27" ht="105.75" customHeight="1">
      <c r="A1678" s="98">
        <v>1668</v>
      </c>
      <c r="B1678" s="79" t="s">
        <v>8003</v>
      </c>
      <c r="C1678" s="148" t="s">
        <v>9</v>
      </c>
      <c r="D1678" s="80" t="s">
        <v>83</v>
      </c>
      <c r="E1678" s="27" t="s">
        <v>1285</v>
      </c>
      <c r="F1678" s="80" t="s">
        <v>109</v>
      </c>
      <c r="G1678" s="81" t="s">
        <v>1286</v>
      </c>
      <c r="H1678" s="80" t="s">
        <v>1287</v>
      </c>
      <c r="I1678" s="202">
        <v>45986</v>
      </c>
      <c r="J1678" s="80" t="s">
        <v>4385</v>
      </c>
      <c r="K1678" s="80" t="s">
        <v>4386</v>
      </c>
      <c r="L1678" s="84" t="s">
        <v>4387</v>
      </c>
      <c r="M1678" s="84" t="s">
        <v>252</v>
      </c>
      <c r="N1678" s="201" t="s">
        <v>1191</v>
      </c>
      <c r="O1678" s="200" t="s">
        <v>8004</v>
      </c>
      <c r="P1678" s="194" t="s">
        <v>8005</v>
      </c>
      <c r="Q1678" s="49" t="s">
        <v>91</v>
      </c>
      <c r="R1678" s="25"/>
      <c r="S1678" s="55">
        <v>13</v>
      </c>
      <c r="T1678" s="26"/>
      <c r="U1678" s="28" t="s">
        <v>8006</v>
      </c>
      <c r="V1678" s="66"/>
      <c r="W1678" s="106"/>
      <c r="X1678" s="209"/>
      <c r="Y1678" s="209"/>
      <c r="Z1678" s="75" t="s">
        <v>193</v>
      </c>
      <c r="AA1678" s="207"/>
    </row>
    <row r="1679" spans="1:27" ht="77.25" hidden="1" customHeight="1">
      <c r="A1679" s="98">
        <v>1669</v>
      </c>
      <c r="B1679" s="79" t="s">
        <v>8007</v>
      </c>
      <c r="C1679" s="148" t="s">
        <v>9</v>
      </c>
      <c r="D1679" s="80" t="s">
        <v>83</v>
      </c>
      <c r="E1679" s="27" t="s">
        <v>1285</v>
      </c>
      <c r="F1679" s="80" t="s">
        <v>109</v>
      </c>
      <c r="G1679" s="81" t="s">
        <v>1286</v>
      </c>
      <c r="H1679" s="80" t="s">
        <v>1287</v>
      </c>
      <c r="I1679" s="202">
        <v>45986</v>
      </c>
      <c r="J1679" s="80" t="s">
        <v>3810</v>
      </c>
      <c r="K1679" s="80" t="s">
        <v>112</v>
      </c>
      <c r="L1679" s="84" t="s">
        <v>113</v>
      </c>
      <c r="M1679" s="84" t="s">
        <v>221</v>
      </c>
      <c r="N1679" s="201" t="s">
        <v>72</v>
      </c>
      <c r="O1679" s="200" t="s">
        <v>8008</v>
      </c>
      <c r="P1679" s="194" t="s">
        <v>8009</v>
      </c>
      <c r="Q1679" s="49" t="s">
        <v>75</v>
      </c>
      <c r="R1679" s="25" t="s">
        <v>91</v>
      </c>
      <c r="S1679" s="55">
        <v>20</v>
      </c>
      <c r="T1679" s="26">
        <v>66</v>
      </c>
      <c r="U1679" s="28" t="s">
        <v>8010</v>
      </c>
      <c r="V1679" s="66"/>
      <c r="W1679" s="106"/>
      <c r="X1679" s="106" t="s">
        <v>176</v>
      </c>
      <c r="Y1679" s="209"/>
      <c r="Z1679" s="75" t="s">
        <v>93</v>
      </c>
      <c r="AA1679" s="207"/>
    </row>
    <row r="1680" spans="1:27" ht="98.25" customHeight="1">
      <c r="A1680" s="98">
        <v>1670</v>
      </c>
      <c r="B1680" s="79" t="s">
        <v>8011</v>
      </c>
      <c r="C1680" s="148" t="s">
        <v>9</v>
      </c>
      <c r="D1680" s="80" t="s">
        <v>83</v>
      </c>
      <c r="E1680" s="27" t="s">
        <v>1310</v>
      </c>
      <c r="F1680" s="80" t="s">
        <v>120</v>
      </c>
      <c r="G1680" s="81" t="s">
        <v>1286</v>
      </c>
      <c r="H1680" s="80" t="s">
        <v>1311</v>
      </c>
      <c r="I1680" s="202">
        <v>45986</v>
      </c>
      <c r="J1680" s="80" t="s">
        <v>3821</v>
      </c>
      <c r="K1680" s="80" t="s">
        <v>4386</v>
      </c>
      <c r="L1680" s="84" t="s">
        <v>122</v>
      </c>
      <c r="M1680" s="84" t="s">
        <v>252</v>
      </c>
      <c r="N1680" s="201" t="s">
        <v>1191</v>
      </c>
      <c r="O1680" s="200" t="s">
        <v>8012</v>
      </c>
      <c r="P1680" s="194" t="s">
        <v>8013</v>
      </c>
      <c r="Q1680" s="49" t="s">
        <v>75</v>
      </c>
      <c r="R1680" s="25" t="s">
        <v>91</v>
      </c>
      <c r="S1680" s="55">
        <v>21</v>
      </c>
      <c r="T1680" s="26">
        <v>67</v>
      </c>
      <c r="U1680" s="28" t="s">
        <v>8014</v>
      </c>
      <c r="V1680" s="66"/>
      <c r="W1680" s="106"/>
      <c r="X1680" s="106" t="s">
        <v>176</v>
      </c>
      <c r="Y1680" s="209"/>
      <c r="Z1680" s="75" t="s">
        <v>93</v>
      </c>
      <c r="AA1680" s="207"/>
    </row>
    <row r="1681" spans="1:28" ht="95.25" customHeight="1">
      <c r="A1681" s="98">
        <v>1671</v>
      </c>
      <c r="B1681" s="79" t="s">
        <v>8015</v>
      </c>
      <c r="C1681" s="148" t="s">
        <v>9</v>
      </c>
      <c r="D1681" s="80" t="s">
        <v>83</v>
      </c>
      <c r="E1681" s="27" t="s">
        <v>1310</v>
      </c>
      <c r="F1681" s="80" t="s">
        <v>120</v>
      </c>
      <c r="G1681" s="81" t="s">
        <v>1286</v>
      </c>
      <c r="H1681" s="80" t="s">
        <v>1311</v>
      </c>
      <c r="I1681" s="202">
        <v>45986</v>
      </c>
      <c r="J1681" s="80" t="s">
        <v>3821</v>
      </c>
      <c r="K1681" s="80" t="s">
        <v>4386</v>
      </c>
      <c r="L1681" s="84" t="s">
        <v>122</v>
      </c>
      <c r="M1681" s="84" t="s">
        <v>252</v>
      </c>
      <c r="N1681" s="201" t="s">
        <v>1191</v>
      </c>
      <c r="O1681" s="200" t="s">
        <v>8016</v>
      </c>
      <c r="P1681" s="194" t="s">
        <v>8017</v>
      </c>
      <c r="Q1681" s="49" t="s">
        <v>75</v>
      </c>
      <c r="R1681" s="25" t="s">
        <v>91</v>
      </c>
      <c r="S1681" s="55">
        <v>23</v>
      </c>
      <c r="T1681" s="26">
        <v>68</v>
      </c>
      <c r="U1681" s="28" t="s">
        <v>8018</v>
      </c>
      <c r="V1681" s="66"/>
      <c r="W1681" s="106"/>
      <c r="X1681" s="106" t="s">
        <v>176</v>
      </c>
      <c r="Y1681" s="209"/>
      <c r="Z1681" s="75" t="s">
        <v>93</v>
      </c>
      <c r="AA1681" s="207"/>
    </row>
    <row r="1682" spans="1:28" ht="79.5" hidden="1" customHeight="1">
      <c r="A1682" s="98">
        <v>1672</v>
      </c>
      <c r="B1682" s="79" t="s">
        <v>8019</v>
      </c>
      <c r="C1682" s="148" t="s">
        <v>10</v>
      </c>
      <c r="D1682" s="80" t="s">
        <v>63</v>
      </c>
      <c r="E1682" s="27" t="s">
        <v>8020</v>
      </c>
      <c r="F1682" s="80" t="s">
        <v>120</v>
      </c>
      <c r="G1682" s="81" t="s">
        <v>8021</v>
      </c>
      <c r="H1682" s="80" t="s">
        <v>8022</v>
      </c>
      <c r="I1682" s="202">
        <v>45986</v>
      </c>
      <c r="J1682" s="80" t="s">
        <v>3505</v>
      </c>
      <c r="K1682" s="80" t="s">
        <v>69</v>
      </c>
      <c r="L1682" s="84" t="s">
        <v>251</v>
      </c>
      <c r="M1682" s="84" t="s">
        <v>252</v>
      </c>
      <c r="N1682" s="201" t="s">
        <v>72</v>
      </c>
      <c r="O1682" s="310" t="s">
        <v>8023</v>
      </c>
      <c r="P1682" s="194" t="s">
        <v>8024</v>
      </c>
      <c r="Q1682" s="49" t="s">
        <v>75</v>
      </c>
      <c r="R1682" s="25" t="s">
        <v>91</v>
      </c>
      <c r="S1682" s="55">
        <v>18</v>
      </c>
      <c r="T1682" s="26">
        <v>42</v>
      </c>
      <c r="U1682" s="28" t="s">
        <v>8025</v>
      </c>
      <c r="V1682" s="66"/>
      <c r="W1682" s="106"/>
      <c r="X1682" s="106" t="s">
        <v>176</v>
      </c>
      <c r="Y1682" s="209"/>
      <c r="Z1682" s="75" t="s">
        <v>93</v>
      </c>
      <c r="AA1682" s="207"/>
    </row>
    <row r="1683" spans="1:28" ht="87.75" hidden="1" customHeight="1">
      <c r="A1683" s="98">
        <v>1673</v>
      </c>
      <c r="B1683" s="79" t="s">
        <v>8026</v>
      </c>
      <c r="C1683" s="148" t="s">
        <v>8</v>
      </c>
      <c r="D1683" s="80" t="s">
        <v>63</v>
      </c>
      <c r="E1683" s="27" t="s">
        <v>7205</v>
      </c>
      <c r="F1683" s="80" t="s">
        <v>65</v>
      </c>
      <c r="G1683" s="81" t="s">
        <v>995</v>
      </c>
      <c r="H1683" s="80" t="s">
        <v>7206</v>
      </c>
      <c r="I1683" s="202">
        <v>45986</v>
      </c>
      <c r="J1683" s="80" t="s">
        <v>3517</v>
      </c>
      <c r="K1683" s="80" t="s">
        <v>299</v>
      </c>
      <c r="L1683" s="84" t="s">
        <v>300</v>
      </c>
      <c r="M1683" s="84" t="s">
        <v>784</v>
      </c>
      <c r="N1683" s="201" t="s">
        <v>72</v>
      </c>
      <c r="O1683" s="200" t="s">
        <v>8027</v>
      </c>
      <c r="P1683" s="194" t="s">
        <v>8028</v>
      </c>
      <c r="Q1683" s="49" t="s">
        <v>75</v>
      </c>
      <c r="R1683" s="25" t="s">
        <v>91</v>
      </c>
      <c r="S1683" s="55">
        <v>19</v>
      </c>
      <c r="T1683" s="26">
        <v>56</v>
      </c>
      <c r="U1683" s="28" t="s">
        <v>8029</v>
      </c>
      <c r="V1683" s="66"/>
      <c r="W1683" s="106"/>
      <c r="X1683" s="106" t="s">
        <v>176</v>
      </c>
      <c r="Y1683" s="209"/>
      <c r="Z1683" s="75" t="s">
        <v>93</v>
      </c>
      <c r="AA1683" s="207"/>
    </row>
    <row r="1684" spans="1:28" ht="57" hidden="1" customHeight="1">
      <c r="A1684" s="98">
        <v>1674</v>
      </c>
      <c r="B1684" s="79" t="s">
        <v>8030</v>
      </c>
      <c r="C1684" s="148" t="s">
        <v>8</v>
      </c>
      <c r="D1684" s="80" t="s">
        <v>63</v>
      </c>
      <c r="E1684" s="27" t="s">
        <v>7185</v>
      </c>
      <c r="F1684" s="80" t="s">
        <v>338</v>
      </c>
      <c r="G1684" s="81" t="s">
        <v>686</v>
      </c>
      <c r="H1684" s="80" t="s">
        <v>7186</v>
      </c>
      <c r="I1684" s="202">
        <v>45986</v>
      </c>
      <c r="J1684" s="80" t="s">
        <v>3505</v>
      </c>
      <c r="K1684" s="80" t="s">
        <v>69</v>
      </c>
      <c r="L1684" s="84" t="s">
        <v>100</v>
      </c>
      <c r="M1684" s="84" t="s">
        <v>252</v>
      </c>
      <c r="N1684" s="201" t="s">
        <v>72</v>
      </c>
      <c r="O1684" s="200" t="s">
        <v>8031</v>
      </c>
      <c r="P1684" s="194" t="s">
        <v>8032</v>
      </c>
      <c r="Q1684" s="49" t="s">
        <v>91</v>
      </c>
      <c r="R1684" s="25"/>
      <c r="S1684" s="55">
        <v>16</v>
      </c>
      <c r="T1684" s="26"/>
      <c r="U1684" s="28" t="s">
        <v>8033</v>
      </c>
      <c r="V1684" s="66"/>
      <c r="W1684" s="106"/>
      <c r="X1684" s="209"/>
      <c r="Y1684" s="209"/>
      <c r="Z1684" s="75" t="s">
        <v>193</v>
      </c>
      <c r="AA1684" s="207"/>
    </row>
    <row r="1685" spans="1:28" ht="83.25" hidden="1" customHeight="1">
      <c r="A1685" s="98">
        <v>1675</v>
      </c>
      <c r="B1685" s="79" t="s">
        <v>8034</v>
      </c>
      <c r="C1685" s="148" t="s">
        <v>8</v>
      </c>
      <c r="D1685" s="80" t="s">
        <v>63</v>
      </c>
      <c r="E1685" s="27" t="s">
        <v>8035</v>
      </c>
      <c r="F1685" s="80" t="s">
        <v>65</v>
      </c>
      <c r="G1685" s="81" t="s">
        <v>1419</v>
      </c>
      <c r="H1685" s="80" t="s">
        <v>8036</v>
      </c>
      <c r="I1685" s="202">
        <v>45987</v>
      </c>
      <c r="J1685" s="80" t="s">
        <v>3517</v>
      </c>
      <c r="K1685" s="80" t="s">
        <v>299</v>
      </c>
      <c r="L1685" s="84" t="s">
        <v>189</v>
      </c>
      <c r="M1685" s="84" t="s">
        <v>784</v>
      </c>
      <c r="N1685" s="201" t="s">
        <v>72</v>
      </c>
      <c r="O1685" s="200" t="s">
        <v>8037</v>
      </c>
      <c r="P1685" s="194" t="s">
        <v>8038</v>
      </c>
      <c r="Q1685" s="49" t="s">
        <v>91</v>
      </c>
      <c r="R1685" s="25"/>
      <c r="S1685" s="55">
        <v>7</v>
      </c>
      <c r="T1685" s="26"/>
      <c r="U1685" s="28" t="s">
        <v>8039</v>
      </c>
      <c r="V1685" s="66"/>
      <c r="W1685" s="106"/>
      <c r="X1685" s="209"/>
      <c r="Y1685" s="209"/>
      <c r="Z1685" s="75" t="s">
        <v>193</v>
      </c>
      <c r="AA1685" s="207"/>
    </row>
    <row r="1686" spans="1:28" ht="74.25" hidden="1" customHeight="1">
      <c r="A1686" s="98">
        <v>1676</v>
      </c>
      <c r="B1686" s="79" t="s">
        <v>8040</v>
      </c>
      <c r="C1686" s="148" t="s">
        <v>8</v>
      </c>
      <c r="D1686" s="80" t="s">
        <v>63</v>
      </c>
      <c r="E1686" s="27" t="s">
        <v>8035</v>
      </c>
      <c r="F1686" s="80" t="s">
        <v>65</v>
      </c>
      <c r="G1686" s="81" t="s">
        <v>1419</v>
      </c>
      <c r="H1686" s="80" t="s">
        <v>8036</v>
      </c>
      <c r="I1686" s="202">
        <v>45987</v>
      </c>
      <c r="J1686" s="80" t="s">
        <v>170</v>
      </c>
      <c r="K1686" s="80" t="s">
        <v>156</v>
      </c>
      <c r="L1686" s="84" t="s">
        <v>171</v>
      </c>
      <c r="M1686" s="84" t="s">
        <v>71</v>
      </c>
      <c r="N1686" s="201" t="s">
        <v>72</v>
      </c>
      <c r="O1686" s="200" t="s">
        <v>8041</v>
      </c>
      <c r="P1686" s="194" t="s">
        <v>8042</v>
      </c>
      <c r="Q1686" s="49" t="s">
        <v>75</v>
      </c>
      <c r="R1686" s="25" t="s">
        <v>91</v>
      </c>
      <c r="S1686" s="26">
        <v>18</v>
      </c>
      <c r="T1686" s="26">
        <v>66</v>
      </c>
      <c r="U1686" s="28" t="s">
        <v>8043</v>
      </c>
      <c r="V1686" s="66"/>
      <c r="W1686" s="106"/>
      <c r="X1686" s="106" t="s">
        <v>176</v>
      </c>
      <c r="Y1686" s="209"/>
      <c r="Z1686" s="75" t="s">
        <v>93</v>
      </c>
      <c r="AA1686" s="207"/>
    </row>
    <row r="1687" spans="1:28" ht="84" hidden="1" customHeight="1">
      <c r="A1687" s="98">
        <v>1677</v>
      </c>
      <c r="B1687" s="79" t="s">
        <v>8044</v>
      </c>
      <c r="C1687" s="148" t="s">
        <v>9</v>
      </c>
      <c r="D1687" s="80" t="s">
        <v>83</v>
      </c>
      <c r="E1687" s="27" t="s">
        <v>4477</v>
      </c>
      <c r="F1687" s="80" t="s">
        <v>284</v>
      </c>
      <c r="G1687" s="81" t="s">
        <v>4459</v>
      </c>
      <c r="H1687" s="80" t="s">
        <v>4478</v>
      </c>
      <c r="I1687" s="202">
        <v>45987</v>
      </c>
      <c r="J1687" s="80" t="s">
        <v>3505</v>
      </c>
      <c r="K1687" s="80" t="s">
        <v>69</v>
      </c>
      <c r="L1687" s="84" t="s">
        <v>251</v>
      </c>
      <c r="M1687" s="84" t="s">
        <v>252</v>
      </c>
      <c r="N1687" s="201" t="s">
        <v>920</v>
      </c>
      <c r="O1687" s="200" t="s">
        <v>8045</v>
      </c>
      <c r="P1687" s="194" t="s">
        <v>8046</v>
      </c>
      <c r="Q1687" s="49" t="s">
        <v>75</v>
      </c>
      <c r="R1687" s="25" t="s">
        <v>91</v>
      </c>
      <c r="S1687" s="55">
        <v>18</v>
      </c>
      <c r="T1687" s="26">
        <v>42</v>
      </c>
      <c r="U1687" s="28" t="s">
        <v>8047</v>
      </c>
      <c r="V1687" s="66"/>
      <c r="W1687" s="106"/>
      <c r="X1687" s="106" t="s">
        <v>176</v>
      </c>
      <c r="Y1687" s="209"/>
      <c r="Z1687" s="75" t="s">
        <v>93</v>
      </c>
      <c r="AA1687" s="207"/>
    </row>
    <row r="1688" spans="1:28" ht="35.25" hidden="1" customHeight="1">
      <c r="A1688" s="98">
        <v>1678</v>
      </c>
      <c r="B1688" s="79" t="s">
        <v>8048</v>
      </c>
      <c r="C1688" s="148" t="s">
        <v>8</v>
      </c>
      <c r="D1688" s="80" t="s">
        <v>83</v>
      </c>
      <c r="E1688" s="27" t="s">
        <v>386</v>
      </c>
      <c r="F1688" s="80" t="s">
        <v>65</v>
      </c>
      <c r="G1688" s="81" t="s">
        <v>339</v>
      </c>
      <c r="H1688" s="80" t="s">
        <v>387</v>
      </c>
      <c r="I1688" s="202">
        <v>45987</v>
      </c>
      <c r="J1688" s="80" t="s">
        <v>3999</v>
      </c>
      <c r="K1688" s="80" t="s">
        <v>198</v>
      </c>
      <c r="L1688" s="84" t="s">
        <v>199</v>
      </c>
      <c r="M1688" s="84" t="s">
        <v>114</v>
      </c>
      <c r="N1688" s="201" t="s">
        <v>72</v>
      </c>
      <c r="O1688" s="200" t="s">
        <v>8049</v>
      </c>
      <c r="P1688" s="194" t="s">
        <v>8046</v>
      </c>
      <c r="Q1688" s="49" t="s">
        <v>75</v>
      </c>
      <c r="R1688" s="25" t="s">
        <v>75</v>
      </c>
      <c r="S1688" s="55">
        <v>18</v>
      </c>
      <c r="T1688" s="26">
        <v>70</v>
      </c>
      <c r="U1688" s="28" t="s">
        <v>8050</v>
      </c>
      <c r="V1688" s="66" t="s">
        <v>75</v>
      </c>
      <c r="W1688" s="106" t="s">
        <v>8051</v>
      </c>
      <c r="X1688" s="106" t="s">
        <v>176</v>
      </c>
      <c r="Y1688" s="209"/>
      <c r="Z1688" s="75" t="s">
        <v>106</v>
      </c>
      <c r="AA1688" s="207"/>
    </row>
    <row r="1689" spans="1:28" ht="43.5" hidden="1" customHeight="1">
      <c r="A1689" s="98">
        <v>1679</v>
      </c>
      <c r="B1689" s="79" t="s">
        <v>8052</v>
      </c>
      <c r="C1689" s="148" t="s">
        <v>5211</v>
      </c>
      <c r="D1689" s="80" t="s">
        <v>83</v>
      </c>
      <c r="E1689" s="27" t="s">
        <v>8053</v>
      </c>
      <c r="F1689" s="80" t="s">
        <v>109</v>
      </c>
      <c r="G1689" s="81" t="s">
        <v>85</v>
      </c>
      <c r="H1689" s="80" t="s">
        <v>69</v>
      </c>
      <c r="I1689" s="202">
        <v>45987</v>
      </c>
      <c r="J1689" s="80" t="s">
        <v>3517</v>
      </c>
      <c r="K1689" s="80" t="s">
        <v>5213</v>
      </c>
      <c r="L1689" s="84" t="s">
        <v>300</v>
      </c>
      <c r="M1689" s="84" t="s">
        <v>200</v>
      </c>
      <c r="N1689" s="201" t="s">
        <v>72</v>
      </c>
      <c r="O1689" s="200" t="s">
        <v>8054</v>
      </c>
      <c r="P1689" s="194" t="s">
        <v>8055</v>
      </c>
      <c r="Q1689" s="49" t="s">
        <v>75</v>
      </c>
      <c r="R1689" s="25" t="s">
        <v>504</v>
      </c>
      <c r="S1689" s="55">
        <v>24</v>
      </c>
      <c r="T1689" s="26"/>
      <c r="U1689" s="28" t="s">
        <v>7363</v>
      </c>
      <c r="V1689" s="66"/>
      <c r="W1689" s="106"/>
      <c r="X1689" s="106" t="s">
        <v>176</v>
      </c>
      <c r="Y1689" s="209"/>
      <c r="Z1689" s="210"/>
      <c r="AA1689" s="207"/>
    </row>
    <row r="1690" spans="1:28" ht="33">
      <c r="A1690" s="98">
        <v>1680</v>
      </c>
      <c r="B1690" s="79" t="s">
        <v>8056</v>
      </c>
      <c r="C1690" s="148" t="s">
        <v>9</v>
      </c>
      <c r="D1690" s="80" t="s">
        <v>63</v>
      </c>
      <c r="E1690" s="27" t="s">
        <v>5034</v>
      </c>
      <c r="F1690" s="80" t="s">
        <v>120</v>
      </c>
      <c r="G1690" s="81" t="s">
        <v>8057</v>
      </c>
      <c r="H1690" s="80" t="s">
        <v>5035</v>
      </c>
      <c r="I1690" s="202">
        <v>45987</v>
      </c>
      <c r="J1690" s="80" t="s">
        <v>4385</v>
      </c>
      <c r="K1690" s="80" t="s">
        <v>4386</v>
      </c>
      <c r="L1690" s="84" t="s">
        <v>4387</v>
      </c>
      <c r="M1690" s="84" t="s">
        <v>252</v>
      </c>
      <c r="N1690" s="201" t="s">
        <v>1080</v>
      </c>
      <c r="O1690" s="200" t="s">
        <v>8058</v>
      </c>
      <c r="P1690" s="194" t="s">
        <v>8059</v>
      </c>
      <c r="Q1690" s="49" t="s">
        <v>91</v>
      </c>
      <c r="R1690" s="25"/>
      <c r="S1690" s="55">
        <v>14</v>
      </c>
      <c r="T1690" s="26"/>
      <c r="U1690" s="28" t="s">
        <v>8060</v>
      </c>
      <c r="V1690" s="66"/>
      <c r="W1690" s="138"/>
      <c r="X1690" s="209"/>
      <c r="Y1690" s="209"/>
      <c r="Z1690" s="75" t="s">
        <v>193</v>
      </c>
      <c r="AA1690" s="207"/>
      <c r="AB1690" s="25" t="s">
        <v>75</v>
      </c>
    </row>
    <row r="1691" spans="1:28" ht="33" hidden="1">
      <c r="A1691" s="98">
        <v>1681</v>
      </c>
      <c r="B1691" s="79" t="s">
        <v>8061</v>
      </c>
      <c r="C1691" s="148" t="s">
        <v>237</v>
      </c>
      <c r="D1691" s="80" t="s">
        <v>83</v>
      </c>
      <c r="E1691" s="27" t="s">
        <v>523</v>
      </c>
      <c r="F1691" s="80" t="s">
        <v>109</v>
      </c>
      <c r="G1691" s="81" t="s">
        <v>290</v>
      </c>
      <c r="H1691" s="80" t="s">
        <v>524</v>
      </c>
      <c r="I1691" s="202">
        <v>45988</v>
      </c>
      <c r="J1691" s="80" t="s">
        <v>3941</v>
      </c>
      <c r="K1691" s="80" t="s">
        <v>146</v>
      </c>
      <c r="L1691" s="84" t="s">
        <v>122</v>
      </c>
      <c r="M1691" s="84" t="s">
        <v>784</v>
      </c>
      <c r="N1691" s="201" t="s">
        <v>72</v>
      </c>
      <c r="O1691" s="200" t="s">
        <v>8062</v>
      </c>
      <c r="P1691" s="194" t="s">
        <v>8063</v>
      </c>
      <c r="Q1691" s="49" t="s">
        <v>75</v>
      </c>
      <c r="R1691" s="25" t="s">
        <v>75</v>
      </c>
      <c r="S1691" s="55">
        <v>22</v>
      </c>
      <c r="T1691" s="26">
        <v>72</v>
      </c>
      <c r="U1691" s="28" t="s">
        <v>8064</v>
      </c>
      <c r="V1691" s="66"/>
      <c r="W1691" s="138"/>
      <c r="X1691" s="106" t="s">
        <v>176</v>
      </c>
      <c r="Y1691" s="209"/>
      <c r="Z1691" s="75" t="s">
        <v>79</v>
      </c>
      <c r="AA1691" s="207"/>
    </row>
    <row r="1692" spans="1:28" ht="49.5" hidden="1">
      <c r="A1692" s="98">
        <v>1682</v>
      </c>
      <c r="B1692" s="79" t="s">
        <v>8065</v>
      </c>
      <c r="C1692" s="148" t="s">
        <v>8</v>
      </c>
      <c r="D1692" s="80" t="s">
        <v>63</v>
      </c>
      <c r="E1692" s="27" t="s">
        <v>8066</v>
      </c>
      <c r="F1692" s="80" t="s">
        <v>109</v>
      </c>
      <c r="G1692" s="81" t="s">
        <v>1701</v>
      </c>
      <c r="H1692" s="80" t="s">
        <v>8067</v>
      </c>
      <c r="I1692" s="202">
        <v>45988</v>
      </c>
      <c r="J1692" s="80" t="s">
        <v>3505</v>
      </c>
      <c r="K1692" s="80" t="s">
        <v>69</v>
      </c>
      <c r="L1692" s="84" t="s">
        <v>100</v>
      </c>
      <c r="M1692" s="84" t="s">
        <v>595</v>
      </c>
      <c r="N1692" s="201" t="s">
        <v>72</v>
      </c>
      <c r="O1692" s="200" t="s">
        <v>8068</v>
      </c>
      <c r="P1692" s="194" t="s">
        <v>8069</v>
      </c>
      <c r="Q1692" s="49" t="s">
        <v>75</v>
      </c>
      <c r="R1692" s="25" t="s">
        <v>91</v>
      </c>
      <c r="S1692" s="55">
        <v>24</v>
      </c>
      <c r="T1692" s="26">
        <v>56</v>
      </c>
      <c r="U1692" s="28" t="s">
        <v>8070</v>
      </c>
      <c r="V1692" s="66"/>
      <c r="W1692" s="138"/>
      <c r="X1692" s="106" t="s">
        <v>176</v>
      </c>
      <c r="Y1692" s="209"/>
      <c r="Z1692" s="75" t="s">
        <v>93</v>
      </c>
      <c r="AA1692" s="207"/>
    </row>
    <row r="1693" spans="1:28" ht="54.75" hidden="1" customHeight="1">
      <c r="A1693" s="98">
        <v>1683</v>
      </c>
      <c r="B1693" s="79" t="s">
        <v>8071</v>
      </c>
      <c r="C1693" s="148" t="s">
        <v>5211</v>
      </c>
      <c r="D1693" s="80" t="s">
        <v>83</v>
      </c>
      <c r="E1693" s="27" t="s">
        <v>5872</v>
      </c>
      <c r="F1693" s="80" t="s">
        <v>109</v>
      </c>
      <c r="G1693" s="81" t="s">
        <v>85</v>
      </c>
      <c r="H1693" s="80" t="s">
        <v>4386</v>
      </c>
      <c r="I1693" s="202">
        <v>45988</v>
      </c>
      <c r="J1693" s="80" t="s">
        <v>4385</v>
      </c>
      <c r="K1693" s="80" t="s">
        <v>5213</v>
      </c>
      <c r="L1693" s="84" t="s">
        <v>4387</v>
      </c>
      <c r="M1693" s="84" t="s">
        <v>252</v>
      </c>
      <c r="N1693" s="201" t="s">
        <v>1191</v>
      </c>
      <c r="O1693" s="200" t="s">
        <v>8072</v>
      </c>
      <c r="P1693" s="194" t="s">
        <v>8073</v>
      </c>
      <c r="Q1693" s="49" t="s">
        <v>75</v>
      </c>
      <c r="R1693" s="25" t="s">
        <v>91</v>
      </c>
      <c r="S1693" s="55">
        <v>18</v>
      </c>
      <c r="T1693" s="26">
        <v>53</v>
      </c>
      <c r="U1693" s="28" t="s">
        <v>8074</v>
      </c>
      <c r="V1693" s="66"/>
      <c r="W1693" s="138"/>
      <c r="X1693" s="106" t="s">
        <v>176</v>
      </c>
      <c r="Y1693" s="209"/>
      <c r="Z1693" s="210"/>
      <c r="AA1693" s="207"/>
    </row>
    <row r="1694" spans="1:28" ht="60" hidden="1" customHeight="1">
      <c r="A1694" s="98">
        <v>1684</v>
      </c>
      <c r="B1694" s="79" t="s">
        <v>8075</v>
      </c>
      <c r="C1694" s="148" t="s">
        <v>8</v>
      </c>
      <c r="D1694" s="80" t="s">
        <v>83</v>
      </c>
      <c r="E1694" s="27" t="s">
        <v>269</v>
      </c>
      <c r="F1694" s="80" t="s">
        <v>120</v>
      </c>
      <c r="G1694" s="81" t="s">
        <v>248</v>
      </c>
      <c r="H1694" s="80" t="s">
        <v>270</v>
      </c>
      <c r="I1694" s="202">
        <v>45994</v>
      </c>
      <c r="J1694" s="80" t="s">
        <v>3505</v>
      </c>
      <c r="K1694" s="80" t="s">
        <v>69</v>
      </c>
      <c r="L1694" s="84" t="s">
        <v>100</v>
      </c>
      <c r="M1694" s="84" t="s">
        <v>252</v>
      </c>
      <c r="N1694" s="201" t="s">
        <v>920</v>
      </c>
      <c r="O1694" s="200" t="s">
        <v>8076</v>
      </c>
      <c r="P1694" s="194" t="s">
        <v>8077</v>
      </c>
      <c r="Q1694" s="292" t="s">
        <v>75</v>
      </c>
      <c r="R1694" s="25" t="s">
        <v>91</v>
      </c>
      <c r="S1694" s="315">
        <v>18</v>
      </c>
      <c r="T1694" s="316">
        <v>46</v>
      </c>
      <c r="U1694" s="289" t="s">
        <v>8078</v>
      </c>
      <c r="V1694" s="66" t="s">
        <v>75</v>
      </c>
      <c r="W1694" s="138"/>
      <c r="X1694" s="106"/>
      <c r="Y1694" s="209"/>
      <c r="Z1694" s="210"/>
      <c r="AA1694" s="207"/>
    </row>
    <row r="1695" spans="1:28" ht="48.75" hidden="1" customHeight="1">
      <c r="A1695" s="98">
        <v>1685</v>
      </c>
      <c r="B1695" s="79" t="s">
        <v>8079</v>
      </c>
      <c r="C1695" s="148" t="s">
        <v>8</v>
      </c>
      <c r="D1695" s="80" t="s">
        <v>83</v>
      </c>
      <c r="E1695" s="27" t="s">
        <v>269</v>
      </c>
      <c r="F1695" s="80" t="s">
        <v>120</v>
      </c>
      <c r="G1695" s="81" t="s">
        <v>248</v>
      </c>
      <c r="H1695" s="80" t="s">
        <v>270</v>
      </c>
      <c r="I1695" s="202">
        <v>45994</v>
      </c>
      <c r="J1695" s="80" t="s">
        <v>3505</v>
      </c>
      <c r="K1695" s="80" t="s">
        <v>69</v>
      </c>
      <c r="L1695" s="84" t="s">
        <v>100</v>
      </c>
      <c r="M1695" s="84" t="s">
        <v>252</v>
      </c>
      <c r="N1695" s="201" t="s">
        <v>920</v>
      </c>
      <c r="O1695" s="200" t="s">
        <v>8080</v>
      </c>
      <c r="P1695" s="194" t="s">
        <v>8081</v>
      </c>
      <c r="Q1695" s="292" t="s">
        <v>75</v>
      </c>
      <c r="R1695" s="25" t="s">
        <v>75</v>
      </c>
      <c r="S1695" s="317">
        <v>24</v>
      </c>
      <c r="T1695" s="293">
        <v>72</v>
      </c>
      <c r="U1695" s="289" t="s">
        <v>8082</v>
      </c>
      <c r="V1695" s="66" t="s">
        <v>75</v>
      </c>
      <c r="W1695" s="138"/>
      <c r="X1695" s="106"/>
      <c r="Y1695" s="209"/>
      <c r="Z1695" s="210"/>
      <c r="AA1695" s="207"/>
    </row>
    <row r="1696" spans="1:28" ht="68.25" hidden="1" customHeight="1">
      <c r="A1696" s="98">
        <v>1686</v>
      </c>
      <c r="B1696" s="79" t="s">
        <v>8083</v>
      </c>
      <c r="C1696" s="148" t="s">
        <v>8</v>
      </c>
      <c r="D1696" s="80" t="s">
        <v>83</v>
      </c>
      <c r="E1696" s="27" t="s">
        <v>2122</v>
      </c>
      <c r="F1696" s="80" t="s">
        <v>338</v>
      </c>
      <c r="G1696" s="81" t="s">
        <v>456</v>
      </c>
      <c r="H1696" s="80" t="s">
        <v>2123</v>
      </c>
      <c r="I1696" s="202">
        <v>45994</v>
      </c>
      <c r="J1696" s="80" t="s">
        <v>145</v>
      </c>
      <c r="K1696" s="80" t="s">
        <v>146</v>
      </c>
      <c r="L1696" s="84" t="s">
        <v>147</v>
      </c>
      <c r="M1696" s="84" t="s">
        <v>148</v>
      </c>
      <c r="N1696" s="201" t="s">
        <v>1191</v>
      </c>
      <c r="O1696" s="200" t="s">
        <v>8084</v>
      </c>
      <c r="P1696" s="217" t="s">
        <v>8085</v>
      </c>
      <c r="Q1696" s="292" t="s">
        <v>75</v>
      </c>
      <c r="R1696" s="293" t="s">
        <v>504</v>
      </c>
      <c r="S1696" s="291" t="s">
        <v>76</v>
      </c>
      <c r="T1696" s="290" t="s">
        <v>76</v>
      </c>
      <c r="U1696" s="289" t="s">
        <v>76</v>
      </c>
      <c r="V1696" s="66"/>
      <c r="W1696" s="138"/>
      <c r="X1696" s="106"/>
      <c r="Y1696" s="209"/>
      <c r="Z1696" s="210"/>
      <c r="AA1696" s="207"/>
    </row>
    <row r="1697" spans="1:27" ht="85.5" hidden="1" customHeight="1">
      <c r="A1697" s="98">
        <v>1687</v>
      </c>
      <c r="B1697" s="79" t="s">
        <v>8086</v>
      </c>
      <c r="C1697" s="148" t="s">
        <v>2146</v>
      </c>
      <c r="D1697" s="80" t="s">
        <v>83</v>
      </c>
      <c r="E1697" s="27" t="s">
        <v>5646</v>
      </c>
      <c r="F1697" s="80" t="s">
        <v>109</v>
      </c>
      <c r="G1697" s="81" t="s">
        <v>5640</v>
      </c>
      <c r="H1697" s="80" t="s">
        <v>5647</v>
      </c>
      <c r="I1697" s="202">
        <v>45994</v>
      </c>
      <c r="J1697" s="80" t="s">
        <v>3505</v>
      </c>
      <c r="K1697" s="286" t="s">
        <v>69</v>
      </c>
      <c r="L1697" s="84" t="s">
        <v>251</v>
      </c>
      <c r="M1697" s="84" t="s">
        <v>252</v>
      </c>
      <c r="N1697" s="201" t="s">
        <v>920</v>
      </c>
      <c r="O1697" s="200" t="s">
        <v>8087</v>
      </c>
      <c r="P1697" s="217" t="s">
        <v>8088</v>
      </c>
      <c r="Q1697" s="294" t="s">
        <v>91</v>
      </c>
      <c r="R1697" s="293" t="s">
        <v>76</v>
      </c>
      <c r="S1697" s="317">
        <v>8</v>
      </c>
      <c r="T1697" s="293" t="s">
        <v>76</v>
      </c>
      <c r="U1697" s="289" t="s">
        <v>8089</v>
      </c>
      <c r="V1697" s="66"/>
      <c r="W1697" s="138"/>
      <c r="X1697" s="106"/>
      <c r="Y1697" s="209"/>
      <c r="Z1697" s="210"/>
      <c r="AA1697" s="207"/>
    </row>
    <row r="1698" spans="1:27" ht="69.75" customHeight="1">
      <c r="A1698" s="98">
        <v>1688</v>
      </c>
      <c r="B1698" s="79" t="s">
        <v>8090</v>
      </c>
      <c r="C1698" s="148" t="s">
        <v>9</v>
      </c>
      <c r="D1698" s="80" t="s">
        <v>3539</v>
      </c>
      <c r="E1698" s="27" t="s">
        <v>4509</v>
      </c>
      <c r="F1698" s="80" t="s">
        <v>120</v>
      </c>
      <c r="G1698" s="81" t="s">
        <v>4497</v>
      </c>
      <c r="H1698" s="80" t="s">
        <v>4510</v>
      </c>
      <c r="I1698" s="202">
        <v>45995</v>
      </c>
      <c r="J1698" s="80" t="s">
        <v>4385</v>
      </c>
      <c r="K1698" s="286" t="s">
        <v>4386</v>
      </c>
      <c r="L1698" s="84" t="s">
        <v>4387</v>
      </c>
      <c r="M1698" s="84" t="s">
        <v>252</v>
      </c>
      <c r="N1698" s="201" t="s">
        <v>1191</v>
      </c>
      <c r="O1698" s="200" t="s">
        <v>8091</v>
      </c>
      <c r="P1698" s="217" t="s">
        <v>8092</v>
      </c>
      <c r="Q1698" s="292" t="s">
        <v>75</v>
      </c>
      <c r="R1698" s="293" t="s">
        <v>91</v>
      </c>
      <c r="S1698" s="291" t="s">
        <v>76</v>
      </c>
      <c r="T1698" s="290" t="s">
        <v>76</v>
      </c>
      <c r="U1698" s="289" t="s">
        <v>8093</v>
      </c>
      <c r="V1698" s="66"/>
      <c r="W1698" s="138"/>
      <c r="X1698" s="106"/>
      <c r="Y1698" s="209"/>
      <c r="Z1698" s="210"/>
      <c r="AA1698" s="207"/>
    </row>
    <row r="1699" spans="1:27" ht="74.25" hidden="1" customHeight="1">
      <c r="A1699" s="98">
        <v>1689</v>
      </c>
      <c r="B1699" s="79" t="s">
        <v>8094</v>
      </c>
      <c r="C1699" s="148" t="s">
        <v>8</v>
      </c>
      <c r="D1699" s="80" t="s">
        <v>83</v>
      </c>
      <c r="E1699" s="27" t="s">
        <v>337</v>
      </c>
      <c r="F1699" s="80" t="s">
        <v>338</v>
      </c>
      <c r="G1699" s="81" t="s">
        <v>339</v>
      </c>
      <c r="H1699" s="80" t="s">
        <v>340</v>
      </c>
      <c r="I1699" s="202">
        <v>45995</v>
      </c>
      <c r="J1699" s="80" t="s">
        <v>3810</v>
      </c>
      <c r="K1699" s="286" t="s">
        <v>198</v>
      </c>
      <c r="L1699" s="84" t="s">
        <v>113</v>
      </c>
      <c r="M1699" s="84" t="s">
        <v>221</v>
      </c>
      <c r="N1699" s="201" t="s">
        <v>72</v>
      </c>
      <c r="O1699" s="200" t="s">
        <v>8095</v>
      </c>
      <c r="P1699" s="217" t="s">
        <v>8096</v>
      </c>
      <c r="Q1699" s="292" t="s">
        <v>75</v>
      </c>
      <c r="R1699" s="293" t="s">
        <v>504</v>
      </c>
      <c r="S1699" s="291" t="s">
        <v>76</v>
      </c>
      <c r="T1699" s="290" t="s">
        <v>76</v>
      </c>
      <c r="U1699" s="289" t="s">
        <v>8097</v>
      </c>
      <c r="V1699" s="66"/>
      <c r="W1699" s="138"/>
      <c r="X1699" s="106"/>
      <c r="Y1699" s="209"/>
      <c r="Z1699" s="210"/>
      <c r="AA1699" s="207"/>
    </row>
    <row r="1700" spans="1:27" ht="65.25" hidden="1" customHeight="1">
      <c r="A1700" s="98">
        <v>1690</v>
      </c>
      <c r="B1700" s="79" t="s">
        <v>8098</v>
      </c>
      <c r="C1700" s="148" t="s">
        <v>8</v>
      </c>
      <c r="D1700" s="80" t="s">
        <v>63</v>
      </c>
      <c r="E1700" s="27" t="s">
        <v>3208</v>
      </c>
      <c r="F1700" s="80" t="s">
        <v>65</v>
      </c>
      <c r="G1700" s="81" t="s">
        <v>2762</v>
      </c>
      <c r="H1700" s="80" t="s">
        <v>3209</v>
      </c>
      <c r="I1700" s="202">
        <v>45995</v>
      </c>
      <c r="J1700" s="80" t="s">
        <v>7329</v>
      </c>
      <c r="K1700" s="286" t="s">
        <v>69</v>
      </c>
      <c r="L1700" s="84" t="s">
        <v>70</v>
      </c>
      <c r="M1700" s="84" t="s">
        <v>114</v>
      </c>
      <c r="N1700" s="201" t="s">
        <v>72</v>
      </c>
      <c r="O1700" s="200" t="s">
        <v>8099</v>
      </c>
      <c r="P1700" s="217" t="s">
        <v>8100</v>
      </c>
      <c r="Q1700" s="292" t="s">
        <v>75</v>
      </c>
      <c r="R1700" s="293" t="s">
        <v>91</v>
      </c>
      <c r="S1700" s="317">
        <v>18</v>
      </c>
      <c r="T1700" s="293">
        <v>46</v>
      </c>
      <c r="U1700" s="289" t="s">
        <v>8101</v>
      </c>
      <c r="V1700" s="66"/>
      <c r="W1700" s="138"/>
      <c r="X1700" s="106"/>
      <c r="Y1700" s="209"/>
      <c r="Z1700" s="210"/>
      <c r="AA1700" s="207"/>
    </row>
    <row r="1701" spans="1:27" ht="72.75" hidden="1" customHeight="1">
      <c r="A1701" s="98">
        <v>1691</v>
      </c>
      <c r="B1701" s="79" t="s">
        <v>8102</v>
      </c>
      <c r="C1701" s="148" t="s">
        <v>8</v>
      </c>
      <c r="D1701" s="80" t="s">
        <v>83</v>
      </c>
      <c r="E1701" s="27" t="s">
        <v>185</v>
      </c>
      <c r="F1701" s="80" t="s">
        <v>120</v>
      </c>
      <c r="G1701" s="81" t="s">
        <v>96</v>
      </c>
      <c r="H1701" s="80" t="s">
        <v>186</v>
      </c>
      <c r="I1701" s="202">
        <v>45996</v>
      </c>
      <c r="J1701" s="80" t="s">
        <v>3595</v>
      </c>
      <c r="K1701" s="286" t="s">
        <v>198</v>
      </c>
      <c r="L1701" s="84" t="s">
        <v>70</v>
      </c>
      <c r="M1701" s="84" t="s">
        <v>784</v>
      </c>
      <c r="N1701" s="201" t="s">
        <v>72</v>
      </c>
      <c r="O1701" s="200" t="s">
        <v>8103</v>
      </c>
      <c r="P1701" s="217" t="s">
        <v>8104</v>
      </c>
      <c r="Q1701" s="292" t="s">
        <v>75</v>
      </c>
      <c r="R1701" s="293" t="s">
        <v>91</v>
      </c>
      <c r="S1701" s="291" t="s">
        <v>76</v>
      </c>
      <c r="T1701" s="290" t="s">
        <v>76</v>
      </c>
      <c r="U1701" s="289" t="s">
        <v>76</v>
      </c>
      <c r="V1701" s="66"/>
      <c r="W1701" s="138"/>
      <c r="X1701" s="106"/>
      <c r="Y1701" s="209"/>
      <c r="Z1701" s="210"/>
      <c r="AA1701" s="207"/>
    </row>
    <row r="1702" spans="1:27" ht="160.5" hidden="1" customHeight="1">
      <c r="A1702" s="98">
        <v>1692</v>
      </c>
      <c r="B1702" s="79" t="s">
        <v>8105</v>
      </c>
      <c r="C1702" s="148" t="s">
        <v>8</v>
      </c>
      <c r="D1702" s="80" t="s">
        <v>63</v>
      </c>
      <c r="E1702" s="27" t="s">
        <v>439</v>
      </c>
      <c r="F1702" s="80" t="s">
        <v>109</v>
      </c>
      <c r="G1702" s="81" t="s">
        <v>440</v>
      </c>
      <c r="H1702" s="80" t="s">
        <v>441</v>
      </c>
      <c r="I1702" s="202">
        <v>45996</v>
      </c>
      <c r="J1702" s="80" t="s">
        <v>145</v>
      </c>
      <c r="K1702" s="286" t="s">
        <v>146</v>
      </c>
      <c r="L1702" s="84" t="s">
        <v>147</v>
      </c>
      <c r="M1702" s="84" t="s">
        <v>148</v>
      </c>
      <c r="N1702" s="201" t="s">
        <v>72</v>
      </c>
      <c r="O1702" s="200" t="s">
        <v>8106</v>
      </c>
      <c r="P1702" s="217" t="s">
        <v>8107</v>
      </c>
      <c r="Q1702" s="292" t="s">
        <v>75</v>
      </c>
      <c r="R1702" s="293" t="s">
        <v>91</v>
      </c>
      <c r="S1702" s="291" t="s">
        <v>76</v>
      </c>
      <c r="T1702" s="290" t="s">
        <v>76</v>
      </c>
      <c r="U1702" s="289" t="s">
        <v>76</v>
      </c>
      <c r="V1702" s="66"/>
      <c r="W1702" s="138"/>
      <c r="X1702" s="106"/>
      <c r="Y1702" s="209"/>
      <c r="Z1702" s="210"/>
      <c r="AA1702" s="207"/>
    </row>
    <row r="1703" spans="1:27" ht="77.25" hidden="1" customHeight="1">
      <c r="A1703" s="98">
        <v>1693</v>
      </c>
      <c r="B1703" s="79" t="s">
        <v>8108</v>
      </c>
      <c r="C1703" s="148" t="s">
        <v>10</v>
      </c>
      <c r="D1703" s="80" t="s">
        <v>63</v>
      </c>
      <c r="E1703" s="27" t="s">
        <v>8109</v>
      </c>
      <c r="F1703" s="80" t="s">
        <v>284</v>
      </c>
      <c r="G1703" s="81" t="s">
        <v>3198</v>
      </c>
      <c r="H1703" s="80" t="s">
        <v>8110</v>
      </c>
      <c r="I1703" s="202">
        <v>46001</v>
      </c>
      <c r="J1703" s="80" t="s">
        <v>3505</v>
      </c>
      <c r="K1703" s="286" t="s">
        <v>69</v>
      </c>
      <c r="L1703" s="84" t="s">
        <v>70</v>
      </c>
      <c r="M1703" s="84" t="s">
        <v>601</v>
      </c>
      <c r="N1703" s="201" t="s">
        <v>72</v>
      </c>
      <c r="O1703" s="310" t="s">
        <v>8111</v>
      </c>
      <c r="P1703" s="217" t="s">
        <v>8112</v>
      </c>
      <c r="Q1703" s="292" t="s">
        <v>75</v>
      </c>
      <c r="R1703" s="293" t="s">
        <v>91</v>
      </c>
      <c r="S1703" s="317">
        <v>18</v>
      </c>
      <c r="T1703" s="293">
        <v>42</v>
      </c>
      <c r="U1703" s="289" t="s">
        <v>8113</v>
      </c>
      <c r="V1703" s="66"/>
      <c r="W1703" s="138"/>
      <c r="X1703" s="106"/>
      <c r="Y1703" s="209"/>
      <c r="Z1703" s="210"/>
      <c r="AA1703" s="207"/>
    </row>
    <row r="1704" spans="1:27" ht="73.5" hidden="1" customHeight="1">
      <c r="A1704" s="98">
        <v>1694</v>
      </c>
      <c r="B1704" s="79" t="s">
        <v>8114</v>
      </c>
      <c r="C1704" s="148" t="s">
        <v>8</v>
      </c>
      <c r="D1704" s="80" t="s">
        <v>63</v>
      </c>
      <c r="E1704" s="27" t="s">
        <v>3979</v>
      </c>
      <c r="F1704" s="80" t="s">
        <v>284</v>
      </c>
      <c r="G1704" s="81" t="s">
        <v>277</v>
      </c>
      <c r="H1704" s="80" t="s">
        <v>3980</v>
      </c>
      <c r="I1704" s="202">
        <v>46001</v>
      </c>
      <c r="J1704" s="80" t="s">
        <v>3517</v>
      </c>
      <c r="K1704" s="286" t="s">
        <v>156</v>
      </c>
      <c r="L1704" s="84" t="s">
        <v>171</v>
      </c>
      <c r="M1704" s="84" t="s">
        <v>71</v>
      </c>
      <c r="N1704" s="201" t="s">
        <v>72</v>
      </c>
      <c r="O1704" s="200" t="s">
        <v>8115</v>
      </c>
      <c r="P1704" s="217" t="s">
        <v>8116</v>
      </c>
      <c r="Q1704" s="294" t="s">
        <v>91</v>
      </c>
      <c r="R1704" s="293" t="s">
        <v>76</v>
      </c>
      <c r="S1704" s="291" t="s">
        <v>76</v>
      </c>
      <c r="T1704" s="290" t="s">
        <v>76</v>
      </c>
      <c r="U1704" s="289" t="s">
        <v>76</v>
      </c>
      <c r="V1704" s="66"/>
      <c r="W1704" s="138"/>
      <c r="X1704" s="106"/>
      <c r="Y1704" s="209"/>
      <c r="Z1704" s="210"/>
      <c r="AA1704" s="207"/>
    </row>
    <row r="1705" spans="1:27" ht="151.5" hidden="1" customHeight="1">
      <c r="A1705" s="98">
        <v>1695</v>
      </c>
      <c r="B1705" s="79" t="s">
        <v>8117</v>
      </c>
      <c r="C1705" s="148" t="s">
        <v>8</v>
      </c>
      <c r="D1705" s="80" t="s">
        <v>63</v>
      </c>
      <c r="E1705" s="27" t="s">
        <v>3979</v>
      </c>
      <c r="F1705" s="80" t="s">
        <v>284</v>
      </c>
      <c r="G1705" s="81" t="s">
        <v>277</v>
      </c>
      <c r="H1705" s="80" t="s">
        <v>3980</v>
      </c>
      <c r="I1705" s="202">
        <v>46001</v>
      </c>
      <c r="J1705" s="80" t="s">
        <v>3505</v>
      </c>
      <c r="K1705" s="286" t="s">
        <v>69</v>
      </c>
      <c r="L1705" s="84" t="s">
        <v>70</v>
      </c>
      <c r="M1705" s="84" t="s">
        <v>904</v>
      </c>
      <c r="N1705" s="201" t="s">
        <v>72</v>
      </c>
      <c r="O1705" s="200" t="s">
        <v>8118</v>
      </c>
      <c r="P1705" s="217" t="s">
        <v>8119</v>
      </c>
      <c r="Q1705" s="292" t="s">
        <v>75</v>
      </c>
      <c r="R1705" s="293" t="s">
        <v>91</v>
      </c>
      <c r="S1705" s="317" t="s">
        <v>76</v>
      </c>
      <c r="T1705" s="293" t="s">
        <v>76</v>
      </c>
      <c r="U1705" s="289" t="s">
        <v>8120</v>
      </c>
      <c r="V1705" s="66"/>
      <c r="W1705" s="138"/>
      <c r="X1705" s="106"/>
      <c r="Y1705" s="209"/>
      <c r="Z1705" s="210"/>
      <c r="AA1705" s="207"/>
    </row>
    <row r="1706" spans="1:27" ht="54.75" hidden="1" customHeight="1">
      <c r="A1706" s="98">
        <v>1696</v>
      </c>
      <c r="B1706" s="79" t="s">
        <v>8121</v>
      </c>
      <c r="C1706" s="148" t="s">
        <v>8</v>
      </c>
      <c r="D1706" s="80" t="s">
        <v>63</v>
      </c>
      <c r="E1706" s="27" t="s">
        <v>2636</v>
      </c>
      <c r="F1706" s="80" t="s">
        <v>120</v>
      </c>
      <c r="G1706" s="81" t="s">
        <v>995</v>
      </c>
      <c r="H1706" s="80" t="s">
        <v>2637</v>
      </c>
      <c r="I1706" s="202">
        <v>46001</v>
      </c>
      <c r="J1706" s="80" t="s">
        <v>3517</v>
      </c>
      <c r="K1706" s="286" t="s">
        <v>299</v>
      </c>
      <c r="L1706" s="84" t="s">
        <v>189</v>
      </c>
      <c r="M1706" s="84" t="s">
        <v>784</v>
      </c>
      <c r="N1706" s="201" t="s">
        <v>72</v>
      </c>
      <c r="O1706" s="200" t="s">
        <v>8122</v>
      </c>
      <c r="P1706" s="217" t="s">
        <v>8123</v>
      </c>
      <c r="Q1706" s="292" t="s">
        <v>75</v>
      </c>
      <c r="R1706" s="293" t="s">
        <v>504</v>
      </c>
      <c r="S1706" s="291" t="s">
        <v>76</v>
      </c>
      <c r="T1706" s="290" t="s">
        <v>76</v>
      </c>
      <c r="U1706" s="289" t="s">
        <v>8124</v>
      </c>
      <c r="V1706" s="66"/>
      <c r="W1706" s="138"/>
      <c r="X1706" s="106"/>
      <c r="Y1706" s="209"/>
      <c r="Z1706" s="210"/>
      <c r="AA1706" s="207"/>
    </row>
    <row r="1707" spans="1:27" ht="69" customHeight="1">
      <c r="A1707" s="98">
        <v>1697</v>
      </c>
      <c r="B1707" s="79" t="s">
        <v>8125</v>
      </c>
      <c r="C1707" s="148" t="s">
        <v>9</v>
      </c>
      <c r="D1707" s="80" t="s">
        <v>83</v>
      </c>
      <c r="E1707" s="27" t="s">
        <v>8126</v>
      </c>
      <c r="F1707" s="80" t="s">
        <v>120</v>
      </c>
      <c r="G1707" s="81" t="s">
        <v>4789</v>
      </c>
      <c r="H1707" s="80" t="s">
        <v>8127</v>
      </c>
      <c r="I1707" s="202">
        <v>46001</v>
      </c>
      <c r="J1707" s="80" t="s">
        <v>4385</v>
      </c>
      <c r="K1707" s="286" t="s">
        <v>4386</v>
      </c>
      <c r="L1707" s="84" t="s">
        <v>4387</v>
      </c>
      <c r="M1707" s="84" t="s">
        <v>252</v>
      </c>
      <c r="N1707" s="201" t="s">
        <v>1191</v>
      </c>
      <c r="O1707" s="200" t="s">
        <v>8128</v>
      </c>
      <c r="P1707" s="217" t="s">
        <v>8129</v>
      </c>
      <c r="Q1707" s="292" t="s">
        <v>75</v>
      </c>
      <c r="R1707" s="293" t="s">
        <v>504</v>
      </c>
      <c r="S1707" s="291" t="s">
        <v>76</v>
      </c>
      <c r="T1707" s="290" t="s">
        <v>76</v>
      </c>
      <c r="U1707" s="289" t="s">
        <v>8130</v>
      </c>
      <c r="V1707" s="66"/>
      <c r="W1707" s="138"/>
      <c r="X1707" s="106"/>
      <c r="Y1707" s="209"/>
      <c r="Z1707" s="210"/>
      <c r="AA1707" s="207"/>
    </row>
    <row r="1708" spans="1:27" ht="72" hidden="1" customHeight="1">
      <c r="A1708" s="98">
        <v>1698</v>
      </c>
      <c r="B1708" s="79" t="s">
        <v>8131</v>
      </c>
      <c r="C1708" s="148" t="s">
        <v>8132</v>
      </c>
      <c r="D1708" s="80" t="s">
        <v>83</v>
      </c>
      <c r="E1708" s="27" t="s">
        <v>8133</v>
      </c>
      <c r="F1708" s="80" t="s">
        <v>120</v>
      </c>
      <c r="G1708" s="81" t="s">
        <v>85</v>
      </c>
      <c r="H1708" s="80" t="s">
        <v>198</v>
      </c>
      <c r="I1708" s="202">
        <v>46003</v>
      </c>
      <c r="J1708" s="80" t="s">
        <v>8134</v>
      </c>
      <c r="K1708" s="286" t="s">
        <v>5213</v>
      </c>
      <c r="L1708" s="84" t="s">
        <v>199</v>
      </c>
      <c r="M1708" s="84" t="s">
        <v>221</v>
      </c>
      <c r="N1708" s="201" t="s">
        <v>72</v>
      </c>
      <c r="O1708" s="200" t="s">
        <v>8135</v>
      </c>
      <c r="P1708" s="217" t="s">
        <v>8136</v>
      </c>
      <c r="Q1708" s="292" t="s">
        <v>75</v>
      </c>
      <c r="R1708" s="293" t="s">
        <v>504</v>
      </c>
      <c r="S1708" s="291" t="s">
        <v>76</v>
      </c>
      <c r="T1708" s="290" t="s">
        <v>76</v>
      </c>
      <c r="U1708" s="289" t="s">
        <v>76</v>
      </c>
      <c r="V1708" s="66"/>
      <c r="W1708" s="138"/>
      <c r="X1708" s="106"/>
      <c r="Y1708" s="209"/>
      <c r="Z1708" s="210"/>
      <c r="AA1708" s="207"/>
    </row>
    <row r="1709" spans="1:27" ht="52.5" hidden="1" customHeight="1">
      <c r="A1709" s="98">
        <v>1699</v>
      </c>
      <c r="B1709" s="79" t="s">
        <v>8137</v>
      </c>
      <c r="C1709" s="148" t="s">
        <v>8</v>
      </c>
      <c r="D1709" s="80" t="s">
        <v>63</v>
      </c>
      <c r="E1709" s="27" t="s">
        <v>2636</v>
      </c>
      <c r="F1709" s="80" t="s">
        <v>120</v>
      </c>
      <c r="G1709" s="81" t="s">
        <v>995</v>
      </c>
      <c r="H1709" s="80" t="s">
        <v>2637</v>
      </c>
      <c r="I1709" s="202">
        <v>46008</v>
      </c>
      <c r="J1709" s="80" t="s">
        <v>3941</v>
      </c>
      <c r="K1709" s="286" t="s">
        <v>112</v>
      </c>
      <c r="L1709" s="84" t="s">
        <v>122</v>
      </c>
      <c r="M1709" s="84" t="s">
        <v>784</v>
      </c>
      <c r="N1709" s="201" t="s">
        <v>72</v>
      </c>
      <c r="O1709" s="200" t="s">
        <v>8138</v>
      </c>
      <c r="P1709" s="217" t="s">
        <v>8139</v>
      </c>
      <c r="Q1709" s="294" t="s">
        <v>91</v>
      </c>
      <c r="R1709" s="293" t="s">
        <v>76</v>
      </c>
      <c r="S1709" s="291" t="s">
        <v>76</v>
      </c>
      <c r="T1709" s="290" t="s">
        <v>76</v>
      </c>
      <c r="U1709" s="289" t="s">
        <v>8140</v>
      </c>
      <c r="V1709" s="66"/>
      <c r="W1709" s="138"/>
      <c r="X1709" s="106"/>
      <c r="Y1709" s="209"/>
      <c r="Z1709" s="210"/>
      <c r="AA1709" s="207"/>
    </row>
    <row r="1710" spans="1:27" ht="63" hidden="1" customHeight="1">
      <c r="A1710" s="98">
        <v>1700</v>
      </c>
      <c r="B1710" s="79" t="s">
        <v>8141</v>
      </c>
      <c r="C1710" s="148" t="s">
        <v>8</v>
      </c>
      <c r="D1710" s="80" t="s">
        <v>63</v>
      </c>
      <c r="E1710" s="27" t="s">
        <v>3208</v>
      </c>
      <c r="F1710" s="80" t="s">
        <v>65</v>
      </c>
      <c r="G1710" s="81" t="s">
        <v>2762</v>
      </c>
      <c r="H1710" s="80" t="s">
        <v>3209</v>
      </c>
      <c r="I1710" s="202">
        <v>46008</v>
      </c>
      <c r="J1710" s="80" t="s">
        <v>3517</v>
      </c>
      <c r="K1710" s="286" t="s">
        <v>299</v>
      </c>
      <c r="L1710" s="84" t="s">
        <v>300</v>
      </c>
      <c r="M1710" s="84" t="s">
        <v>784</v>
      </c>
      <c r="N1710" s="201" t="s">
        <v>72</v>
      </c>
      <c r="O1710" s="200" t="s">
        <v>8142</v>
      </c>
      <c r="P1710" s="217" t="s">
        <v>8143</v>
      </c>
      <c r="Q1710" s="294" t="s">
        <v>91</v>
      </c>
      <c r="R1710" s="293" t="s">
        <v>76</v>
      </c>
      <c r="S1710" s="291" t="s">
        <v>76</v>
      </c>
      <c r="T1710" s="290" t="s">
        <v>76</v>
      </c>
      <c r="U1710" s="289" t="s">
        <v>2502</v>
      </c>
      <c r="V1710" s="66"/>
      <c r="W1710" s="138"/>
      <c r="X1710" s="106"/>
      <c r="Y1710" s="209"/>
      <c r="Z1710" s="210"/>
      <c r="AA1710" s="207"/>
    </row>
    <row r="1711" spans="1:27" ht="63" hidden="1" customHeight="1">
      <c r="A1711" s="98">
        <v>1701</v>
      </c>
      <c r="B1711" s="79" t="s">
        <v>8144</v>
      </c>
      <c r="C1711" s="148" t="s">
        <v>8</v>
      </c>
      <c r="D1711" s="80" t="s">
        <v>63</v>
      </c>
      <c r="E1711" s="27" t="s">
        <v>2636</v>
      </c>
      <c r="F1711" s="80" t="s">
        <v>120</v>
      </c>
      <c r="G1711" s="81" t="s">
        <v>995</v>
      </c>
      <c r="H1711" s="80" t="s">
        <v>2637</v>
      </c>
      <c r="I1711" s="202">
        <v>46009</v>
      </c>
      <c r="J1711" s="80" t="s">
        <v>3941</v>
      </c>
      <c r="K1711" s="286" t="s">
        <v>112</v>
      </c>
      <c r="L1711" s="84" t="s">
        <v>113</v>
      </c>
      <c r="M1711" s="84" t="s">
        <v>784</v>
      </c>
      <c r="N1711" s="201" t="s">
        <v>72</v>
      </c>
      <c r="O1711" s="200" t="s">
        <v>8145</v>
      </c>
      <c r="P1711" s="217" t="s">
        <v>8146</v>
      </c>
      <c r="Q1711" s="292" t="s">
        <v>75</v>
      </c>
      <c r="R1711" s="293" t="s">
        <v>91</v>
      </c>
      <c r="S1711" s="291" t="s">
        <v>76</v>
      </c>
      <c r="T1711" s="290" t="s">
        <v>76</v>
      </c>
      <c r="U1711" s="289" t="s">
        <v>8147</v>
      </c>
      <c r="V1711" s="66"/>
      <c r="W1711" s="138"/>
      <c r="X1711" s="106"/>
      <c r="Y1711" s="209"/>
      <c r="Z1711" s="210"/>
      <c r="AA1711" s="207"/>
    </row>
    <row r="1712" spans="1:27" ht="56.25" hidden="1" customHeight="1">
      <c r="A1712" s="98">
        <v>1702</v>
      </c>
      <c r="B1712" s="79" t="s">
        <v>8148</v>
      </c>
      <c r="C1712" s="148" t="s">
        <v>8</v>
      </c>
      <c r="D1712" s="80" t="s">
        <v>83</v>
      </c>
      <c r="E1712" s="27" t="s">
        <v>8149</v>
      </c>
      <c r="F1712" s="80" t="s">
        <v>7897</v>
      </c>
      <c r="G1712" s="81" t="s">
        <v>8150</v>
      </c>
      <c r="H1712" s="80" t="s">
        <v>8151</v>
      </c>
      <c r="I1712" s="202">
        <v>46009</v>
      </c>
      <c r="J1712" s="80" t="s">
        <v>3517</v>
      </c>
      <c r="K1712" s="286" t="s">
        <v>5213</v>
      </c>
      <c r="L1712" s="84" t="s">
        <v>189</v>
      </c>
      <c r="M1712" s="84" t="s">
        <v>784</v>
      </c>
      <c r="N1712" s="201" t="s">
        <v>72</v>
      </c>
      <c r="O1712" s="200" t="s">
        <v>8152</v>
      </c>
      <c r="P1712" s="217" t="s">
        <v>8153</v>
      </c>
      <c r="Q1712" s="292" t="s">
        <v>75</v>
      </c>
      <c r="R1712" s="293" t="s">
        <v>504</v>
      </c>
      <c r="S1712" s="291" t="s">
        <v>76</v>
      </c>
      <c r="T1712" s="290" t="s">
        <v>76</v>
      </c>
      <c r="U1712" s="289" t="s">
        <v>8154</v>
      </c>
      <c r="V1712" s="66"/>
      <c r="W1712" s="138"/>
      <c r="X1712" s="106"/>
      <c r="Y1712" s="209"/>
      <c r="Z1712" s="210"/>
      <c r="AA1712" s="207"/>
    </row>
    <row r="1713" spans="1:30" ht="97.5" hidden="1" customHeight="1">
      <c r="A1713" s="98">
        <v>1703</v>
      </c>
      <c r="B1713" s="79" t="s">
        <v>8155</v>
      </c>
      <c r="C1713" s="148" t="s">
        <v>8</v>
      </c>
      <c r="D1713" s="80" t="s">
        <v>83</v>
      </c>
      <c r="E1713" s="27" t="s">
        <v>8156</v>
      </c>
      <c r="F1713" s="80" t="s">
        <v>7897</v>
      </c>
      <c r="G1713" s="81" t="s">
        <v>8157</v>
      </c>
      <c r="H1713" s="80" t="s">
        <v>8158</v>
      </c>
      <c r="I1713" s="202">
        <v>46009</v>
      </c>
      <c r="J1713" s="80" t="s">
        <v>3505</v>
      </c>
      <c r="K1713" s="286" t="s">
        <v>69</v>
      </c>
      <c r="L1713" s="84" t="s">
        <v>100</v>
      </c>
      <c r="M1713" s="84" t="s">
        <v>595</v>
      </c>
      <c r="N1713" s="201" t="s">
        <v>72</v>
      </c>
      <c r="O1713" s="200" t="s">
        <v>8159</v>
      </c>
      <c r="P1713" s="217" t="s">
        <v>8160</v>
      </c>
      <c r="Q1713" s="294" t="s">
        <v>91</v>
      </c>
      <c r="R1713" s="293" t="s">
        <v>76</v>
      </c>
      <c r="S1713" s="317" t="s">
        <v>76</v>
      </c>
      <c r="T1713" s="293" t="s">
        <v>76</v>
      </c>
      <c r="U1713" s="289" t="s">
        <v>2502</v>
      </c>
      <c r="V1713" s="66"/>
      <c r="W1713" s="138"/>
      <c r="X1713" s="106"/>
      <c r="Y1713" s="209"/>
      <c r="Z1713" s="210"/>
      <c r="AA1713" s="207"/>
    </row>
    <row r="1714" spans="1:30" ht="108" hidden="1" customHeight="1">
      <c r="A1714" s="98">
        <v>1704</v>
      </c>
      <c r="B1714" s="79" t="s">
        <v>8161</v>
      </c>
      <c r="C1714" s="148" t="s">
        <v>8</v>
      </c>
      <c r="D1714" s="80" t="s">
        <v>83</v>
      </c>
      <c r="E1714" s="27" t="s">
        <v>8162</v>
      </c>
      <c r="F1714" s="80" t="s">
        <v>7897</v>
      </c>
      <c r="G1714" s="81" t="s">
        <v>8163</v>
      </c>
      <c r="H1714" s="80" t="s">
        <v>8164</v>
      </c>
      <c r="I1714" s="202">
        <v>46009</v>
      </c>
      <c r="J1714" s="80" t="s">
        <v>3543</v>
      </c>
      <c r="K1714" s="286" t="s">
        <v>112</v>
      </c>
      <c r="L1714" s="84" t="s">
        <v>122</v>
      </c>
      <c r="M1714" s="84" t="s">
        <v>114</v>
      </c>
      <c r="N1714" s="201" t="s">
        <v>72</v>
      </c>
      <c r="O1714" s="200" t="s">
        <v>8165</v>
      </c>
      <c r="P1714" s="217" t="s">
        <v>8166</v>
      </c>
      <c r="Q1714" s="292" t="s">
        <v>75</v>
      </c>
      <c r="R1714" s="293" t="s">
        <v>504</v>
      </c>
      <c r="S1714" s="291" t="s">
        <v>76</v>
      </c>
      <c r="T1714" s="290" t="s">
        <v>76</v>
      </c>
      <c r="U1714" s="289" t="s">
        <v>8167</v>
      </c>
      <c r="V1714" s="66"/>
      <c r="W1714" s="138"/>
      <c r="X1714" s="106"/>
      <c r="Y1714" s="209"/>
      <c r="Z1714" s="210"/>
      <c r="AA1714" s="207"/>
    </row>
    <row r="1715" spans="1:30" ht="84.75" hidden="1" customHeight="1">
      <c r="A1715" s="98">
        <v>1705</v>
      </c>
      <c r="B1715" s="79" t="s">
        <v>8168</v>
      </c>
      <c r="C1715" s="148" t="s">
        <v>10</v>
      </c>
      <c r="D1715" s="80" t="s">
        <v>63</v>
      </c>
      <c r="E1715" s="27" t="s">
        <v>7932</v>
      </c>
      <c r="F1715" s="80" t="s">
        <v>120</v>
      </c>
      <c r="G1715" s="81" t="s">
        <v>5335</v>
      </c>
      <c r="H1715" s="80" t="s">
        <v>7933</v>
      </c>
      <c r="I1715" s="202">
        <v>46011</v>
      </c>
      <c r="J1715" s="80" t="s">
        <v>3505</v>
      </c>
      <c r="K1715" s="286" t="s">
        <v>69</v>
      </c>
      <c r="L1715" s="84" t="s">
        <v>251</v>
      </c>
      <c r="M1715" s="84" t="s">
        <v>904</v>
      </c>
      <c r="N1715" s="201" t="s">
        <v>920</v>
      </c>
      <c r="O1715" s="310" t="s">
        <v>8169</v>
      </c>
      <c r="P1715" s="217" t="s">
        <v>8170</v>
      </c>
      <c r="Q1715" s="294" t="s">
        <v>91</v>
      </c>
      <c r="R1715" s="293" t="s">
        <v>76</v>
      </c>
      <c r="S1715" s="317" t="s">
        <v>76</v>
      </c>
      <c r="T1715" s="293" t="s">
        <v>76</v>
      </c>
      <c r="U1715" s="289" t="s">
        <v>3533</v>
      </c>
      <c r="V1715" s="66"/>
      <c r="W1715" s="138"/>
      <c r="X1715" s="106"/>
      <c r="Y1715" s="209"/>
      <c r="Z1715" s="210"/>
      <c r="AA1715" s="207"/>
    </row>
    <row r="1716" spans="1:30" ht="91.5" hidden="1" customHeight="1">
      <c r="A1716" s="98">
        <v>1706</v>
      </c>
      <c r="B1716" s="79" t="s">
        <v>8171</v>
      </c>
      <c r="C1716" s="148" t="s">
        <v>8</v>
      </c>
      <c r="D1716" s="80" t="s">
        <v>63</v>
      </c>
      <c r="E1716" s="27" t="s">
        <v>1430</v>
      </c>
      <c r="F1716" s="80" t="s">
        <v>109</v>
      </c>
      <c r="G1716" s="81" t="s">
        <v>1047</v>
      </c>
      <c r="H1716" s="80" t="s">
        <v>1431</v>
      </c>
      <c r="I1716" s="202">
        <v>46015</v>
      </c>
      <c r="J1716" s="80" t="s">
        <v>3543</v>
      </c>
      <c r="K1716" s="286" t="s">
        <v>112</v>
      </c>
      <c r="L1716" s="84" t="s">
        <v>122</v>
      </c>
      <c r="M1716" s="84" t="s">
        <v>114</v>
      </c>
      <c r="N1716" s="201" t="s">
        <v>72</v>
      </c>
      <c r="O1716" s="200" t="s">
        <v>8172</v>
      </c>
      <c r="P1716" s="217" t="s">
        <v>8173</v>
      </c>
      <c r="Q1716" s="294" t="s">
        <v>91</v>
      </c>
      <c r="R1716" s="293" t="s">
        <v>76</v>
      </c>
      <c r="S1716" s="291" t="s">
        <v>76</v>
      </c>
      <c r="T1716" s="290" t="s">
        <v>76</v>
      </c>
      <c r="U1716" s="289" t="s">
        <v>59</v>
      </c>
      <c r="V1716" s="66"/>
      <c r="W1716" s="138"/>
      <c r="X1716" s="106"/>
      <c r="Y1716" s="209"/>
      <c r="Z1716" s="210"/>
      <c r="AA1716" s="207"/>
      <c r="AB1716" s="25" t="s">
        <v>75</v>
      </c>
    </row>
    <row r="1717" spans="1:30" ht="96" hidden="1" customHeight="1">
      <c r="A1717" s="98">
        <v>1707</v>
      </c>
      <c r="B1717" s="79" t="s">
        <v>8174</v>
      </c>
      <c r="C1717" s="148" t="s">
        <v>8</v>
      </c>
      <c r="D1717" s="80" t="s">
        <v>63</v>
      </c>
      <c r="E1717" s="27" t="s">
        <v>4748</v>
      </c>
      <c r="F1717" s="80" t="s">
        <v>65</v>
      </c>
      <c r="G1717" s="81" t="s">
        <v>277</v>
      </c>
      <c r="H1717" s="80" t="s">
        <v>4749</v>
      </c>
      <c r="I1717" s="202">
        <v>46018</v>
      </c>
      <c r="J1717" s="80" t="s">
        <v>3543</v>
      </c>
      <c r="K1717" s="286" t="s">
        <v>198</v>
      </c>
      <c r="L1717" s="84" t="s">
        <v>122</v>
      </c>
      <c r="M1717" s="84" t="s">
        <v>114</v>
      </c>
      <c r="N1717" s="201" t="s">
        <v>72</v>
      </c>
      <c r="O1717" s="200" t="s">
        <v>8175</v>
      </c>
      <c r="P1717" s="217" t="s">
        <v>8176</v>
      </c>
      <c r="Q1717" s="294" t="s">
        <v>91</v>
      </c>
      <c r="R1717" s="293" t="s">
        <v>76</v>
      </c>
      <c r="S1717" s="291" t="s">
        <v>76</v>
      </c>
      <c r="T1717" s="290" t="s">
        <v>76</v>
      </c>
      <c r="U1717" s="289" t="s">
        <v>8177</v>
      </c>
      <c r="V1717" s="66"/>
      <c r="W1717" s="138"/>
      <c r="X1717" s="106"/>
      <c r="Y1717" s="209"/>
      <c r="Z1717" s="210"/>
      <c r="AA1717" s="207"/>
    </row>
    <row r="1718" spans="1:30" ht="96.75" hidden="1" customHeight="1">
      <c r="A1718" s="98">
        <v>1708</v>
      </c>
      <c r="B1718" s="79" t="s">
        <v>8178</v>
      </c>
      <c r="C1718" s="148" t="s">
        <v>8</v>
      </c>
      <c r="D1718" s="80" t="s">
        <v>63</v>
      </c>
      <c r="E1718" s="27" t="s">
        <v>4748</v>
      </c>
      <c r="F1718" s="80" t="s">
        <v>65</v>
      </c>
      <c r="G1718" s="81" t="s">
        <v>277</v>
      </c>
      <c r="H1718" s="80" t="s">
        <v>4749</v>
      </c>
      <c r="I1718" s="202">
        <v>46018</v>
      </c>
      <c r="J1718" s="80" t="s">
        <v>3500</v>
      </c>
      <c r="K1718" s="286" t="s">
        <v>198</v>
      </c>
      <c r="L1718" s="84" t="s">
        <v>199</v>
      </c>
      <c r="M1718" s="84" t="s">
        <v>221</v>
      </c>
      <c r="N1718" s="201" t="s">
        <v>72</v>
      </c>
      <c r="O1718" s="200" t="s">
        <v>7122</v>
      </c>
      <c r="P1718" s="217" t="s">
        <v>8179</v>
      </c>
      <c r="Q1718" s="292" t="s">
        <v>75</v>
      </c>
      <c r="R1718" s="293" t="s">
        <v>91</v>
      </c>
      <c r="S1718" s="291" t="s">
        <v>76</v>
      </c>
      <c r="T1718" s="290" t="s">
        <v>76</v>
      </c>
      <c r="U1718" s="289" t="s">
        <v>8180</v>
      </c>
      <c r="V1718" s="66"/>
      <c r="W1718" s="138"/>
      <c r="X1718" s="106"/>
      <c r="Y1718" s="209"/>
      <c r="Z1718" s="210"/>
      <c r="AA1718" s="207"/>
    </row>
    <row r="1719" spans="1:30" ht="78.75" hidden="1" customHeight="1">
      <c r="A1719" s="98">
        <v>1709</v>
      </c>
      <c r="B1719" s="79" t="s">
        <v>8181</v>
      </c>
      <c r="C1719" s="148" t="s">
        <v>8</v>
      </c>
      <c r="D1719" s="80" t="s">
        <v>63</v>
      </c>
      <c r="E1719" s="27" t="s">
        <v>2855</v>
      </c>
      <c r="F1719" s="80" t="s">
        <v>65</v>
      </c>
      <c r="G1719" s="81" t="s">
        <v>2054</v>
      </c>
      <c r="H1719" s="80" t="s">
        <v>2856</v>
      </c>
      <c r="I1719" s="202">
        <v>46019</v>
      </c>
      <c r="J1719" s="80" t="s">
        <v>3565</v>
      </c>
      <c r="K1719" s="286" t="s">
        <v>156</v>
      </c>
      <c r="L1719" s="84" t="s">
        <v>300</v>
      </c>
      <c r="M1719" s="84" t="s">
        <v>601</v>
      </c>
      <c r="N1719" s="201" t="s">
        <v>72</v>
      </c>
      <c r="O1719" s="200" t="s">
        <v>8182</v>
      </c>
      <c r="P1719" s="217" t="s">
        <v>8183</v>
      </c>
      <c r="Q1719" s="292" t="s">
        <v>75</v>
      </c>
      <c r="R1719" s="293" t="s">
        <v>504</v>
      </c>
      <c r="S1719" s="291" t="s">
        <v>76</v>
      </c>
      <c r="T1719" s="290" t="s">
        <v>76</v>
      </c>
      <c r="U1719" s="289" t="s">
        <v>76</v>
      </c>
      <c r="V1719" s="66"/>
      <c r="W1719" s="138"/>
      <c r="X1719" s="106"/>
      <c r="Y1719" s="209"/>
      <c r="Z1719" s="210"/>
      <c r="AA1719" s="207"/>
    </row>
    <row r="1720" spans="1:30" ht="81" hidden="1" customHeight="1">
      <c r="A1720" s="98">
        <v>1710</v>
      </c>
      <c r="B1720" s="79" t="s">
        <v>8184</v>
      </c>
      <c r="C1720" s="148" t="s">
        <v>8</v>
      </c>
      <c r="D1720" s="80" t="s">
        <v>63</v>
      </c>
      <c r="E1720" s="27" t="s">
        <v>7926</v>
      </c>
      <c r="F1720" s="80" t="s">
        <v>284</v>
      </c>
      <c r="G1720" s="81" t="s">
        <v>686</v>
      </c>
      <c r="H1720" s="80" t="s">
        <v>7927</v>
      </c>
      <c r="I1720" s="202">
        <v>46019</v>
      </c>
      <c r="J1720" s="80" t="s">
        <v>3595</v>
      </c>
      <c r="K1720" s="286" t="s">
        <v>69</v>
      </c>
      <c r="L1720" s="84" t="s">
        <v>70</v>
      </c>
      <c r="M1720" s="84" t="s">
        <v>784</v>
      </c>
      <c r="N1720" s="201" t="s">
        <v>72</v>
      </c>
      <c r="O1720" s="200" t="s">
        <v>8185</v>
      </c>
      <c r="P1720" s="217" t="s">
        <v>8186</v>
      </c>
      <c r="Q1720" s="292" t="s">
        <v>75</v>
      </c>
      <c r="R1720" s="293" t="s">
        <v>91</v>
      </c>
      <c r="S1720" s="317" t="s">
        <v>76</v>
      </c>
      <c r="T1720" s="293" t="s">
        <v>76</v>
      </c>
      <c r="U1720" s="289" t="s">
        <v>6588</v>
      </c>
      <c r="V1720" s="66"/>
      <c r="W1720" s="138"/>
      <c r="X1720" s="106"/>
      <c r="Y1720" s="209"/>
      <c r="Z1720" s="210"/>
      <c r="AA1720" s="207"/>
    </row>
    <row r="1721" spans="1:30" ht="69" hidden="1" customHeight="1">
      <c r="A1721" s="98">
        <v>1711</v>
      </c>
      <c r="B1721" s="79" t="s">
        <v>8187</v>
      </c>
      <c r="C1721" s="148" t="s">
        <v>10</v>
      </c>
      <c r="D1721" s="80" t="s">
        <v>63</v>
      </c>
      <c r="E1721" s="27" t="s">
        <v>8188</v>
      </c>
      <c r="F1721" s="80" t="s">
        <v>284</v>
      </c>
      <c r="G1721" s="81" t="s">
        <v>5893</v>
      </c>
      <c r="H1721" s="80" t="s">
        <v>8189</v>
      </c>
      <c r="I1721" s="202">
        <v>46019</v>
      </c>
      <c r="J1721" s="80" t="s">
        <v>3505</v>
      </c>
      <c r="K1721" s="286" t="s">
        <v>69</v>
      </c>
      <c r="L1721" s="84" t="s">
        <v>100</v>
      </c>
      <c r="M1721" s="84" t="s">
        <v>601</v>
      </c>
      <c r="N1721" s="201" t="s">
        <v>72</v>
      </c>
      <c r="O1721" s="310" t="s">
        <v>8190</v>
      </c>
      <c r="P1721" s="217" t="s">
        <v>8191</v>
      </c>
      <c r="Q1721" s="294" t="s">
        <v>91</v>
      </c>
      <c r="R1721" s="293" t="s">
        <v>76</v>
      </c>
      <c r="S1721" s="317" t="s">
        <v>76</v>
      </c>
      <c r="T1721" s="293" t="s">
        <v>76</v>
      </c>
      <c r="U1721" s="289" t="s">
        <v>8192</v>
      </c>
      <c r="V1721" s="66"/>
      <c r="W1721" s="138"/>
      <c r="X1721" s="106"/>
      <c r="Y1721" s="209"/>
      <c r="Z1721" s="210"/>
      <c r="AA1721" s="207"/>
    </row>
    <row r="1722" spans="1:30" ht="66.75" hidden="1" customHeight="1">
      <c r="A1722" s="98">
        <v>1712</v>
      </c>
      <c r="B1722" s="79" t="s">
        <v>8193</v>
      </c>
      <c r="C1722" s="148" t="s">
        <v>10</v>
      </c>
      <c r="D1722" s="80" t="s">
        <v>63</v>
      </c>
      <c r="E1722" s="27" t="s">
        <v>7698</v>
      </c>
      <c r="F1722" s="80" t="s">
        <v>109</v>
      </c>
      <c r="G1722" s="81" t="s">
        <v>5893</v>
      </c>
      <c r="H1722" s="80" t="s">
        <v>7699</v>
      </c>
      <c r="I1722" s="202">
        <v>46019</v>
      </c>
      <c r="J1722" s="80" t="s">
        <v>4109</v>
      </c>
      <c r="K1722" s="286" t="s">
        <v>1654</v>
      </c>
      <c r="L1722" s="84" t="s">
        <v>10</v>
      </c>
      <c r="M1722" s="84" t="s">
        <v>200</v>
      </c>
      <c r="N1722" s="201" t="s">
        <v>72</v>
      </c>
      <c r="O1722" s="310" t="s">
        <v>8194</v>
      </c>
      <c r="P1722" s="217" t="s">
        <v>8195</v>
      </c>
      <c r="Q1722" s="292" t="s">
        <v>75</v>
      </c>
      <c r="R1722" s="293" t="s">
        <v>504</v>
      </c>
      <c r="S1722" s="291" t="s">
        <v>76</v>
      </c>
      <c r="T1722" s="290" t="s">
        <v>76</v>
      </c>
      <c r="U1722" s="289" t="s">
        <v>8196</v>
      </c>
      <c r="V1722" s="66"/>
      <c r="W1722" s="138"/>
      <c r="X1722" s="106"/>
      <c r="Y1722" s="209"/>
      <c r="Z1722" s="210"/>
      <c r="AA1722" s="207"/>
    </row>
    <row r="1723" spans="1:30" ht="66.75" hidden="1" customHeight="1">
      <c r="A1723" s="98">
        <v>1713</v>
      </c>
      <c r="B1723" s="79" t="s">
        <v>8197</v>
      </c>
      <c r="C1723" s="148" t="s">
        <v>10</v>
      </c>
      <c r="D1723" s="80" t="s">
        <v>63</v>
      </c>
      <c r="E1723" s="27" t="s">
        <v>5892</v>
      </c>
      <c r="F1723" s="80" t="s">
        <v>65</v>
      </c>
      <c r="G1723" s="81" t="s">
        <v>5893</v>
      </c>
      <c r="H1723" s="80" t="s">
        <v>5894</v>
      </c>
      <c r="I1723" s="202">
        <v>46019</v>
      </c>
      <c r="J1723" s="80" t="s">
        <v>3505</v>
      </c>
      <c r="K1723" s="286" t="s">
        <v>69</v>
      </c>
      <c r="L1723" s="84" t="s">
        <v>100</v>
      </c>
      <c r="M1723" s="84" t="s">
        <v>595</v>
      </c>
      <c r="N1723" s="201" t="s">
        <v>72</v>
      </c>
      <c r="O1723" s="310" t="s">
        <v>8198</v>
      </c>
      <c r="P1723" s="217" t="s">
        <v>8199</v>
      </c>
      <c r="Q1723" s="292" t="s">
        <v>75</v>
      </c>
      <c r="R1723" s="293" t="s">
        <v>91</v>
      </c>
      <c r="S1723" s="317" t="s">
        <v>76</v>
      </c>
      <c r="T1723" s="293" t="s">
        <v>76</v>
      </c>
      <c r="U1723" s="289" t="s">
        <v>8200</v>
      </c>
      <c r="V1723" s="66"/>
      <c r="W1723" s="138"/>
      <c r="X1723" s="106"/>
      <c r="Y1723" s="209"/>
      <c r="Z1723" s="210"/>
      <c r="AA1723" s="207"/>
    </row>
    <row r="1724" spans="1:30" ht="119.25" hidden="1" customHeight="1">
      <c r="A1724" s="98">
        <f>A1723+1</f>
        <v>1714</v>
      </c>
      <c r="B1724" s="79" t="str">
        <f>+VLOOKUP(L1724,Code!$A$3:$B$17,2,FALSE)&amp;"-"&amp;VLOOKUP('1.아이디어LIST'!M1724,Code!$C$3:$D$17,2,FALSE)&amp;"-"&amp;VLOOKUP('1.아이디어LIST'!N1724,Code!$E$3:$F$8,2,FALSE)&amp;"-"&amp;COUNTIFS($L$11:L1724,L1724,$M$11:M1724,M1724,$N$11:N1724,N1724)</f>
        <v>CO/I-PI-SNA-8</v>
      </c>
      <c r="C1724" s="148" t="str">
        <f>VLOOKUP(E1724,'(참고)재직자'!$A$2:$F$2761,3,0)</f>
        <v>인프라</v>
      </c>
      <c r="D1724" s="80" t="str">
        <f>VLOOKUP(E1724,'(참고)재직자'!$A$2:$F$2761,5,0)</f>
        <v>현장</v>
      </c>
      <c r="E1724" s="27" t="s">
        <v>8201</v>
      </c>
      <c r="F1724" s="80" t="str">
        <f>VLOOKUP(E1724,'(참고)재직자'!$A$2:$F$2761,6,0)</f>
        <v>사원</v>
      </c>
      <c r="G1724" s="81" t="str">
        <f>VLOOKUP(E1724,'(참고)재직자'!$A$2:$F$2761,4,0)</f>
        <v>세종안성고속도로 2공구</v>
      </c>
      <c r="H1724" s="80" t="str">
        <f>VLOOKUP(E1724,'(참고)재직자'!$A$2:$F$2761,2,0)</f>
        <v>박준호</v>
      </c>
      <c r="I1724" s="202">
        <v>46019</v>
      </c>
      <c r="J1724" s="80" t="str">
        <f>VLOOKUP('1.아이디어LIST'!L1724,Code!$A$21:$D$40,3,FALSE)&amp;", "&amp;VLOOKUP('1.아이디어LIST'!M1724,Code!$E$21:$H$45,3,FALSE)&amp;", "&amp;VLOOKUP('1.아이디어LIST'!M1724,Code!$E$21:$H$45,4,FALSE)</f>
        <v xml:space="preserve">박재보, 박재보, </v>
      </c>
      <c r="K1724" s="286" t="str">
        <f>VLOOKUP(L1724,Code!$A$21:$C$40,3,0)</f>
        <v>박재보</v>
      </c>
      <c r="L1724" s="84" t="s">
        <v>100</v>
      </c>
      <c r="M1724" s="84" t="s">
        <v>252</v>
      </c>
      <c r="N1724" s="201" t="s">
        <v>920</v>
      </c>
      <c r="O1724" s="310" t="s">
        <v>8202</v>
      </c>
      <c r="P1724" s="217" t="s">
        <v>8203</v>
      </c>
      <c r="Q1724" s="292" t="s">
        <v>75</v>
      </c>
      <c r="R1724" s="293" t="s">
        <v>91</v>
      </c>
      <c r="S1724" s="317" t="s">
        <v>76</v>
      </c>
      <c r="T1724" s="293" t="s">
        <v>76</v>
      </c>
      <c r="U1724" s="289" t="s">
        <v>8204</v>
      </c>
      <c r="V1724" s="66"/>
      <c r="W1724" s="138"/>
      <c r="X1724" s="106"/>
      <c r="Y1724" s="209"/>
      <c r="Z1724" s="210"/>
      <c r="AA1724" s="207"/>
    </row>
    <row r="1725" spans="1:30" ht="66" hidden="1">
      <c r="A1725" s="98">
        <f>A1724+1</f>
        <v>1715</v>
      </c>
      <c r="B1725" s="79" t="str">
        <f>+VLOOKUP(L1725,Code!$A$3:$B$17,2,FALSE)&amp;"-"&amp;VLOOKUP('1.아이디어LIST'!M1725,Code!$C$3:$D$17,2,FALSE)&amp;"-"&amp;VLOOKUP('1.아이디어LIST'!N1725,Code!$E$3:$F$8,2,FALSE)&amp;"-"&amp;COUNTIFS($L$11:L1725,L1725,$M$11:M1725,M1725,$N$11:N1725,N1725)</f>
        <v>CO/D-PI-CE-77</v>
      </c>
      <c r="C1725" s="148" t="str">
        <f>VLOOKUP(E1725,'(참고)재직자'!$A$2:$F$2761,3,0)</f>
        <v>건축</v>
      </c>
      <c r="D1725" s="80" t="str">
        <f>VLOOKUP(E1725,'(참고)재직자'!$A$2:$F$2761,5,0)</f>
        <v>현장</v>
      </c>
      <c r="E1725" s="27" t="s">
        <v>2272</v>
      </c>
      <c r="F1725" s="80" t="str">
        <f>VLOOKUP(E1725,'(참고)재직자'!$A$2:$F$2761,6,0)</f>
        <v>대리</v>
      </c>
      <c r="G1725" s="81" t="str">
        <f>VLOOKUP(E1725,'(참고)재직자'!$A$2:$F$2761,4,0)</f>
        <v>춘천 프리미엄 빌리지 건설공사</v>
      </c>
      <c r="H1725" s="80" t="str">
        <f>VLOOKUP(E1725,'(참고)재직자'!$A$2:$F$2761,2,0)</f>
        <v>이성로</v>
      </c>
      <c r="I1725" s="202">
        <v>46024</v>
      </c>
      <c r="J1725" s="80" t="str">
        <f>VLOOKUP('1.아이디어LIST'!L1725,Code!$A$21:$D$40,3,FALSE)&amp;", "&amp;VLOOKUP('1.아이디어LIST'!M1725,Code!$E$21:$H$45,3,FALSE)&amp;", "&amp;VLOOKUP('1.아이디어LIST'!M1725,Code!$E$21:$H$45,4,FALSE)</f>
        <v xml:space="preserve">고한울, 박재보, </v>
      </c>
      <c r="K1725" s="286" t="str">
        <f>VLOOKUP(L1725,Code!$A$21:$C$40,3,0)</f>
        <v>고한울</v>
      </c>
      <c r="L1725" s="84" t="s">
        <v>189</v>
      </c>
      <c r="M1725" s="84" t="s">
        <v>252</v>
      </c>
      <c r="N1725" s="201" t="s">
        <v>72</v>
      </c>
      <c r="O1725" s="200" t="s">
        <v>8205</v>
      </c>
      <c r="P1725" s="217" t="s">
        <v>8206</v>
      </c>
      <c r="Q1725" s="292" t="s">
        <v>75</v>
      </c>
      <c r="R1725" s="293" t="s">
        <v>91</v>
      </c>
      <c r="S1725" s="291" t="s">
        <v>76</v>
      </c>
      <c r="T1725" s="290" t="s">
        <v>76</v>
      </c>
      <c r="U1725" s="289" t="s">
        <v>8207</v>
      </c>
      <c r="V1725" s="66"/>
      <c r="W1725" s="138"/>
      <c r="X1725" s="106"/>
      <c r="Y1725" s="209"/>
      <c r="Z1725" s="210"/>
      <c r="AA1725" s="207"/>
    </row>
    <row r="1726" spans="1:30" ht="51" hidden="1">
      <c r="A1726" s="98">
        <f>A1725+1</f>
        <v>1716</v>
      </c>
      <c r="B1726" s="79" t="str">
        <f>+VLOOKUP(L1726,Code!$A$3:$B$17,2,FALSE)&amp;"-"&amp;VLOOKUP('1.아이디어LIST'!M1726,Code!$C$3:$D$17,2,FALSE)&amp;"-"&amp;VLOOKUP('1.아이디어LIST'!N1726,Code!$E$3:$F$8,2,FALSE)&amp;"-"&amp;COUNTIFS($L$11:L1726,L1726,$M$11:M1726,M1726,$N$11:N1726,N1726)</f>
        <v>CO/D-PI-CE-78</v>
      </c>
      <c r="C1726" s="148" t="str">
        <f>VLOOKUP(E1726,'(참고)재직자'!$A$2:$F$2761,3,0)</f>
        <v>건축</v>
      </c>
      <c r="D1726" s="80" t="str">
        <f>VLOOKUP(E1726,'(참고)재직자'!$A$2:$F$2761,5,0)</f>
        <v>본사</v>
      </c>
      <c r="E1726" s="27" t="s">
        <v>407</v>
      </c>
      <c r="F1726" s="80" t="str">
        <f>VLOOKUP(E1726,'(참고)재직자'!$A$2:$F$2761,6,0)</f>
        <v>과장</v>
      </c>
      <c r="G1726" s="81" t="str">
        <f>VLOOKUP(E1726,'(참고)재직자'!$A$2:$F$2761,4,0)</f>
        <v>기술혁신팀</v>
      </c>
      <c r="H1726" s="80" t="str">
        <f>VLOOKUP(E1726,'(참고)재직자'!$A$2:$F$2761,2,0)</f>
        <v>박찬기</v>
      </c>
      <c r="I1726" s="295">
        <v>46027</v>
      </c>
      <c r="J1726" s="80" t="str">
        <f>VLOOKUP('1.아이디어LIST'!L1726,Code!$A$21:$D$40,3,FALSE)&amp;", "&amp;VLOOKUP('1.아이디어LIST'!M1726,Code!$E$21:$H$45,3,FALSE)&amp;", "&amp;VLOOKUP('1.아이디어LIST'!M1726,Code!$E$21:$H$45,4,FALSE)</f>
        <v xml:space="preserve">고한울, 박재보, </v>
      </c>
      <c r="K1726" s="286" t="str">
        <f>VLOOKUP(L1726,Code!$A$21:$C$40,3,0)</f>
        <v>고한울</v>
      </c>
      <c r="L1726" s="84" t="s">
        <v>189</v>
      </c>
      <c r="M1726" s="84" t="s">
        <v>252</v>
      </c>
      <c r="N1726" s="201" t="s">
        <v>72</v>
      </c>
      <c r="O1726" s="200" t="s">
        <v>8208</v>
      </c>
      <c r="P1726" s="217" t="s">
        <v>8209</v>
      </c>
      <c r="Q1726" s="292" t="s">
        <v>75</v>
      </c>
      <c r="R1726" s="293" t="s">
        <v>504</v>
      </c>
      <c r="S1726" s="291" t="s">
        <v>76</v>
      </c>
      <c r="T1726" s="290" t="s">
        <v>76</v>
      </c>
      <c r="U1726" s="289" t="s">
        <v>8210</v>
      </c>
      <c r="V1726" s="66"/>
      <c r="W1726" s="138"/>
      <c r="X1726" s="106"/>
      <c r="Y1726" s="209"/>
      <c r="Z1726" s="210"/>
      <c r="AA1726" s="207"/>
      <c r="AC1726" s="217" t="s">
        <v>8211</v>
      </c>
      <c r="AD1726" t="s">
        <v>8212</v>
      </c>
    </row>
    <row r="1727" spans="1:30" ht="81.75" hidden="1">
      <c r="A1727" s="98">
        <f>A1726+1</f>
        <v>1717</v>
      </c>
      <c r="B1727" s="79" t="str">
        <f>+VLOOKUP(L1727,Code!$A$3:$B$17,2,FALSE)&amp;"-"&amp;VLOOKUP('1.아이디어LIST'!M1727,Code!$C$3:$D$17,2,FALSE)&amp;"-"&amp;VLOOKUP('1.아이디어LIST'!N1727,Code!$E$3:$F$8,2,FALSE)&amp;"-"&amp;COUNTIFS($L$11:L1727,L1727,$M$11:M1727,M1727,$N$11:N1727,N1727)</f>
        <v>CO/D-PI-CE-79</v>
      </c>
      <c r="C1727" s="148" t="str">
        <f>VLOOKUP(E1727,'(참고)재직자'!$A$2:$F$2761,3,0)</f>
        <v>건축</v>
      </c>
      <c r="D1727" s="80" t="str">
        <f>VLOOKUP(E1727,'(참고)재직자'!$A$2:$F$2761,5,0)</f>
        <v>현장</v>
      </c>
      <c r="E1727" s="27" t="s">
        <v>6311</v>
      </c>
      <c r="F1727" s="80" t="str">
        <f>VLOOKUP(E1727,'(참고)재직자'!$A$2:$F$2761,6,0)</f>
        <v>과장</v>
      </c>
      <c r="G1727" s="81" t="str">
        <f>VLOOKUP(E1727,'(참고)재직자'!$A$2:$F$2761,4,0)</f>
        <v>인천 학익4 재개발</v>
      </c>
      <c r="H1727" s="80" t="str">
        <f>VLOOKUP(E1727,'(참고)재직자'!$A$2:$F$2761,2,0)</f>
        <v>신호</v>
      </c>
      <c r="I1727" s="295">
        <v>46027</v>
      </c>
      <c r="J1727" s="80" t="str">
        <f>VLOOKUP('1.아이디어LIST'!L1727,Code!$A$21:$D$40,3,FALSE)&amp;", "&amp;VLOOKUP('1.아이디어LIST'!M1727,Code!$E$21:$H$45,3,FALSE)&amp;", "&amp;VLOOKUP('1.아이디어LIST'!M1727,Code!$E$21:$H$45,4,FALSE)</f>
        <v xml:space="preserve">고한울, 박재보, </v>
      </c>
      <c r="K1727" s="286" t="s">
        <v>198</v>
      </c>
      <c r="L1727" s="84" t="s">
        <v>189</v>
      </c>
      <c r="M1727" s="84" t="s">
        <v>252</v>
      </c>
      <c r="N1727" s="201" t="s">
        <v>72</v>
      </c>
      <c r="O1727" s="200" t="s">
        <v>6313</v>
      </c>
      <c r="P1727" s="217" t="s">
        <v>6314</v>
      </c>
      <c r="Q1727" s="294" t="s">
        <v>91</v>
      </c>
      <c r="R1727" s="293" t="s">
        <v>76</v>
      </c>
      <c r="S1727" s="291" t="s">
        <v>76</v>
      </c>
      <c r="T1727" s="290" t="s">
        <v>76</v>
      </c>
      <c r="U1727" s="289" t="s">
        <v>8213</v>
      </c>
      <c r="V1727" s="66"/>
      <c r="W1727" s="138"/>
      <c r="X1727" s="106"/>
      <c r="Y1727" s="209"/>
      <c r="Z1727" s="210"/>
      <c r="AA1727" s="207"/>
      <c r="AC1727" s="217" t="s">
        <v>8211</v>
      </c>
      <c r="AD1727" t="s">
        <v>8214</v>
      </c>
    </row>
    <row r="1728" spans="1:30" ht="114.75" hidden="1">
      <c r="A1728" s="98">
        <f>A1727+1</f>
        <v>1718</v>
      </c>
      <c r="B1728" s="79" t="str">
        <f>+VLOOKUP(L1728,Code!$A$3:$B$17,2,FALSE)&amp;"-"&amp;VLOOKUP('1.아이디어LIST'!M1728,Code!$C$3:$D$17,2,FALSE)&amp;"-"&amp;VLOOKUP('1.아이디어LIST'!N1728,Code!$E$3:$F$8,2,FALSE)&amp;"-"&amp;COUNTIFS($L$11:L1728,L1728,$M$11:M1728,M1728,$N$11:N1728,N1728)</f>
        <v>CO/D-PI-CE-80</v>
      </c>
      <c r="C1728" s="148" t="str">
        <f>VLOOKUP(E1728,'(참고)재직자'!$A$2:$F$2761,3,0)</f>
        <v>건축</v>
      </c>
      <c r="D1728" s="80" t="str">
        <f>VLOOKUP(E1728,'(참고)재직자'!$A$2:$F$2761,5,0)</f>
        <v>현장</v>
      </c>
      <c r="E1728" s="27" t="s">
        <v>2636</v>
      </c>
      <c r="F1728" s="80" t="str">
        <f>VLOOKUP(E1728,'(참고)재직자'!$A$2:$F$2761,6,0)</f>
        <v>과장</v>
      </c>
      <c r="G1728" s="81" t="str">
        <f>VLOOKUP(E1728,'(참고)재직자'!$A$2:$F$2761,4,0)</f>
        <v>충주 용산주공 재건축</v>
      </c>
      <c r="H1728" s="80" t="str">
        <f>VLOOKUP(E1728,'(참고)재직자'!$A$2:$F$2761,2,0)</f>
        <v>양형석</v>
      </c>
      <c r="I1728" s="295">
        <v>46027</v>
      </c>
      <c r="J1728" s="80" t="str">
        <f>VLOOKUP('1.아이디어LIST'!L1728,Code!$A$21:$D$40,3,FALSE)&amp;", "&amp;VLOOKUP('1.아이디어LIST'!M1728,Code!$E$21:$H$45,3,FALSE)&amp;", "&amp;VLOOKUP('1.아이디어LIST'!M1728,Code!$E$21:$H$45,4,FALSE)</f>
        <v xml:space="preserve">고한울, 박재보, </v>
      </c>
      <c r="K1728" s="296" t="s">
        <v>8215</v>
      </c>
      <c r="L1728" s="84" t="s">
        <v>189</v>
      </c>
      <c r="M1728" s="84" t="s">
        <v>252</v>
      </c>
      <c r="N1728" s="201" t="s">
        <v>72</v>
      </c>
      <c r="O1728" s="200" t="s">
        <v>8216</v>
      </c>
      <c r="P1728" s="217" t="s">
        <v>8217</v>
      </c>
      <c r="Q1728" s="294" t="s">
        <v>91</v>
      </c>
      <c r="R1728" s="293" t="s">
        <v>76</v>
      </c>
      <c r="S1728" s="291" t="s">
        <v>76</v>
      </c>
      <c r="T1728" s="290" t="s">
        <v>76</v>
      </c>
      <c r="U1728" s="289" t="s">
        <v>8218</v>
      </c>
      <c r="V1728" s="66"/>
      <c r="W1728" s="138"/>
      <c r="X1728" s="106"/>
      <c r="Y1728" s="209"/>
      <c r="Z1728" s="210"/>
      <c r="AA1728" s="207"/>
      <c r="AC1728" s="217"/>
    </row>
    <row r="1729" spans="1:30" ht="117" hidden="1">
      <c r="A1729" s="98">
        <f>A1728+1</f>
        <v>1719</v>
      </c>
      <c r="B1729" s="79" t="str">
        <f>+VLOOKUP(L1729,Code!$A$3:$B$17,2,FALSE)&amp;"-"&amp;VLOOKUP('1.아이디어LIST'!M1729,Code!$C$3:$D$17,2,FALSE)&amp;"-"&amp;VLOOKUP('1.아이디어LIST'!N1729,Code!$E$3:$F$8,2,FALSE)&amp;"-"&amp;COUNTIFS($L$11:L1729,L1729,$M$11:M1729,M1729,$N$11:N1729,N1729)</f>
        <v>CO/D-PI-CE-81</v>
      </c>
      <c r="C1729" s="148" t="str">
        <f>VLOOKUP(E1729,'(참고)재직자'!$A$2:$F$2761,3,0)</f>
        <v>건축</v>
      </c>
      <c r="D1729" s="80" t="str">
        <f>VLOOKUP(E1729,'(참고)재직자'!$A$2:$F$2761,5,0)</f>
        <v>본사</v>
      </c>
      <c r="E1729" s="27" t="s">
        <v>407</v>
      </c>
      <c r="F1729" s="80" t="str">
        <f>VLOOKUP(E1729,'(참고)재직자'!$A$2:$F$2761,6,0)</f>
        <v>과장</v>
      </c>
      <c r="G1729" s="81" t="str">
        <f>VLOOKUP(E1729,'(참고)재직자'!$A$2:$F$2761,4,0)</f>
        <v>기술혁신팀</v>
      </c>
      <c r="H1729" s="80" t="str">
        <f>VLOOKUP(E1729,'(참고)재직자'!$A$2:$F$2761,2,0)</f>
        <v>박찬기</v>
      </c>
      <c r="I1729" s="295">
        <v>46028</v>
      </c>
      <c r="J1729" s="80" t="str">
        <f>VLOOKUP('1.아이디어LIST'!L1729,Code!$A$21:$D$40,3,FALSE)&amp;", "&amp;VLOOKUP('1.아이디어LIST'!M1729,Code!$E$21:$H$45,3,FALSE)&amp;", "&amp;VLOOKUP('1.아이디어LIST'!M1729,Code!$E$21:$H$45,4,FALSE)</f>
        <v xml:space="preserve">고한울, 박재보, </v>
      </c>
      <c r="K1729" s="286" t="str">
        <f>VLOOKUP(L1729,Code!$A$21:$C$40,3,0)</f>
        <v>고한울</v>
      </c>
      <c r="L1729" s="84" t="s">
        <v>189</v>
      </c>
      <c r="M1729" s="84" t="s">
        <v>252</v>
      </c>
      <c r="N1729" s="201" t="s">
        <v>72</v>
      </c>
      <c r="O1729" s="200" t="s">
        <v>8219</v>
      </c>
      <c r="P1729" s="217" t="s">
        <v>8220</v>
      </c>
      <c r="Q1729" s="294" t="s">
        <v>91</v>
      </c>
      <c r="R1729" s="293" t="s">
        <v>76</v>
      </c>
      <c r="S1729" s="291" t="s">
        <v>76</v>
      </c>
      <c r="T1729" s="290" t="s">
        <v>76</v>
      </c>
      <c r="U1729" s="289" t="s">
        <v>8221</v>
      </c>
      <c r="V1729" s="66"/>
      <c r="W1729" s="138"/>
      <c r="X1729" s="106"/>
      <c r="Y1729" s="209"/>
      <c r="Z1729" s="210"/>
      <c r="AA1729" s="207"/>
      <c r="AC1729" s="217" t="s">
        <v>8211</v>
      </c>
      <c r="AD1729" t="s">
        <v>8214</v>
      </c>
    </row>
    <row r="1730" spans="1:30" ht="34.5" hidden="1">
      <c r="A1730" s="98">
        <f>A1729+1</f>
        <v>1720</v>
      </c>
      <c r="B1730" s="79" t="str">
        <f>+VLOOKUP(L1730,Code!$A$3:$B$17,2,FALSE)&amp;"-"&amp;VLOOKUP('1.아이디어LIST'!M1730,Code!$C$3:$D$17,2,FALSE)&amp;"-"&amp;VLOOKUP('1.아이디어LIST'!N1730,Code!$E$3:$F$8,2,FALSE)&amp;"-"&amp;COUNTIFS($L$11:L1730,L1730,$M$11:M1730,M1730,$N$11:N1730,N1730)</f>
        <v>CO/D-PI-CE-82</v>
      </c>
      <c r="C1730" s="148" t="str">
        <f>VLOOKUP(E1730,'(참고)재직자'!$A$2:$F$2761,3,0)</f>
        <v>건축</v>
      </c>
      <c r="D1730" s="80" t="str">
        <f>VLOOKUP(E1730,'(참고)재직자'!$A$2:$F$2761,5,0)</f>
        <v>현장</v>
      </c>
      <c r="E1730" s="27" t="s">
        <v>2409</v>
      </c>
      <c r="F1730" s="80" t="str">
        <f>VLOOKUP(E1730,'(참고)재직자'!$A$2:$F$2761,6,0)</f>
        <v>차장</v>
      </c>
      <c r="G1730" s="81" t="str">
        <f>VLOOKUP(E1730,'(참고)재직자'!$A$2:$F$2761,4,0)</f>
        <v>도마변동9 재개발</v>
      </c>
      <c r="H1730" s="80" t="str">
        <f>VLOOKUP(E1730,'(참고)재직자'!$A$2:$F$2761,2,0)</f>
        <v>양혁철</v>
      </c>
      <c r="I1730" s="295">
        <v>46028</v>
      </c>
      <c r="J1730" s="80" t="str">
        <f>VLOOKUP('1.아이디어LIST'!L1730,Code!$A$21:$D$40,3,FALSE)&amp;", "&amp;VLOOKUP('1.아이디어LIST'!M1730,Code!$E$21:$H$45,3,FALSE)&amp;", "&amp;VLOOKUP('1.아이디어LIST'!M1730,Code!$E$21:$H$45,4,FALSE)</f>
        <v xml:space="preserve">고한울, 박재보, </v>
      </c>
      <c r="K1730" s="286" t="str">
        <f>VLOOKUP(L1730,Code!$A$21:$C$40,3,0)</f>
        <v>고한울</v>
      </c>
      <c r="L1730" s="84" t="s">
        <v>189</v>
      </c>
      <c r="M1730" s="84" t="s">
        <v>252</v>
      </c>
      <c r="N1730" s="201" t="s">
        <v>72</v>
      </c>
      <c r="O1730" s="200" t="s">
        <v>8222</v>
      </c>
      <c r="P1730" s="217" t="s">
        <v>8223</v>
      </c>
      <c r="Q1730" s="292" t="s">
        <v>75</v>
      </c>
      <c r="R1730" s="293" t="s">
        <v>504</v>
      </c>
      <c r="S1730" s="291" t="s">
        <v>76</v>
      </c>
      <c r="T1730" s="290" t="s">
        <v>76</v>
      </c>
      <c r="U1730" s="289" t="s">
        <v>8224</v>
      </c>
      <c r="V1730" s="66"/>
      <c r="W1730" s="138"/>
      <c r="X1730" s="106"/>
      <c r="Y1730" s="209"/>
      <c r="Z1730" s="210"/>
      <c r="AA1730" s="207"/>
      <c r="AC1730" s="217" t="s">
        <v>8211</v>
      </c>
      <c r="AD1730" t="s">
        <v>252</v>
      </c>
    </row>
    <row r="1731" spans="1:30" ht="98.25" hidden="1">
      <c r="A1731" s="98">
        <f>A1730+1</f>
        <v>1721</v>
      </c>
      <c r="B1731" s="79" t="str">
        <f>+VLOOKUP(L1731,Code!$A$3:$B$17,2,FALSE)&amp;"-"&amp;VLOOKUP('1.아이디어LIST'!M1731,Code!$C$3:$D$17,2,FALSE)&amp;"-"&amp;VLOOKUP('1.아이디어LIST'!N1731,Code!$E$3:$F$8,2,FALSE)&amp;"-"&amp;COUNTIFS($L$11:L1731,L1731,$M$11:M1731,M1731,$N$11:N1731,N1731)</f>
        <v>IN/C-PI-CE-83</v>
      </c>
      <c r="C1731" s="148" t="str">
        <f>VLOOKUP(E1731,'(참고)재직자'!$A$2:$F$2761,3,0)</f>
        <v>인프라</v>
      </c>
      <c r="D1731" s="80" t="str">
        <f>VLOOKUP(E1731,'(참고)재직자'!$A$2:$F$2761,5,0)</f>
        <v>현장</v>
      </c>
      <c r="E1731" s="27" t="s">
        <v>6404</v>
      </c>
      <c r="F1731" s="80" t="str">
        <f>VLOOKUP(E1731,'(참고)재직자'!$A$2:$F$2761,6,0)</f>
        <v>과장</v>
      </c>
      <c r="G1731" s="81" t="str">
        <f>VLOOKUP(E1731,'(참고)재직자'!$A$2:$F$2761,4,0)</f>
        <v>함양창녕고속도로4공구</v>
      </c>
      <c r="H1731" s="80" t="str">
        <f>VLOOKUP(E1731,'(참고)재직자'!$A$2:$F$2761,2,0)</f>
        <v>권경안</v>
      </c>
      <c r="I1731" s="295">
        <v>46028</v>
      </c>
      <c r="J1731" s="80" t="str">
        <f>VLOOKUP('1.아이디어LIST'!L1731,Code!$A$21:$D$40,3,FALSE)&amp;", "&amp;VLOOKUP('1.아이디어LIST'!M1731,Code!$E$21:$H$45,3,FALSE)&amp;", "&amp;VLOOKUP('1.아이디어LIST'!M1731,Code!$E$21:$H$45,4,FALSE)</f>
        <v xml:space="preserve">김태영, 박재보, </v>
      </c>
      <c r="K1731" s="286" t="str">
        <f>VLOOKUP(L1731,Code!$A$21:$C$40,3,0)</f>
        <v>김태영</v>
      </c>
      <c r="L1731" s="84" t="s">
        <v>10</v>
      </c>
      <c r="M1731" s="84" t="s">
        <v>252</v>
      </c>
      <c r="N1731" s="201" t="s">
        <v>72</v>
      </c>
      <c r="O1731" s="310" t="s">
        <v>8225</v>
      </c>
      <c r="P1731" s="217" t="s">
        <v>8226</v>
      </c>
      <c r="Q1731" s="292" t="s">
        <v>75</v>
      </c>
      <c r="R1731" s="293" t="s">
        <v>91</v>
      </c>
      <c r="S1731" s="291" t="s">
        <v>76</v>
      </c>
      <c r="T1731" s="290" t="s">
        <v>76</v>
      </c>
      <c r="U1731" s="289" t="s">
        <v>8227</v>
      </c>
      <c r="V1731" s="66"/>
      <c r="W1731" s="138"/>
      <c r="X1731" s="106"/>
      <c r="Y1731" s="209"/>
      <c r="Z1731" s="210"/>
      <c r="AA1731" s="207"/>
      <c r="AC1731" s="217"/>
    </row>
    <row r="1732" spans="1:30" ht="134.25" hidden="1">
      <c r="A1732" s="98">
        <f>A1731+1</f>
        <v>1722</v>
      </c>
      <c r="B1732" s="79" t="str">
        <f>+VLOOKUP(L1732,Code!$A$3:$B$17,2,FALSE)&amp;"-"&amp;VLOOKUP('1.아이디어LIST'!M1732,Code!$C$3:$D$17,2,FALSE)&amp;"-"&amp;VLOOKUP('1.아이디어LIST'!N1732,Code!$E$3:$F$8,2,FALSE)&amp;"-"&amp;COUNTIFS($L$11:L1732,L1732,$M$11:M1732,M1732,$N$11:N1732,N1732)</f>
        <v>CO/D-PI-CE-83</v>
      </c>
      <c r="C1732" s="148" t="str">
        <f>VLOOKUP(E1732,'(참고)재직자'!$A$2:$F$2761,3,0)</f>
        <v>건축</v>
      </c>
      <c r="D1732" s="80" t="str">
        <f>VLOOKUP(E1732,'(참고)재직자'!$A$2:$F$2761,5,0)</f>
        <v>현장</v>
      </c>
      <c r="E1732" s="27" t="s">
        <v>8228</v>
      </c>
      <c r="F1732" s="80" t="str">
        <f>VLOOKUP(E1732,'(참고)재직자'!$A$2:$F$2761,6,0)</f>
        <v>과장</v>
      </c>
      <c r="G1732" s="81" t="str">
        <f>VLOOKUP(E1732,'(참고)재직자'!$A$2:$F$2761,4,0)</f>
        <v>부산대연 재건축</v>
      </c>
      <c r="H1732" s="80" t="str">
        <f>VLOOKUP(E1732,'(참고)재직자'!$A$2:$F$2761,2,0)</f>
        <v>하명성</v>
      </c>
      <c r="I1732" s="295">
        <v>46028</v>
      </c>
      <c r="J1732" s="80" t="str">
        <f>VLOOKUP('1.아이디어LIST'!L1732,Code!$A$21:$D$40,3,FALSE)&amp;", "&amp;VLOOKUP('1.아이디어LIST'!M1732,Code!$E$21:$H$45,3,FALSE)&amp;", "&amp;VLOOKUP('1.아이디어LIST'!M1732,Code!$E$21:$H$45,4,FALSE)</f>
        <v xml:space="preserve">고한울, 박재보, </v>
      </c>
      <c r="K1732" s="286" t="str">
        <f>VLOOKUP(L1732,Code!$A$21:$C$40,3,0)</f>
        <v>고한울</v>
      </c>
      <c r="L1732" s="84" t="s">
        <v>189</v>
      </c>
      <c r="M1732" s="84" t="s">
        <v>252</v>
      </c>
      <c r="N1732" s="201" t="s">
        <v>72</v>
      </c>
      <c r="O1732" s="200" t="s">
        <v>8229</v>
      </c>
      <c r="P1732" s="217" t="s">
        <v>8230</v>
      </c>
      <c r="Q1732" s="292" t="s">
        <v>75</v>
      </c>
      <c r="R1732" s="293" t="s">
        <v>91</v>
      </c>
      <c r="S1732" s="291" t="s">
        <v>76</v>
      </c>
      <c r="T1732" s="290" t="s">
        <v>76</v>
      </c>
      <c r="U1732" s="289" t="s">
        <v>8231</v>
      </c>
      <c r="V1732" s="66"/>
      <c r="W1732" s="138"/>
      <c r="X1732" s="106"/>
      <c r="Y1732" s="209"/>
      <c r="Z1732" s="210"/>
      <c r="AA1732" s="207"/>
      <c r="AC1732" s="217" t="s">
        <v>8211</v>
      </c>
      <c r="AD1732" t="s">
        <v>8214</v>
      </c>
    </row>
    <row r="1733" spans="1:30" ht="102" hidden="1">
      <c r="A1733" s="98">
        <f>A1732+1</f>
        <v>1723</v>
      </c>
      <c r="B1733" s="79" t="str">
        <f>+VLOOKUP(L1733,Code!$A$3:$B$17,2,FALSE)&amp;"-"&amp;VLOOKUP('1.아이디어LIST'!M1733,Code!$C$3:$D$17,2,FALSE)&amp;"-"&amp;VLOOKUP('1.아이디어LIST'!N1733,Code!$E$3:$F$8,2,FALSE)&amp;"-"&amp;COUNTIFS($L$11:L1733,L1733,$M$11:M1733,M1733,$N$11:N1733,N1733)</f>
        <v>CO/D-PI-CE-84</v>
      </c>
      <c r="C1733" s="148" t="str">
        <f>VLOOKUP(E1733,'(참고)재직자'!$A$2:$F$2761,3,0)</f>
        <v>건축</v>
      </c>
      <c r="D1733" s="80" t="str">
        <f>VLOOKUP(E1733,'(참고)재직자'!$A$2:$F$2761,5,0)</f>
        <v>현장</v>
      </c>
      <c r="E1733" s="27" t="s">
        <v>8228</v>
      </c>
      <c r="F1733" s="80" t="str">
        <f>VLOOKUP(E1733,'(참고)재직자'!$A$2:$F$2761,6,0)</f>
        <v>과장</v>
      </c>
      <c r="G1733" s="81" t="str">
        <f>VLOOKUP(E1733,'(참고)재직자'!$A$2:$F$2761,4,0)</f>
        <v>부산대연 재건축</v>
      </c>
      <c r="H1733" s="80" t="str">
        <f>VLOOKUP(E1733,'(참고)재직자'!$A$2:$F$2761,2,0)</f>
        <v>하명성</v>
      </c>
      <c r="I1733" s="295">
        <v>46028</v>
      </c>
      <c r="J1733" s="80" t="str">
        <f>VLOOKUP('1.아이디어LIST'!L1733,Code!$A$21:$D$40,3,FALSE)&amp;", "&amp;VLOOKUP('1.아이디어LIST'!M1733,Code!$E$21:$H$45,3,FALSE)&amp;", "&amp;VLOOKUP('1.아이디어LIST'!M1733,Code!$E$21:$H$45,4,FALSE)</f>
        <v xml:space="preserve">고한울, 박재보, </v>
      </c>
      <c r="K1733" s="286" t="str">
        <f>VLOOKUP(L1733,Code!$A$21:$C$40,3,0)</f>
        <v>고한울</v>
      </c>
      <c r="L1733" s="84" t="s">
        <v>189</v>
      </c>
      <c r="M1733" s="84" t="s">
        <v>252</v>
      </c>
      <c r="N1733" s="201" t="s">
        <v>72</v>
      </c>
      <c r="O1733" s="200" t="s">
        <v>8232</v>
      </c>
      <c r="P1733" s="217" t="s">
        <v>8233</v>
      </c>
      <c r="Q1733" s="292" t="s">
        <v>75</v>
      </c>
      <c r="R1733" s="293" t="s">
        <v>91</v>
      </c>
      <c r="S1733" s="291" t="s">
        <v>76</v>
      </c>
      <c r="T1733" s="290" t="s">
        <v>76</v>
      </c>
      <c r="U1733" s="289" t="s">
        <v>8234</v>
      </c>
      <c r="V1733" s="66"/>
      <c r="W1733" s="138"/>
      <c r="X1733" s="106"/>
      <c r="Y1733" s="209"/>
      <c r="Z1733" s="210"/>
      <c r="AA1733" s="207"/>
      <c r="AC1733" s="217" t="s">
        <v>8211</v>
      </c>
      <c r="AD1733" t="s">
        <v>8214</v>
      </c>
    </row>
    <row r="1734" spans="1:30" ht="99" hidden="1">
      <c r="A1734" s="98">
        <f>A1733+1</f>
        <v>1724</v>
      </c>
      <c r="B1734" s="79" t="str">
        <f>+VLOOKUP(L1734,Code!$A$3:$B$17,2,FALSE)&amp;"-"&amp;VLOOKUP('1.아이디어LIST'!M1734,Code!$C$3:$D$17,2,FALSE)&amp;"-"&amp;VLOOKUP('1.아이디어LIST'!N1734,Code!$E$3:$F$8,2,FALSE)&amp;"-"&amp;COUNTIFS($L$11:L1734,L1734,$M$11:M1734,M1734,$N$11:N1734,N1734)</f>
        <v>CO/D-PI-CE-85</v>
      </c>
      <c r="C1734" s="148" t="str">
        <f>VLOOKUP(E1734,'(참고)재직자'!$A$2:$F$2761,3,0)</f>
        <v>건축</v>
      </c>
      <c r="D1734" s="80" t="str">
        <f>VLOOKUP(E1734,'(참고)재직자'!$A$2:$F$2761,5,0)</f>
        <v>현장</v>
      </c>
      <c r="E1734" s="27" t="s">
        <v>8228</v>
      </c>
      <c r="F1734" s="80" t="str">
        <f>VLOOKUP(E1734,'(참고)재직자'!$A$2:$F$2761,6,0)</f>
        <v>과장</v>
      </c>
      <c r="G1734" s="81" t="str">
        <f>VLOOKUP(E1734,'(참고)재직자'!$A$2:$F$2761,4,0)</f>
        <v>부산대연 재건축</v>
      </c>
      <c r="H1734" s="80" t="str">
        <f>VLOOKUP(E1734,'(참고)재직자'!$A$2:$F$2761,2,0)</f>
        <v>하명성</v>
      </c>
      <c r="I1734" s="295">
        <v>46028</v>
      </c>
      <c r="J1734" s="80" t="str">
        <f>VLOOKUP('1.아이디어LIST'!L1734,Code!$A$21:$D$40,3,FALSE)&amp;", "&amp;VLOOKUP('1.아이디어LIST'!M1734,Code!$E$21:$H$45,3,FALSE)&amp;", "&amp;VLOOKUP('1.아이디어LIST'!M1734,Code!$E$21:$H$45,4,FALSE)</f>
        <v xml:space="preserve">고한울, 박재보, </v>
      </c>
      <c r="K1734" s="286" t="str">
        <f>VLOOKUP(L1734,Code!$A$21:$C$40,3,0)</f>
        <v>고한울</v>
      </c>
      <c r="L1734" s="84" t="s">
        <v>189</v>
      </c>
      <c r="M1734" s="84" t="s">
        <v>252</v>
      </c>
      <c r="N1734" s="201" t="s">
        <v>72</v>
      </c>
      <c r="O1734" s="200" t="s">
        <v>8235</v>
      </c>
      <c r="P1734" s="217" t="s">
        <v>8236</v>
      </c>
      <c r="Q1734" s="292" t="s">
        <v>75</v>
      </c>
      <c r="R1734" s="293" t="s">
        <v>91</v>
      </c>
      <c r="S1734" s="291" t="s">
        <v>76</v>
      </c>
      <c r="T1734" s="290" t="s">
        <v>76</v>
      </c>
      <c r="U1734" s="289" t="s">
        <v>8237</v>
      </c>
      <c r="V1734" s="66"/>
      <c r="W1734" s="138"/>
      <c r="X1734" s="106"/>
      <c r="Y1734" s="209"/>
      <c r="Z1734" s="210"/>
      <c r="AA1734" s="207"/>
      <c r="AC1734" s="217" t="s">
        <v>8211</v>
      </c>
      <c r="AD1734" t="s">
        <v>252</v>
      </c>
    </row>
    <row r="1735" spans="1:30" ht="150.75" hidden="1">
      <c r="A1735" s="98">
        <f>A1734+1</f>
        <v>1725</v>
      </c>
      <c r="B1735" s="79" t="str">
        <f>+VLOOKUP(L1735,Code!$A$3:$B$17,2,FALSE)&amp;"-"&amp;VLOOKUP('1.아이디어LIST'!M1735,Code!$C$3:$D$17,2,FALSE)&amp;"-"&amp;VLOOKUP('1.아이디어LIST'!N1735,Code!$E$3:$F$8,2,FALSE)&amp;"-"&amp;COUNTIFS($L$11:L1735,L1735,$M$11:M1735,M1735,$N$11:N1735,N1735)</f>
        <v>CO/D-PI-CE-86</v>
      </c>
      <c r="C1735" s="148" t="str">
        <f>VLOOKUP(E1735,'(참고)재직자'!$A$2:$F$2761,3,0)</f>
        <v>건축</v>
      </c>
      <c r="D1735" s="80" t="str">
        <f>VLOOKUP(E1735,'(참고)재직자'!$A$2:$F$2761,5,0)</f>
        <v>본사</v>
      </c>
      <c r="E1735" s="27" t="s">
        <v>8238</v>
      </c>
      <c r="F1735" s="80" t="str">
        <f>VLOOKUP(E1735,'(참고)재직자'!$A$2:$F$2761,6,0)</f>
        <v>대리</v>
      </c>
      <c r="G1735" s="81" t="str">
        <f>VLOOKUP(E1735,'(참고)재직자'!$A$2:$F$2761,4,0)</f>
        <v>건축기계팀</v>
      </c>
      <c r="H1735" s="80" t="str">
        <f>VLOOKUP(E1735,'(참고)재직자'!$A$2:$F$2761,2,0)</f>
        <v>박남재</v>
      </c>
      <c r="I1735" s="295">
        <v>46029</v>
      </c>
      <c r="J1735" s="80" t="str">
        <f>VLOOKUP('1.아이디어LIST'!L1735,Code!$A$21:$D$40,3,FALSE)&amp;", "&amp;VLOOKUP('1.아이디어LIST'!M1735,Code!$E$21:$H$45,3,FALSE)&amp;", "&amp;VLOOKUP('1.아이디어LIST'!M1735,Code!$E$21:$H$45,4,FALSE)</f>
        <v xml:space="preserve">고한울, 박재보, </v>
      </c>
      <c r="K1735" s="286" t="s">
        <v>156</v>
      </c>
      <c r="L1735" s="84" t="s">
        <v>189</v>
      </c>
      <c r="M1735" s="84" t="s">
        <v>252</v>
      </c>
      <c r="N1735" s="201" t="s">
        <v>72</v>
      </c>
      <c r="O1735" s="200" t="s">
        <v>8239</v>
      </c>
      <c r="P1735" s="217" t="s">
        <v>8240</v>
      </c>
      <c r="Q1735" s="292" t="s">
        <v>75</v>
      </c>
      <c r="R1735" s="25" t="s">
        <v>75</v>
      </c>
      <c r="S1735" s="291" t="s">
        <v>76</v>
      </c>
      <c r="T1735" s="290" t="s">
        <v>76</v>
      </c>
      <c r="U1735" s="289" t="s">
        <v>8241</v>
      </c>
      <c r="V1735" s="66"/>
      <c r="W1735" s="138"/>
      <c r="X1735" s="106"/>
      <c r="Y1735" s="209"/>
      <c r="Z1735" s="210"/>
      <c r="AA1735" s="207"/>
      <c r="AC1735" s="217" t="s">
        <v>8211</v>
      </c>
      <c r="AD1735" t="s">
        <v>8214</v>
      </c>
    </row>
    <row r="1736" spans="1:30" ht="66" hidden="1">
      <c r="A1736" s="98">
        <f>A1735+1</f>
        <v>1726</v>
      </c>
      <c r="B1736" s="79" t="str">
        <f>+VLOOKUP(L1736,Code!$A$3:$B$17,2,FALSE)&amp;"-"&amp;VLOOKUP('1.아이디어LIST'!M1736,Code!$C$3:$D$17,2,FALSE)&amp;"-"&amp;VLOOKUP('1.아이디어LIST'!N1736,Code!$E$3:$F$8,2,FALSE)&amp;"-"&amp;COUNTIFS($L$11:L1736,L1736,$M$11:M1736,M1736,$N$11:N1736,N1736)</f>
        <v>CO/D-PI-CE-87</v>
      </c>
      <c r="C1736" s="148" t="str">
        <f>VLOOKUP(E1736,'(참고)재직자'!$A$2:$F$2761,3,0)</f>
        <v>건축</v>
      </c>
      <c r="D1736" s="80" t="str">
        <f>VLOOKUP(E1736,'(참고)재직자'!$A$2:$F$2761,5,0)</f>
        <v>현장</v>
      </c>
      <c r="E1736" s="27" t="s">
        <v>2272</v>
      </c>
      <c r="F1736" s="80" t="str">
        <f>VLOOKUP(E1736,'(참고)재직자'!$A$2:$F$2761,6,0)</f>
        <v>대리</v>
      </c>
      <c r="G1736" s="81" t="str">
        <f>VLOOKUP(E1736,'(참고)재직자'!$A$2:$F$2761,4,0)</f>
        <v>춘천 프리미엄 빌리지 건설공사</v>
      </c>
      <c r="H1736" s="80" t="str">
        <f>VLOOKUP(E1736,'(참고)재직자'!$A$2:$F$2761,2,0)</f>
        <v>이성로</v>
      </c>
      <c r="I1736" s="295">
        <v>46029</v>
      </c>
      <c r="J1736" s="80" t="str">
        <f>VLOOKUP('1.아이디어LIST'!L1736,Code!$A$21:$D$40,3,FALSE)&amp;", "&amp;VLOOKUP('1.아이디어LIST'!M1736,Code!$E$21:$H$45,3,FALSE)&amp;", "&amp;VLOOKUP('1.아이디어LIST'!M1736,Code!$E$21:$H$45,4,FALSE)</f>
        <v xml:space="preserve">고한울, 박재보, </v>
      </c>
      <c r="K1736" s="286" t="str">
        <f>VLOOKUP(L1736,Code!$A$21:$C$40,3,0)</f>
        <v>고한울</v>
      </c>
      <c r="L1736" s="84" t="s">
        <v>189</v>
      </c>
      <c r="M1736" s="84" t="s">
        <v>252</v>
      </c>
      <c r="N1736" s="201" t="s">
        <v>72</v>
      </c>
      <c r="O1736" s="200" t="s">
        <v>8242</v>
      </c>
      <c r="P1736" s="217" t="s">
        <v>8243</v>
      </c>
      <c r="Q1736" s="292" t="s">
        <v>75</v>
      </c>
      <c r="R1736" s="293" t="s">
        <v>91</v>
      </c>
      <c r="S1736" s="291" t="s">
        <v>76</v>
      </c>
      <c r="T1736" s="290" t="s">
        <v>76</v>
      </c>
      <c r="U1736" s="289" t="s">
        <v>8244</v>
      </c>
      <c r="V1736" s="66"/>
      <c r="W1736" s="138"/>
      <c r="X1736" s="106"/>
      <c r="Y1736" s="209"/>
      <c r="Z1736" s="210"/>
      <c r="AA1736" s="207"/>
      <c r="AC1736" s="217" t="s">
        <v>8211</v>
      </c>
      <c r="AD1736" t="s">
        <v>8214</v>
      </c>
    </row>
    <row r="1737" spans="1:30" ht="66" hidden="1">
      <c r="A1737" s="98">
        <f>A1736+1</f>
        <v>1727</v>
      </c>
      <c r="B1737" s="79" t="str">
        <f>+VLOOKUP(L1737,Code!$A$3:$B$17,2,FALSE)&amp;"-"&amp;VLOOKUP('1.아이디어LIST'!M1737,Code!$C$3:$D$17,2,FALSE)&amp;"-"&amp;VLOOKUP('1.아이디어LIST'!N1737,Code!$E$3:$F$8,2,FALSE)&amp;"-"&amp;COUNTIFS($L$11:L1737,L1737,$M$11:M1737,M1737,$N$11:N1737,N1737)</f>
        <v>CO/D-PI-CE-88</v>
      </c>
      <c r="C1737" s="148" t="str">
        <f>VLOOKUP(E1737,'(참고)재직자'!$A$2:$F$2761,3,0)</f>
        <v>건축</v>
      </c>
      <c r="D1737" s="80" t="str">
        <f>VLOOKUP(E1737,'(참고)재직자'!$A$2:$F$2761,5,0)</f>
        <v>현장</v>
      </c>
      <c r="E1737" s="27" t="s">
        <v>8245</v>
      </c>
      <c r="F1737" s="80" t="str">
        <f>VLOOKUP(E1737,'(참고)재직자'!$A$2:$F$2761,6,0)</f>
        <v>대리</v>
      </c>
      <c r="G1737" s="81" t="str">
        <f>VLOOKUP(E1737,'(참고)재직자'!$A$2:$F$2761,4,0)</f>
        <v>서울아레나 복합문화시설</v>
      </c>
      <c r="H1737" s="80" t="str">
        <f>VLOOKUP(E1737,'(참고)재직자'!$A$2:$F$2761,2,0)</f>
        <v>김민수</v>
      </c>
      <c r="I1737" s="295">
        <v>46029</v>
      </c>
      <c r="J1737" s="80" t="str">
        <f>VLOOKUP('1.아이디어LIST'!L1737,Code!$A$21:$D$40,3,FALSE)&amp;", "&amp;VLOOKUP('1.아이디어LIST'!M1737,Code!$E$21:$H$45,3,FALSE)&amp;", "&amp;VLOOKUP('1.아이디어LIST'!M1737,Code!$E$21:$H$45,4,FALSE)</f>
        <v xml:space="preserve">고한울, 박재보, </v>
      </c>
      <c r="K1737" s="286" t="str">
        <f>VLOOKUP(L1737,Code!$A$21:$C$40,3,0)</f>
        <v>고한울</v>
      </c>
      <c r="L1737" s="84" t="s">
        <v>189</v>
      </c>
      <c r="M1737" s="84" t="s">
        <v>252</v>
      </c>
      <c r="N1737" s="201" t="s">
        <v>72</v>
      </c>
      <c r="O1737" s="200" t="s">
        <v>8246</v>
      </c>
      <c r="P1737" s="217" t="s">
        <v>8247</v>
      </c>
      <c r="Q1737" s="294" t="s">
        <v>91</v>
      </c>
      <c r="R1737" s="293" t="s">
        <v>76</v>
      </c>
      <c r="S1737" s="291" t="s">
        <v>76</v>
      </c>
      <c r="T1737" s="290" t="s">
        <v>76</v>
      </c>
      <c r="U1737" s="289" t="s">
        <v>8248</v>
      </c>
      <c r="V1737" s="66"/>
      <c r="W1737" s="138"/>
      <c r="X1737" s="106"/>
      <c r="Y1737" s="209"/>
      <c r="Z1737" s="210"/>
      <c r="AA1737" s="207"/>
      <c r="AC1737" s="217" t="s">
        <v>8211</v>
      </c>
      <c r="AD1737" t="s">
        <v>8214</v>
      </c>
    </row>
    <row r="1738" spans="1:30" ht="150.75" hidden="1">
      <c r="A1738" s="98">
        <f>A1737+1</f>
        <v>1728</v>
      </c>
      <c r="B1738" s="79" t="str">
        <f>+VLOOKUP(L1738,Code!$A$3:$B$17,2,FALSE)&amp;"-"&amp;VLOOKUP('1.아이디어LIST'!M1738,Code!$C$3:$D$17,2,FALSE)&amp;"-"&amp;VLOOKUP('1.아이디어LIST'!N1738,Code!$E$3:$F$8,2,FALSE)&amp;"-"&amp;COUNTIFS($L$11:L1738,L1738,$M$11:M1738,M1738,$N$11:N1738,N1738)</f>
        <v>CO/D-PI-CE-89</v>
      </c>
      <c r="C1738" s="148" t="str">
        <f>VLOOKUP(E1738,'(참고)재직자'!$A$2:$F$2761,3,0)</f>
        <v>건축</v>
      </c>
      <c r="D1738" s="80" t="str">
        <f>VLOOKUP(E1738,'(참고)재직자'!$A$2:$F$2761,5,0)</f>
        <v>현장</v>
      </c>
      <c r="E1738" s="27" t="s">
        <v>3299</v>
      </c>
      <c r="F1738" s="80" t="str">
        <f>VLOOKUP(E1738,'(참고)재직자'!$A$2:$F$2761,6,0)</f>
        <v>대리</v>
      </c>
      <c r="G1738" s="81" t="str">
        <f>VLOOKUP(E1738,'(참고)재직자'!$A$2:$F$2761,4,0)</f>
        <v>미추8구역 재개발</v>
      </c>
      <c r="H1738" s="80" t="str">
        <f>VLOOKUP(E1738,'(참고)재직자'!$A$2:$F$2761,2,0)</f>
        <v>정현호</v>
      </c>
      <c r="I1738" s="295">
        <v>46029</v>
      </c>
      <c r="J1738" s="80" t="str">
        <f>VLOOKUP('1.아이디어LIST'!L1738,Code!$A$21:$D$40,3,FALSE)&amp;", "&amp;VLOOKUP('1.아이디어LIST'!M1738,Code!$E$21:$H$45,3,FALSE)&amp;", "&amp;VLOOKUP('1.아이디어LIST'!M1738,Code!$E$21:$H$45,4,FALSE)</f>
        <v xml:space="preserve">고한울, 박재보, </v>
      </c>
      <c r="K1738" s="286" t="str">
        <f>VLOOKUP(L1738,Code!$A$21:$C$40,3,0)</f>
        <v>고한울</v>
      </c>
      <c r="L1738" s="84" t="s">
        <v>189</v>
      </c>
      <c r="M1738" s="84" t="s">
        <v>252</v>
      </c>
      <c r="N1738" s="201" t="s">
        <v>72</v>
      </c>
      <c r="O1738" s="200" t="s">
        <v>8249</v>
      </c>
      <c r="P1738" s="217" t="s">
        <v>8250</v>
      </c>
      <c r="Q1738" s="294" t="s">
        <v>504</v>
      </c>
      <c r="R1738" s="293" t="s">
        <v>76</v>
      </c>
      <c r="S1738" s="291" t="s">
        <v>76</v>
      </c>
      <c r="T1738" s="290" t="s">
        <v>76</v>
      </c>
      <c r="U1738" s="289" t="s">
        <v>8251</v>
      </c>
      <c r="V1738" s="66"/>
      <c r="W1738" s="138"/>
      <c r="X1738" s="106"/>
      <c r="Y1738" s="209"/>
      <c r="Z1738" s="210"/>
      <c r="AA1738" s="207"/>
      <c r="AC1738" s="217" t="s">
        <v>8211</v>
      </c>
      <c r="AD1738" t="s">
        <v>8214</v>
      </c>
    </row>
    <row r="1739" spans="1:30" ht="167.25" hidden="1">
      <c r="A1739" s="98">
        <f>A1738+1</f>
        <v>1729</v>
      </c>
      <c r="B1739" s="79" t="str">
        <f>+VLOOKUP(L1739,Code!$A$3:$B$17,2,FALSE)&amp;"-"&amp;VLOOKUP('1.아이디어LIST'!M1739,Code!$C$3:$D$17,2,FALSE)&amp;"-"&amp;VLOOKUP('1.아이디어LIST'!N1739,Code!$E$3:$F$8,2,FALSE)&amp;"-"&amp;COUNTIFS($L$11:L1739,L1739,$M$11:M1739,M1739,$N$11:N1739,N1739)</f>
        <v>CO/D-PI-CE-90</v>
      </c>
      <c r="C1739" s="148" t="str">
        <f>VLOOKUP(E1739,'(참고)재직자'!$A$2:$F$2761,3,0)</f>
        <v>건축</v>
      </c>
      <c r="D1739" s="80" t="str">
        <f>VLOOKUP(E1739,'(참고)재직자'!$A$2:$F$2761,5,0)</f>
        <v>현장</v>
      </c>
      <c r="E1739" s="27" t="s">
        <v>3299</v>
      </c>
      <c r="F1739" s="80" t="str">
        <f>VLOOKUP(E1739,'(참고)재직자'!$A$2:$F$2761,6,0)</f>
        <v>대리</v>
      </c>
      <c r="G1739" s="81" t="str">
        <f>VLOOKUP(E1739,'(참고)재직자'!$A$2:$F$2761,4,0)</f>
        <v>미추8구역 재개발</v>
      </c>
      <c r="H1739" s="80" t="str">
        <f>VLOOKUP(E1739,'(참고)재직자'!$A$2:$F$2761,2,0)</f>
        <v>정현호</v>
      </c>
      <c r="I1739" s="295">
        <v>46029</v>
      </c>
      <c r="J1739" s="80" t="str">
        <f>VLOOKUP('1.아이디어LIST'!L1739,Code!$A$21:$D$40,3,FALSE)&amp;", "&amp;VLOOKUP('1.아이디어LIST'!M1739,Code!$E$21:$H$45,3,FALSE)&amp;", "&amp;VLOOKUP('1.아이디어LIST'!M1739,Code!$E$21:$H$45,4,FALSE)</f>
        <v xml:space="preserve">고한울, 박재보, </v>
      </c>
      <c r="K1739" s="286" t="s">
        <v>198</v>
      </c>
      <c r="L1739" s="84" t="s">
        <v>189</v>
      </c>
      <c r="M1739" s="84" t="s">
        <v>252</v>
      </c>
      <c r="N1739" s="201" t="s">
        <v>72</v>
      </c>
      <c r="O1739" s="200" t="s">
        <v>8252</v>
      </c>
      <c r="P1739" s="217" t="s">
        <v>8253</v>
      </c>
      <c r="Q1739" s="292" t="s">
        <v>75</v>
      </c>
      <c r="R1739" s="293" t="s">
        <v>504</v>
      </c>
      <c r="S1739" s="291" t="s">
        <v>76</v>
      </c>
      <c r="T1739" s="290" t="s">
        <v>76</v>
      </c>
      <c r="U1739" s="289" t="s">
        <v>8224</v>
      </c>
      <c r="V1739" s="66"/>
      <c r="W1739" s="138"/>
      <c r="X1739" s="106"/>
      <c r="Y1739" s="209"/>
      <c r="Z1739" s="210"/>
      <c r="AA1739" s="207"/>
      <c r="AC1739" s="217" t="s">
        <v>8211</v>
      </c>
      <c r="AD1739" t="s">
        <v>8214</v>
      </c>
    </row>
    <row r="1740" spans="1:30" ht="83.25" hidden="1">
      <c r="A1740" s="98">
        <f>A1739+1</f>
        <v>1730</v>
      </c>
      <c r="B1740" s="79" t="str">
        <f>+VLOOKUP(L1740,Code!$A$3:$B$17,2,FALSE)&amp;"-"&amp;VLOOKUP('1.아이디어LIST'!M1740,Code!$C$3:$D$17,2,FALSE)&amp;"-"&amp;VLOOKUP('1.아이디어LIST'!N1740,Code!$E$3:$F$8,2,FALSE)&amp;"-"&amp;COUNTIFS($L$11:L1740,L1740,$M$11:M1740,M1740,$N$11:N1740,N1740)</f>
        <v>CO/D-PI-CE-91</v>
      </c>
      <c r="C1740" s="148" t="str">
        <f>VLOOKUP(E1740,'(참고)재직자'!$A$2:$F$2761,3,0)</f>
        <v>개발</v>
      </c>
      <c r="D1740" s="80" t="str">
        <f>VLOOKUP(E1740,'(참고)재직자'!$A$2:$F$2761,5,0)</f>
        <v>본사</v>
      </c>
      <c r="E1740" s="27" t="s">
        <v>1304</v>
      </c>
      <c r="F1740" s="80" t="str">
        <f>VLOOKUP(E1740,'(참고)재직자'!$A$2:$F$2761,6,0)</f>
        <v>과장</v>
      </c>
      <c r="G1740" s="81" t="str">
        <f>VLOOKUP(E1740,'(참고)재직자'!$A$2:$F$2761,4,0)</f>
        <v>사업지원팀</v>
      </c>
      <c r="H1740" s="80" t="str">
        <f>VLOOKUP(E1740,'(참고)재직자'!$A$2:$F$2761,2,0)</f>
        <v>구기운</v>
      </c>
      <c r="I1740" s="295">
        <v>46029</v>
      </c>
      <c r="J1740" s="80" t="str">
        <f>VLOOKUP('1.아이디어LIST'!L1740,Code!$A$21:$D$40,3,FALSE)&amp;", "&amp;VLOOKUP('1.아이디어LIST'!M1740,Code!$E$21:$H$45,3,FALSE)&amp;", "&amp;VLOOKUP('1.아이디어LIST'!M1740,Code!$E$21:$H$45,4,FALSE)</f>
        <v xml:space="preserve">고한울, 박재보, </v>
      </c>
      <c r="K1740" s="286" t="str">
        <f>VLOOKUP(L1740,Code!$A$21:$C$40,3,0)</f>
        <v>고한울</v>
      </c>
      <c r="L1740" s="84" t="s">
        <v>189</v>
      </c>
      <c r="M1740" s="84" t="s">
        <v>252</v>
      </c>
      <c r="N1740" s="201" t="s">
        <v>72</v>
      </c>
      <c r="O1740" s="200" t="s">
        <v>8254</v>
      </c>
      <c r="P1740" s="217" t="s">
        <v>8255</v>
      </c>
      <c r="Q1740" s="292" t="s">
        <v>75</v>
      </c>
      <c r="R1740" s="293" t="s">
        <v>504</v>
      </c>
      <c r="S1740" s="291" t="s">
        <v>76</v>
      </c>
      <c r="T1740" s="290" t="s">
        <v>76</v>
      </c>
      <c r="U1740" s="289" t="s">
        <v>8256</v>
      </c>
      <c r="V1740" s="66"/>
      <c r="W1740" s="138"/>
      <c r="X1740" s="106"/>
      <c r="Y1740" s="209"/>
      <c r="Z1740" s="210"/>
      <c r="AA1740" s="207"/>
      <c r="AC1740" s="217" t="s">
        <v>8211</v>
      </c>
      <c r="AD1740" t="s">
        <v>252</v>
      </c>
    </row>
    <row r="1741" spans="1:30" ht="134.25" hidden="1">
      <c r="A1741" s="98">
        <f>A1740+1</f>
        <v>1731</v>
      </c>
      <c r="B1741" s="79" t="str">
        <f>+VLOOKUP(L1741,Code!$A$3:$B$17,2,FALSE)&amp;"-"&amp;VLOOKUP('1.아이디어LIST'!M1741,Code!$C$3:$D$17,2,FALSE)&amp;"-"&amp;VLOOKUP('1.아이디어LIST'!N1741,Code!$E$3:$F$8,2,FALSE)&amp;"-"&amp;COUNTIFS($L$11:L1741,L1741,$M$11:M1741,M1741,$N$11:N1741,N1741)</f>
        <v>CO/D-PI-CE-92</v>
      </c>
      <c r="C1741" s="148" t="str">
        <f>VLOOKUP(E1741,'(참고)재직자'!$A$2:$F$2761,3,0)</f>
        <v>개발</v>
      </c>
      <c r="D1741" s="80" t="str">
        <f>VLOOKUP(E1741,'(참고)재직자'!$A$2:$F$2761,5,0)</f>
        <v>본사</v>
      </c>
      <c r="E1741" s="27" t="s">
        <v>1321</v>
      </c>
      <c r="F1741" s="80" t="str">
        <f>VLOOKUP(E1741,'(참고)재직자'!$A$2:$F$2761,6,0)</f>
        <v>대리</v>
      </c>
      <c r="G1741" s="81" t="str">
        <f>VLOOKUP(E1741,'(참고)재직자'!$A$2:$F$2761,4,0)</f>
        <v>사업지원팀</v>
      </c>
      <c r="H1741" s="80" t="str">
        <f>VLOOKUP(E1741,'(참고)재직자'!$A$2:$F$2761,2,0)</f>
        <v>김명회</v>
      </c>
      <c r="I1741" s="295">
        <v>46029</v>
      </c>
      <c r="J1741" s="80" t="str">
        <f>VLOOKUP('1.아이디어LIST'!L1741,Code!$A$21:$D$40,3,FALSE)&amp;", "&amp;VLOOKUP('1.아이디어LIST'!M1741,Code!$E$21:$H$45,3,FALSE)&amp;", "&amp;VLOOKUP('1.아이디어LIST'!M1741,Code!$E$21:$H$45,4,FALSE)</f>
        <v xml:space="preserve">고한울, 박재보, </v>
      </c>
      <c r="K1741" s="286" t="str">
        <f>VLOOKUP(L1741,Code!$A$21:$C$40,3,0)</f>
        <v>고한울</v>
      </c>
      <c r="L1741" s="84" t="s">
        <v>189</v>
      </c>
      <c r="M1741" s="84" t="s">
        <v>252</v>
      </c>
      <c r="N1741" s="201" t="s">
        <v>72</v>
      </c>
      <c r="O1741" s="200" t="s">
        <v>8257</v>
      </c>
      <c r="P1741" s="217" t="s">
        <v>8258</v>
      </c>
      <c r="Q1741" s="292" t="s">
        <v>75</v>
      </c>
      <c r="R1741" s="293" t="s">
        <v>91</v>
      </c>
      <c r="S1741" s="291" t="s">
        <v>76</v>
      </c>
      <c r="T1741" s="290" t="s">
        <v>76</v>
      </c>
      <c r="U1741" s="289" t="s">
        <v>8259</v>
      </c>
      <c r="V1741" s="66"/>
      <c r="W1741" s="138"/>
      <c r="X1741" s="106"/>
      <c r="Y1741" s="209"/>
      <c r="Z1741" s="210"/>
      <c r="AA1741" s="207"/>
      <c r="AC1741" s="217" t="s">
        <v>8211</v>
      </c>
      <c r="AD1741" t="s">
        <v>252</v>
      </c>
    </row>
    <row r="1742" spans="1:30" ht="83.25" hidden="1">
      <c r="A1742" s="98">
        <f>A1741+1</f>
        <v>1732</v>
      </c>
      <c r="B1742" s="79" t="str">
        <f>+VLOOKUP(L1742,Code!$A$3:$B$17,2,FALSE)&amp;"-"&amp;VLOOKUP('1.아이디어LIST'!M1742,Code!$C$3:$D$17,2,FALSE)&amp;"-"&amp;VLOOKUP('1.아이디어LIST'!N1742,Code!$E$3:$F$8,2,FALSE)&amp;"-"&amp;COUNTIFS($L$11:L1742,L1742,$M$11:M1742,M1742,$N$11:N1742,N1742)</f>
        <v>CO/D-PI-CE-93</v>
      </c>
      <c r="C1742" s="148" t="str">
        <f>VLOOKUP(E1742,'(참고)재직자'!$A$2:$F$2761,3,0)</f>
        <v>건축</v>
      </c>
      <c r="D1742" s="80" t="str">
        <f>VLOOKUP(E1742,'(참고)재직자'!$A$2:$F$2761,5,0)</f>
        <v>현장</v>
      </c>
      <c r="E1742" s="27" t="s">
        <v>6767</v>
      </c>
      <c r="F1742" s="80" t="str">
        <f>VLOOKUP(E1742,'(참고)재직자'!$A$2:$F$2761,6,0)</f>
        <v>대리</v>
      </c>
      <c r="G1742" s="81" t="str">
        <f>VLOOKUP(E1742,'(참고)재직자'!$A$2:$F$2761,4,0)</f>
        <v>충주 용산주공 재건축</v>
      </c>
      <c r="H1742" s="80" t="str">
        <f>VLOOKUP(E1742,'(참고)재직자'!$A$2:$F$2761,2,0)</f>
        <v>박경범</v>
      </c>
      <c r="I1742" s="295">
        <v>46029</v>
      </c>
      <c r="J1742" s="80" t="str">
        <f>VLOOKUP('1.아이디어LIST'!L1742,Code!$A$21:$D$40,3,FALSE)&amp;", "&amp;VLOOKUP('1.아이디어LIST'!M1742,Code!$E$21:$H$45,3,FALSE)&amp;", "&amp;VLOOKUP('1.아이디어LIST'!M1742,Code!$E$21:$H$45,4,FALSE)</f>
        <v xml:space="preserve">고한울, 박재보, </v>
      </c>
      <c r="K1742" s="286" t="str">
        <f>VLOOKUP(L1742,Code!$A$21:$C$40,3,0)</f>
        <v>고한울</v>
      </c>
      <c r="L1742" s="84" t="s">
        <v>189</v>
      </c>
      <c r="M1742" s="84" t="s">
        <v>252</v>
      </c>
      <c r="N1742" s="201" t="s">
        <v>72</v>
      </c>
      <c r="O1742" s="200" t="s">
        <v>8260</v>
      </c>
      <c r="P1742" s="217" t="s">
        <v>8261</v>
      </c>
      <c r="Q1742" s="292" t="s">
        <v>75</v>
      </c>
      <c r="R1742" s="293" t="s">
        <v>504</v>
      </c>
      <c r="S1742" s="291" t="s">
        <v>76</v>
      </c>
      <c r="T1742" s="290" t="s">
        <v>76</v>
      </c>
      <c r="U1742" s="289" t="s">
        <v>8262</v>
      </c>
      <c r="V1742" s="66"/>
      <c r="W1742" s="138"/>
      <c r="X1742" s="106"/>
      <c r="Y1742" s="209"/>
      <c r="Z1742" s="210"/>
      <c r="AA1742" s="207"/>
      <c r="AC1742" s="217"/>
    </row>
    <row r="1743" spans="1:30" ht="66" hidden="1">
      <c r="A1743" s="98">
        <f>A1742+1</f>
        <v>1733</v>
      </c>
      <c r="B1743" s="79" t="str">
        <f>+VLOOKUP(L1743,Code!$A$3:$B$17,2,FALSE)&amp;"-"&amp;VLOOKUP('1.아이디어LIST'!M1743,Code!$C$3:$D$17,2,FALSE)&amp;"-"&amp;VLOOKUP('1.아이디어LIST'!N1743,Code!$E$3:$F$8,2,FALSE)&amp;"-"&amp;COUNTIFS($L$11:L1743,L1743,$M$11:M1743,M1743,$N$11:N1743,N1743)</f>
        <v>CO/D-PI-CE-94</v>
      </c>
      <c r="C1743" s="148" t="str">
        <f>VLOOKUP(E1743,'(참고)재직자'!$A$2:$F$2761,3,0)</f>
        <v>건축</v>
      </c>
      <c r="D1743" s="80" t="str">
        <f>VLOOKUP(E1743,'(참고)재직자'!$A$2:$F$2761,5,0)</f>
        <v>현장</v>
      </c>
      <c r="E1743" s="27" t="s">
        <v>3666</v>
      </c>
      <c r="F1743" s="80" t="str">
        <f>VLOOKUP(E1743,'(참고)재직자'!$A$2:$F$2761,6,0)</f>
        <v>대리</v>
      </c>
      <c r="G1743" s="81" t="str">
        <f>VLOOKUP(E1743,'(참고)재직자'!$A$2:$F$2761,4,0)</f>
        <v>충주 용산주공 재건축</v>
      </c>
      <c r="H1743" s="80" t="str">
        <f>VLOOKUP(E1743,'(참고)재직자'!$A$2:$F$2761,2,0)</f>
        <v>허영환</v>
      </c>
      <c r="I1743" s="295">
        <v>46029</v>
      </c>
      <c r="J1743" s="80" t="str">
        <f>VLOOKUP('1.아이디어LIST'!L1743,Code!$A$21:$D$40,3,FALSE)&amp;", "&amp;VLOOKUP('1.아이디어LIST'!M1743,Code!$E$21:$H$45,3,FALSE)&amp;", "&amp;VLOOKUP('1.아이디어LIST'!M1743,Code!$E$21:$H$45,4,FALSE)</f>
        <v xml:space="preserve">고한울, 박재보, </v>
      </c>
      <c r="K1743" s="286" t="str">
        <f>VLOOKUP(L1743,Code!$A$21:$C$40,3,0)</f>
        <v>고한울</v>
      </c>
      <c r="L1743" s="84" t="s">
        <v>189</v>
      </c>
      <c r="M1743" s="84" t="s">
        <v>252</v>
      </c>
      <c r="N1743" s="201" t="s">
        <v>72</v>
      </c>
      <c r="O1743" s="200" t="s">
        <v>8263</v>
      </c>
      <c r="P1743" s="217" t="s">
        <v>8264</v>
      </c>
      <c r="Q1743" s="292" t="s">
        <v>75</v>
      </c>
      <c r="R1743" s="293" t="s">
        <v>91</v>
      </c>
      <c r="S1743" s="291" t="s">
        <v>76</v>
      </c>
      <c r="T1743" s="290" t="s">
        <v>76</v>
      </c>
      <c r="U1743" s="289" t="s">
        <v>8265</v>
      </c>
      <c r="V1743" s="66"/>
      <c r="W1743" s="138"/>
      <c r="X1743" s="106"/>
      <c r="Y1743" s="209"/>
      <c r="Z1743" s="210"/>
      <c r="AA1743" s="207"/>
      <c r="AC1743" s="217"/>
    </row>
    <row r="1744" spans="1:30" ht="49.5" hidden="1">
      <c r="A1744" s="98">
        <f>A1743+1</f>
        <v>1734</v>
      </c>
      <c r="B1744" s="79" t="str">
        <f>+VLOOKUP(L1744,Code!$A$3:$B$17,2,FALSE)&amp;"-"&amp;VLOOKUP('1.아이디어LIST'!M1744,Code!$C$3:$D$17,2,FALSE)&amp;"-"&amp;VLOOKUP('1.아이디어LIST'!N1744,Code!$E$3:$F$8,2,FALSE)&amp;"-"&amp;COUNTIFS($L$11:L1744,L1744,$M$11:M1744,M1744,$N$11:N1744,N1744)</f>
        <v>CO/D-PI-CE-95</v>
      </c>
      <c r="C1744" s="148" t="str">
        <f>VLOOKUP(E1744,'(참고)재직자'!$A$2:$F$2761,3,0)</f>
        <v>건축</v>
      </c>
      <c r="D1744" s="80" t="str">
        <f>VLOOKUP(E1744,'(참고)재직자'!$A$2:$F$2761,5,0)</f>
        <v>현장</v>
      </c>
      <c r="E1744" s="27" t="s">
        <v>3770</v>
      </c>
      <c r="F1744" s="80" t="str">
        <f>VLOOKUP(E1744,'(참고)재직자'!$A$2:$F$2761,6,0)</f>
        <v>과장</v>
      </c>
      <c r="G1744" s="81" t="str">
        <f>VLOOKUP(E1744,'(참고)재직자'!$A$2:$F$2761,4,0)</f>
        <v>충주 용산주공 재건축</v>
      </c>
      <c r="H1744" s="80" t="str">
        <f>VLOOKUP(E1744,'(참고)재직자'!$A$2:$F$2761,2,0)</f>
        <v>금기호</v>
      </c>
      <c r="I1744" s="295">
        <v>46029</v>
      </c>
      <c r="J1744" s="80" t="str">
        <f>VLOOKUP('1.아이디어LIST'!L1744,Code!$A$21:$D$40,3,FALSE)&amp;", "&amp;VLOOKUP('1.아이디어LIST'!M1744,Code!$E$21:$H$45,3,FALSE)&amp;", "&amp;VLOOKUP('1.아이디어LIST'!M1744,Code!$E$21:$H$45,4,FALSE)</f>
        <v xml:space="preserve">고한울, 박재보, </v>
      </c>
      <c r="K1744" s="286" t="str">
        <f>VLOOKUP(L1744,Code!$A$21:$C$40,3,0)</f>
        <v>고한울</v>
      </c>
      <c r="L1744" s="84" t="s">
        <v>189</v>
      </c>
      <c r="M1744" s="84" t="s">
        <v>252</v>
      </c>
      <c r="N1744" s="201" t="s">
        <v>72</v>
      </c>
      <c r="O1744" s="200" t="s">
        <v>8266</v>
      </c>
      <c r="P1744" s="217" t="s">
        <v>8267</v>
      </c>
      <c r="Q1744" s="294" t="s">
        <v>504</v>
      </c>
      <c r="R1744" s="293" t="s">
        <v>76</v>
      </c>
      <c r="S1744" s="291" t="s">
        <v>76</v>
      </c>
      <c r="T1744" s="290" t="s">
        <v>76</v>
      </c>
      <c r="U1744" s="289" t="s">
        <v>8268</v>
      </c>
      <c r="V1744" s="66"/>
      <c r="W1744" s="138"/>
      <c r="X1744" s="106"/>
      <c r="Y1744" s="209"/>
      <c r="Z1744" s="210"/>
      <c r="AA1744" s="207"/>
      <c r="AC1744" s="217"/>
    </row>
    <row r="1745" spans="1:30" ht="99.75" hidden="1">
      <c r="A1745" s="98">
        <f>A1744+1</f>
        <v>1735</v>
      </c>
      <c r="B1745" s="79" t="str">
        <f>+VLOOKUP(L1745,Code!$A$3:$B$17,2,FALSE)&amp;"-"&amp;VLOOKUP('1.아이디어LIST'!M1745,Code!$C$3:$D$17,2,FALSE)&amp;"-"&amp;VLOOKUP('1.아이디어LIST'!N1745,Code!$E$3:$F$8,2,FALSE)&amp;"-"&amp;COUNTIFS($L$11:L1745,L1745,$M$11:M1745,M1745,$N$11:N1745,N1745)</f>
        <v>CO/D-PI-CE-96</v>
      </c>
      <c r="C1745" s="148" t="str">
        <f>VLOOKUP(E1745,'(참고)재직자'!$A$2:$F$2761,3,0)</f>
        <v>건축</v>
      </c>
      <c r="D1745" s="80" t="str">
        <f>VLOOKUP(E1745,'(참고)재직자'!$A$2:$F$2761,5,0)</f>
        <v>현장</v>
      </c>
      <c r="E1745" s="27" t="s">
        <v>8269</v>
      </c>
      <c r="F1745" s="80" t="str">
        <f>VLOOKUP(E1745,'(참고)재직자'!$A$2:$F$2761,6,0)</f>
        <v>사원</v>
      </c>
      <c r="G1745" s="81" t="str">
        <f>VLOOKUP(E1745,'(참고)재직자'!$A$2:$F$2761,4,0)</f>
        <v>서울역 북부역세권 복합개발</v>
      </c>
      <c r="H1745" s="80" t="str">
        <f>VLOOKUP(E1745,'(참고)재직자'!$A$2:$F$2761,2,0)</f>
        <v>이도균</v>
      </c>
      <c r="I1745" s="295">
        <v>46030</v>
      </c>
      <c r="J1745" s="80" t="str">
        <f>VLOOKUP('1.아이디어LIST'!L1745,Code!$A$21:$D$40,3,FALSE)&amp;", "&amp;VLOOKUP('1.아이디어LIST'!M1745,Code!$E$21:$H$45,3,FALSE)&amp;", "&amp;VLOOKUP('1.아이디어LIST'!M1745,Code!$E$21:$H$45,4,FALSE)</f>
        <v xml:space="preserve">고한울, 박재보, </v>
      </c>
      <c r="K1745" s="286" t="str">
        <f>VLOOKUP(L1745,Code!$A$21:$C$40,3,0)</f>
        <v>고한울</v>
      </c>
      <c r="L1745" s="84" t="s">
        <v>189</v>
      </c>
      <c r="M1745" s="84" t="s">
        <v>252</v>
      </c>
      <c r="N1745" s="201" t="s">
        <v>72</v>
      </c>
      <c r="O1745" s="200" t="s">
        <v>8270</v>
      </c>
      <c r="P1745" s="217" t="s">
        <v>8271</v>
      </c>
      <c r="Q1745" s="294" t="s">
        <v>504</v>
      </c>
      <c r="R1745" s="293" t="s">
        <v>76</v>
      </c>
      <c r="S1745" s="291" t="s">
        <v>76</v>
      </c>
      <c r="T1745" s="290" t="s">
        <v>76</v>
      </c>
      <c r="U1745" s="289" t="s">
        <v>8272</v>
      </c>
      <c r="V1745" s="66"/>
      <c r="W1745" s="138"/>
      <c r="X1745" s="106"/>
      <c r="Y1745" s="209"/>
      <c r="Z1745" s="210"/>
      <c r="AA1745" s="207"/>
      <c r="AC1745" s="217"/>
    </row>
    <row r="1746" spans="1:30" ht="83.25" hidden="1">
      <c r="A1746" s="98">
        <f>A1745+1</f>
        <v>1736</v>
      </c>
      <c r="B1746" s="79" t="str">
        <f>+VLOOKUP(L1746,Code!$A$3:$B$17,2,FALSE)&amp;"-"&amp;VLOOKUP('1.아이디어LIST'!M1746,Code!$C$3:$D$17,2,FALSE)&amp;"-"&amp;VLOOKUP('1.아이디어LIST'!N1746,Code!$E$3:$F$8,2,FALSE)&amp;"-"&amp;COUNTIFS($L$11:L1746,L1746,$M$11:M1746,M1746,$N$11:N1746,N1746)</f>
        <v>CO/D-PI-CE-97</v>
      </c>
      <c r="C1746" s="148" t="str">
        <f>VLOOKUP(E1746,'(참고)재직자'!$A$2:$F$2761,3,0)</f>
        <v>건축</v>
      </c>
      <c r="D1746" s="80" t="str">
        <f>VLOOKUP(E1746,'(참고)재직자'!$A$2:$F$2761,5,0)</f>
        <v>현장</v>
      </c>
      <c r="E1746" s="27" t="s">
        <v>2631</v>
      </c>
      <c r="F1746" s="80" t="str">
        <f>VLOOKUP(E1746,'(참고)재직자'!$A$2:$F$2761,6,0)</f>
        <v>차장</v>
      </c>
      <c r="G1746" s="81" t="str">
        <f>VLOOKUP(E1746,'(참고)재직자'!$A$2:$F$2761,4,0)</f>
        <v>충주 용산주공 재건축</v>
      </c>
      <c r="H1746" s="80" t="str">
        <f>VLOOKUP(E1746,'(참고)재직자'!$A$2:$F$2761,2,0)</f>
        <v>윤희준</v>
      </c>
      <c r="I1746" s="295">
        <v>46030</v>
      </c>
      <c r="J1746" s="80" t="str">
        <f>VLOOKUP('1.아이디어LIST'!L1746,Code!$A$21:$D$40,3,FALSE)&amp;", "&amp;VLOOKUP('1.아이디어LIST'!M1746,Code!$E$21:$H$45,3,FALSE)&amp;", "&amp;VLOOKUP('1.아이디어LIST'!M1746,Code!$E$21:$H$45,4,FALSE)</f>
        <v xml:space="preserve">고한울, 박재보, </v>
      </c>
      <c r="K1746" s="286" t="str">
        <f>VLOOKUP(L1746,Code!$A$21:$C$40,3,0)</f>
        <v>고한울</v>
      </c>
      <c r="L1746" s="84" t="s">
        <v>189</v>
      </c>
      <c r="M1746" s="84" t="s">
        <v>252</v>
      </c>
      <c r="N1746" s="201" t="s">
        <v>72</v>
      </c>
      <c r="O1746" s="200" t="s">
        <v>8273</v>
      </c>
      <c r="P1746" s="217" t="s">
        <v>8274</v>
      </c>
      <c r="Q1746" s="292" t="s">
        <v>75</v>
      </c>
      <c r="R1746" s="293" t="s">
        <v>504</v>
      </c>
      <c r="S1746" s="291" t="s">
        <v>76</v>
      </c>
      <c r="T1746" s="290" t="s">
        <v>76</v>
      </c>
      <c r="U1746" s="289" t="s">
        <v>8275</v>
      </c>
      <c r="V1746" s="66"/>
      <c r="W1746" s="138"/>
      <c r="X1746" s="106"/>
      <c r="Y1746" s="209"/>
      <c r="Z1746" s="210"/>
      <c r="AA1746" s="207"/>
      <c r="AC1746" s="217"/>
    </row>
    <row r="1747" spans="1:30" ht="66" hidden="1">
      <c r="A1747" s="98">
        <f>A1746+1</f>
        <v>1737</v>
      </c>
      <c r="B1747" s="79" t="str">
        <f>+VLOOKUP(L1747,Code!$A$3:$B$17,2,FALSE)&amp;"-"&amp;VLOOKUP('1.아이디어LIST'!M1747,Code!$C$3:$D$17,2,FALSE)&amp;"-"&amp;VLOOKUP('1.아이디어LIST'!N1747,Code!$E$3:$F$8,2,FALSE)&amp;"-"&amp;COUNTIFS($L$11:L1747,L1747,$M$11:M1747,M1747,$N$11:N1747,N1747)</f>
        <v>CO/D-PI-CE-98</v>
      </c>
      <c r="C1747" s="148" t="str">
        <f>VLOOKUP(E1747,'(참고)재직자'!$A$2:$F$2761,3,0)</f>
        <v>건축</v>
      </c>
      <c r="D1747" s="80" t="str">
        <f>VLOOKUP(E1747,'(참고)재직자'!$A$2:$F$2761,5,0)</f>
        <v>현장</v>
      </c>
      <c r="E1747" s="27" t="s">
        <v>8276</v>
      </c>
      <c r="F1747" s="80" t="str">
        <f>VLOOKUP(E1747,'(참고)재직자'!$A$2:$F$2761,6,0)</f>
        <v>대리</v>
      </c>
      <c r="G1747" s="81" t="str">
        <f>VLOOKUP(E1747,'(참고)재직자'!$A$2:$F$2761,4,0)</f>
        <v>춘천 프리미엄 빌리지 건설공사</v>
      </c>
      <c r="H1747" s="80" t="str">
        <f>VLOOKUP(E1747,'(참고)재직자'!$A$2:$F$2761,2,0)</f>
        <v>변정환</v>
      </c>
      <c r="I1747" s="295">
        <v>46030</v>
      </c>
      <c r="J1747" s="80" t="str">
        <f>VLOOKUP('1.아이디어LIST'!L1747,Code!$A$21:$D$40,3,FALSE)&amp;", "&amp;VLOOKUP('1.아이디어LIST'!M1747,Code!$E$21:$H$45,3,FALSE)&amp;", "&amp;VLOOKUP('1.아이디어LIST'!M1747,Code!$E$21:$H$45,4,FALSE)</f>
        <v xml:space="preserve">고한울, 박재보, </v>
      </c>
      <c r="K1747" s="286" t="s">
        <v>198</v>
      </c>
      <c r="L1747" s="84" t="s">
        <v>189</v>
      </c>
      <c r="M1747" s="84" t="s">
        <v>252</v>
      </c>
      <c r="N1747" s="201" t="s">
        <v>72</v>
      </c>
      <c r="O1747" s="200" t="s">
        <v>8277</v>
      </c>
      <c r="P1747" s="217" t="s">
        <v>8278</v>
      </c>
      <c r="Q1747" s="292" t="s">
        <v>75</v>
      </c>
      <c r="R1747" s="293" t="s">
        <v>504</v>
      </c>
      <c r="S1747" s="291" t="s">
        <v>76</v>
      </c>
      <c r="T1747" s="290" t="s">
        <v>76</v>
      </c>
      <c r="U1747" s="289" t="s">
        <v>8279</v>
      </c>
      <c r="V1747" s="66"/>
      <c r="W1747" s="138"/>
      <c r="X1747" s="106"/>
      <c r="Y1747" s="209"/>
      <c r="Z1747" s="210"/>
      <c r="AA1747" s="207"/>
      <c r="AC1747" s="217"/>
    </row>
    <row r="1748" spans="1:30" ht="49.5" hidden="1">
      <c r="A1748" s="98">
        <f>A1747+1</f>
        <v>1738</v>
      </c>
      <c r="B1748" s="79" t="str">
        <f>+VLOOKUP(L1748,Code!$A$3:$B$17,2,FALSE)&amp;"-"&amp;VLOOKUP('1.아이디어LIST'!M1748,Code!$C$3:$D$17,2,FALSE)&amp;"-"&amp;VLOOKUP('1.아이디어LIST'!N1748,Code!$E$3:$F$8,2,FALSE)&amp;"-"&amp;COUNTIFS($L$11:L1748,L1748,$M$11:M1748,M1748,$N$11:N1748,N1748)</f>
        <v>CO/D-PI-CE-99</v>
      </c>
      <c r="C1748" s="148" t="str">
        <f>VLOOKUP(E1748,'(참고)재직자'!$A$2:$F$2761,3,0)</f>
        <v>건축</v>
      </c>
      <c r="D1748" s="80" t="str">
        <f>VLOOKUP(E1748,'(참고)재직자'!$A$2:$F$2761,5,0)</f>
        <v>현장</v>
      </c>
      <c r="E1748" s="27" t="s">
        <v>7501</v>
      </c>
      <c r="F1748" s="80" t="str">
        <f>VLOOKUP(E1748,'(참고)재직자'!$A$2:$F$2761,6,0)</f>
        <v>대리</v>
      </c>
      <c r="G1748" s="81" t="str">
        <f>VLOOKUP(E1748,'(참고)재직자'!$A$2:$F$2761,4,0)</f>
        <v>충주 용산주공 재건축</v>
      </c>
      <c r="H1748" s="80" t="str">
        <f>VLOOKUP(E1748,'(참고)재직자'!$A$2:$F$2761,2,0)</f>
        <v>이경민</v>
      </c>
      <c r="I1748" s="295">
        <v>46030</v>
      </c>
      <c r="J1748" s="80" t="str">
        <f>VLOOKUP('1.아이디어LIST'!L1748,Code!$A$21:$D$40,3,FALSE)&amp;", "&amp;VLOOKUP('1.아이디어LIST'!M1748,Code!$E$21:$H$45,3,FALSE)&amp;", "&amp;VLOOKUP('1.아이디어LIST'!M1748,Code!$E$21:$H$45,4,FALSE)</f>
        <v xml:space="preserve">고한울, 박재보, </v>
      </c>
      <c r="K1748" s="286" t="str">
        <f>VLOOKUP(L1748,Code!$A$21:$C$40,3,0)</f>
        <v>고한울</v>
      </c>
      <c r="L1748" s="84" t="s">
        <v>189</v>
      </c>
      <c r="M1748" s="84" t="s">
        <v>252</v>
      </c>
      <c r="N1748" s="201" t="s">
        <v>72</v>
      </c>
      <c r="O1748" s="200" t="s">
        <v>8280</v>
      </c>
      <c r="P1748" s="217" t="s">
        <v>8281</v>
      </c>
      <c r="Q1748" s="292" t="s">
        <v>75</v>
      </c>
      <c r="R1748" s="293" t="s">
        <v>504</v>
      </c>
      <c r="S1748" s="291" t="s">
        <v>76</v>
      </c>
      <c r="T1748" s="290" t="s">
        <v>76</v>
      </c>
      <c r="U1748" s="289" t="s">
        <v>8282</v>
      </c>
      <c r="V1748" s="66"/>
      <c r="W1748" s="138"/>
      <c r="X1748" s="106"/>
      <c r="Y1748" s="209"/>
      <c r="Z1748" s="210"/>
      <c r="AA1748" s="207"/>
      <c r="AC1748" s="217"/>
    </row>
    <row r="1749" spans="1:30" ht="51" hidden="1">
      <c r="A1749" s="98">
        <f>A1748+1</f>
        <v>1739</v>
      </c>
      <c r="B1749" s="79" t="str">
        <f>+VLOOKUP(L1749,Code!$A$3:$B$17,2,FALSE)&amp;"-"&amp;VLOOKUP('1.아이디어LIST'!M1749,Code!$C$3:$D$17,2,FALSE)&amp;"-"&amp;VLOOKUP('1.아이디어LIST'!N1749,Code!$E$3:$F$8,2,FALSE)&amp;"-"&amp;COUNTIFS($L$11:L1749,L1749,$M$11:M1749,M1749,$N$11:N1749,N1749)</f>
        <v>CO/D-PI-CE-100</v>
      </c>
      <c r="C1749" s="148" t="str">
        <f>VLOOKUP(E1749,'(참고)재직자'!$A$2:$F$2761,3,0)</f>
        <v>건축</v>
      </c>
      <c r="D1749" s="80" t="str">
        <f>VLOOKUP(E1749,'(참고)재직자'!$A$2:$F$2761,5,0)</f>
        <v>현장</v>
      </c>
      <c r="E1749" s="27" t="s">
        <v>8283</v>
      </c>
      <c r="F1749" s="80" t="str">
        <f>VLOOKUP(E1749,'(참고)재직자'!$A$2:$F$2761,6,0)</f>
        <v>대리</v>
      </c>
      <c r="G1749" s="81" t="str">
        <f>VLOOKUP(E1749,'(참고)재직자'!$A$2:$F$2761,4,0)</f>
        <v>아산 배방 생활숙박시설</v>
      </c>
      <c r="H1749" s="80" t="str">
        <f>VLOOKUP(E1749,'(참고)재직자'!$A$2:$F$2761,2,0)</f>
        <v>정민영</v>
      </c>
      <c r="I1749" s="295">
        <v>46030</v>
      </c>
      <c r="J1749" s="80" t="str">
        <f>VLOOKUP('1.아이디어LIST'!L1749,Code!$A$21:$D$40,3,FALSE)&amp;", "&amp;VLOOKUP('1.아이디어LIST'!M1749,Code!$E$21:$H$45,3,FALSE)&amp;", "&amp;VLOOKUP('1.아이디어LIST'!M1749,Code!$E$21:$H$45,4,FALSE)</f>
        <v xml:space="preserve">고한울, 박재보, </v>
      </c>
      <c r="K1749" s="286" t="str">
        <f>VLOOKUP(L1749,Code!$A$21:$C$40,3,0)</f>
        <v>고한울</v>
      </c>
      <c r="L1749" s="84" t="s">
        <v>189</v>
      </c>
      <c r="M1749" s="84" t="s">
        <v>252</v>
      </c>
      <c r="N1749" s="201" t="s">
        <v>72</v>
      </c>
      <c r="O1749" s="200" t="s">
        <v>8284</v>
      </c>
      <c r="P1749" s="217" t="s">
        <v>8285</v>
      </c>
      <c r="Q1749" s="292" t="s">
        <v>75</v>
      </c>
      <c r="R1749" s="293" t="s">
        <v>504</v>
      </c>
      <c r="S1749" s="291" t="s">
        <v>76</v>
      </c>
      <c r="T1749" s="290" t="s">
        <v>76</v>
      </c>
      <c r="U1749" s="289" t="s">
        <v>8286</v>
      </c>
      <c r="V1749" s="66"/>
      <c r="W1749" s="138"/>
      <c r="X1749" s="106"/>
      <c r="Y1749" s="209"/>
      <c r="Z1749" s="210"/>
      <c r="AA1749" s="207"/>
      <c r="AC1749" s="217"/>
    </row>
    <row r="1750" spans="1:30" ht="68.25" hidden="1" customHeight="1">
      <c r="A1750" s="98">
        <f>A1749+1</f>
        <v>1740</v>
      </c>
      <c r="B1750" s="79" t="str">
        <f>+VLOOKUP(L1750,Code!$A$3:$B$17,2,FALSE)&amp;"-"&amp;VLOOKUP('1.아이디어LIST'!M1750,Code!$C$3:$D$17,2,FALSE)&amp;"-"&amp;VLOOKUP('1.아이디어LIST'!N1750,Code!$E$3:$F$8,2,FALSE)&amp;"-"&amp;COUNTIFS($L$11:L1750,L1750,$M$11:M1750,M1750,$N$11:N1750,N1750)</f>
        <v>CO/D-PI-CE-101</v>
      </c>
      <c r="C1750" s="148" t="str">
        <f>VLOOKUP(E1750,'(참고)재직자'!$A$2:$F$2761,3,0)</f>
        <v>건축</v>
      </c>
      <c r="D1750" s="80" t="str">
        <f>VLOOKUP(E1750,'(참고)재직자'!$A$2:$F$2761,5,0)</f>
        <v>현장</v>
      </c>
      <c r="E1750" s="27" t="s">
        <v>2600</v>
      </c>
      <c r="F1750" s="80" t="str">
        <f>VLOOKUP(E1750,'(참고)재직자'!$A$2:$F$2761,6,0)</f>
        <v>과장</v>
      </c>
      <c r="G1750" s="81" t="str">
        <f>VLOOKUP(E1750,'(참고)재직자'!$A$2:$F$2761,4,0)</f>
        <v>도마변동9 재개발</v>
      </c>
      <c r="H1750" s="80" t="str">
        <f>VLOOKUP(E1750,'(참고)재직자'!$A$2:$F$2761,2,0)</f>
        <v>김우재</v>
      </c>
      <c r="I1750" s="295">
        <v>46030</v>
      </c>
      <c r="J1750" s="80" t="str">
        <f>VLOOKUP('1.아이디어LIST'!L1750,Code!$A$21:$D$40,3,FALSE)&amp;", "&amp;VLOOKUP('1.아이디어LIST'!M1750,Code!$E$21:$H$45,3,FALSE)&amp;", "&amp;VLOOKUP('1.아이디어LIST'!M1750,Code!$E$21:$H$45,4,FALSE)</f>
        <v xml:space="preserve">고한울, 박재보, </v>
      </c>
      <c r="K1750" s="296" t="s">
        <v>8215</v>
      </c>
      <c r="L1750" s="84" t="s">
        <v>189</v>
      </c>
      <c r="M1750" s="84" t="s">
        <v>252</v>
      </c>
      <c r="N1750" s="201" t="s">
        <v>72</v>
      </c>
      <c r="O1750" s="200" t="s">
        <v>8287</v>
      </c>
      <c r="P1750" s="217" t="s">
        <v>8288</v>
      </c>
      <c r="Q1750" s="292" t="s">
        <v>75</v>
      </c>
      <c r="R1750" s="293" t="s">
        <v>504</v>
      </c>
      <c r="S1750" s="291" t="s">
        <v>76</v>
      </c>
      <c r="T1750" s="290" t="s">
        <v>76</v>
      </c>
      <c r="U1750" s="289" t="s">
        <v>8289</v>
      </c>
      <c r="V1750" s="66"/>
      <c r="W1750" s="138"/>
      <c r="X1750" s="106"/>
      <c r="Y1750" s="209"/>
      <c r="Z1750" s="210"/>
      <c r="AA1750" s="207"/>
      <c r="AC1750" s="217" t="s">
        <v>8211</v>
      </c>
      <c r="AD1750" t="s">
        <v>8214</v>
      </c>
    </row>
    <row r="1751" spans="1:30" ht="282" hidden="1">
      <c r="A1751" s="98">
        <f>A1750+1</f>
        <v>1741</v>
      </c>
      <c r="B1751" s="79" t="str">
        <f>+VLOOKUP(L1751,Code!$A$3:$B$17,2,FALSE)&amp;"-"&amp;VLOOKUP('1.아이디어LIST'!M1751,Code!$C$3:$D$17,2,FALSE)&amp;"-"&amp;VLOOKUP('1.아이디어LIST'!N1751,Code!$E$3:$F$8,2,FALSE)&amp;"-"&amp;COUNTIFS($L$11:L1751,L1751,$M$11:M1751,M1751,$N$11:N1751,N1751)</f>
        <v>CO/D-PI-CE-102</v>
      </c>
      <c r="C1751" s="148" t="str">
        <f>VLOOKUP(E1751,'(참고)재직자'!$A$2:$F$2761,3,0)</f>
        <v>안전환경</v>
      </c>
      <c r="D1751" s="80" t="str">
        <f>VLOOKUP(E1751,'(참고)재직자'!$A$2:$F$2761,5,0)</f>
        <v>본사</v>
      </c>
      <c r="E1751" s="27" t="s">
        <v>5473</v>
      </c>
      <c r="F1751" s="80" t="str">
        <f>VLOOKUP(E1751,'(참고)재직자'!$A$2:$F$2761,6,0)</f>
        <v>차장</v>
      </c>
      <c r="G1751" s="81" t="str">
        <f>VLOOKUP(E1751,'(참고)재직자'!$A$2:$F$2761,4,0)</f>
        <v>안전보건운영팀</v>
      </c>
      <c r="H1751" s="80" t="str">
        <f>VLOOKUP(E1751,'(참고)재직자'!$A$2:$F$2761,2,0)</f>
        <v>최동인</v>
      </c>
      <c r="I1751" s="295">
        <v>46031</v>
      </c>
      <c r="J1751" s="80" t="str">
        <f>VLOOKUP('1.아이디어LIST'!L1751,Code!$A$21:$D$40,3,FALSE)&amp;", "&amp;VLOOKUP('1.아이디어LIST'!M1751,Code!$E$21:$H$45,3,FALSE)&amp;", "&amp;VLOOKUP('1.아이디어LIST'!M1751,Code!$E$21:$H$45,4,FALSE)</f>
        <v xml:space="preserve">고한울, 박재보, </v>
      </c>
      <c r="K1751" s="286" t="str">
        <f>VLOOKUP(L1751,Code!$A$21:$C$40,3,0)</f>
        <v>고한울</v>
      </c>
      <c r="L1751" s="84" t="s">
        <v>189</v>
      </c>
      <c r="M1751" s="84" t="s">
        <v>252</v>
      </c>
      <c r="N1751" s="201" t="s">
        <v>72</v>
      </c>
      <c r="O1751" s="200" t="s">
        <v>8290</v>
      </c>
      <c r="P1751" s="217" t="s">
        <v>8291</v>
      </c>
      <c r="Q1751" s="294" t="s">
        <v>504</v>
      </c>
      <c r="R1751" s="293" t="s">
        <v>76</v>
      </c>
      <c r="S1751" s="291" t="s">
        <v>76</v>
      </c>
      <c r="T1751" s="290" t="s">
        <v>76</v>
      </c>
      <c r="U1751" s="289" t="s">
        <v>8292</v>
      </c>
      <c r="V1751" s="66"/>
      <c r="W1751" s="138"/>
      <c r="X1751" s="106"/>
      <c r="Y1751" s="209"/>
      <c r="Z1751" s="210"/>
      <c r="AA1751" s="207"/>
      <c r="AC1751" s="217" t="s">
        <v>8211</v>
      </c>
      <c r="AD1751" t="s">
        <v>252</v>
      </c>
    </row>
    <row r="1752" spans="1:30" ht="130.5" hidden="1">
      <c r="A1752" s="98">
        <f>A1751+1</f>
        <v>1742</v>
      </c>
      <c r="B1752" s="79" t="str">
        <f>+VLOOKUP(L1752,Code!$A$3:$B$17,2,FALSE)&amp;"-"&amp;VLOOKUP('1.아이디어LIST'!M1752,Code!$C$3:$D$17,2,FALSE)&amp;"-"&amp;VLOOKUP('1.아이디어LIST'!N1752,Code!$E$3:$F$8,2,FALSE)&amp;"-"&amp;COUNTIFS($L$11:L1752,L1752,$M$11:M1752,M1752,$N$11:N1752,N1752)</f>
        <v>CO/D-PI-CE-103</v>
      </c>
      <c r="C1752" s="148" t="str">
        <f>VLOOKUP(E1752,'(참고)재직자'!$A$2:$F$2761,3,0)</f>
        <v>인프라</v>
      </c>
      <c r="D1752" s="80" t="str">
        <f>VLOOKUP(E1752,'(참고)재직자'!$A$2:$F$2761,5,0)</f>
        <v>현장</v>
      </c>
      <c r="E1752" s="27" t="s">
        <v>8293</v>
      </c>
      <c r="F1752" s="80" t="str">
        <f>VLOOKUP(E1752,'(참고)재직자'!$A$2:$F$2761,6,0)</f>
        <v>사원</v>
      </c>
      <c r="G1752" s="81" t="str">
        <f>VLOOKUP(E1752,'(참고)재직자'!$A$2:$F$2761,4,0)</f>
        <v>대전하수처리장 현대화</v>
      </c>
      <c r="H1752" s="80" t="str">
        <f>VLOOKUP(E1752,'(참고)재직자'!$A$2:$F$2761,2,0)</f>
        <v>임동준</v>
      </c>
      <c r="I1752" s="295">
        <v>46031</v>
      </c>
      <c r="J1752" s="80" t="str">
        <f>VLOOKUP('1.아이디어LIST'!L1752,Code!$A$21:$D$40,3,FALSE)&amp;", "&amp;VLOOKUP('1.아이디어LIST'!M1752,Code!$E$21:$H$45,3,FALSE)&amp;", "&amp;VLOOKUP('1.아이디어LIST'!M1752,Code!$E$21:$H$45,4,FALSE)</f>
        <v xml:space="preserve">고한울, 박재보, </v>
      </c>
      <c r="K1752" s="286" t="str">
        <f>VLOOKUP(L1752,Code!$A$21:$C$40,3,0)</f>
        <v>고한울</v>
      </c>
      <c r="L1752" s="84" t="s">
        <v>189</v>
      </c>
      <c r="M1752" s="84" t="s">
        <v>252</v>
      </c>
      <c r="N1752" s="201" t="s">
        <v>72</v>
      </c>
      <c r="O1752" s="310" t="s">
        <v>8294</v>
      </c>
      <c r="P1752" s="287" t="s">
        <v>8295</v>
      </c>
      <c r="Q1752" s="294" t="s">
        <v>91</v>
      </c>
      <c r="R1752" s="293" t="s">
        <v>76</v>
      </c>
      <c r="S1752" s="291" t="s">
        <v>76</v>
      </c>
      <c r="T1752" s="290" t="s">
        <v>76</v>
      </c>
      <c r="U1752" s="289" t="s">
        <v>8296</v>
      </c>
      <c r="V1752" s="66"/>
      <c r="W1752" s="138"/>
      <c r="X1752" s="106"/>
      <c r="Y1752" s="209"/>
      <c r="Z1752" s="210"/>
      <c r="AA1752" s="207"/>
      <c r="AC1752" s="217"/>
    </row>
    <row r="1753" spans="1:30" ht="252.75" hidden="1">
      <c r="A1753" s="98">
        <f>A1752+1</f>
        <v>1743</v>
      </c>
      <c r="B1753" s="79" t="str">
        <f>+VLOOKUP(L1753,Code!$A$3:$B$17,2,FALSE)&amp;"-"&amp;VLOOKUP('1.아이디어LIST'!M1753,Code!$C$3:$D$17,2,FALSE)&amp;"-"&amp;VLOOKUP('1.아이디어LIST'!N1753,Code!$E$3:$F$8,2,FALSE)&amp;"-"&amp;COUNTIFS($L$11:L1753,L1753,$M$11:M1753,M1753,$N$11:N1753,N1753)</f>
        <v>CO/D-PI-CE-104</v>
      </c>
      <c r="C1753" s="148" t="str">
        <f>VLOOKUP(E1753,'(참고)재직자'!$A$2:$F$2761,3,0)</f>
        <v>건축</v>
      </c>
      <c r="D1753" s="80" t="str">
        <f>VLOOKUP(E1753,'(참고)재직자'!$A$2:$F$2761,5,0)</f>
        <v>현장</v>
      </c>
      <c r="E1753" s="27" t="s">
        <v>994</v>
      </c>
      <c r="F1753" s="80" t="str">
        <f>VLOOKUP(E1753,'(참고)재직자'!$A$2:$F$2761,6,0)</f>
        <v>차장</v>
      </c>
      <c r="G1753" s="81" t="str">
        <f>VLOOKUP(E1753,'(참고)재직자'!$A$2:$F$2761,4,0)</f>
        <v>충주 용산주공 재건축</v>
      </c>
      <c r="H1753" s="80" t="str">
        <f>VLOOKUP(E1753,'(참고)재직자'!$A$2:$F$2761,2,0)</f>
        <v>이무근</v>
      </c>
      <c r="I1753" s="295">
        <v>46032</v>
      </c>
      <c r="J1753" s="80" t="str">
        <f>VLOOKUP('1.아이디어LIST'!L1753,Code!$A$21:$D$40,3,FALSE)&amp;", "&amp;VLOOKUP('1.아이디어LIST'!M1753,Code!$E$21:$H$45,3,FALSE)&amp;", "&amp;VLOOKUP('1.아이디어LIST'!M1753,Code!$E$21:$H$45,4,FALSE)</f>
        <v xml:space="preserve">고한울, 박재보, </v>
      </c>
      <c r="K1753" s="286" t="str">
        <f>VLOOKUP(L1753,Code!$A$21:$C$40,3,0)</f>
        <v>고한울</v>
      </c>
      <c r="L1753" s="84" t="s">
        <v>189</v>
      </c>
      <c r="M1753" s="84" t="s">
        <v>252</v>
      </c>
      <c r="N1753" s="201" t="s">
        <v>72</v>
      </c>
      <c r="O1753" s="200" t="s">
        <v>8297</v>
      </c>
      <c r="P1753" s="217" t="s">
        <v>8298</v>
      </c>
      <c r="Q1753" s="294" t="s">
        <v>91</v>
      </c>
      <c r="R1753" s="293" t="s">
        <v>76</v>
      </c>
      <c r="S1753" s="291" t="s">
        <v>76</v>
      </c>
      <c r="T1753" s="290" t="s">
        <v>76</v>
      </c>
      <c r="U1753" s="289" t="s">
        <v>8299</v>
      </c>
      <c r="V1753" s="66"/>
      <c r="W1753" s="138"/>
      <c r="X1753" s="106"/>
      <c r="Y1753" s="209"/>
      <c r="Z1753" s="210"/>
      <c r="AA1753" s="207"/>
      <c r="AC1753" s="217"/>
    </row>
    <row r="1754" spans="1:30" ht="83.25" hidden="1">
      <c r="A1754" s="98">
        <f>A1753+1</f>
        <v>1744</v>
      </c>
      <c r="B1754" s="79" t="str">
        <f>+VLOOKUP(L1754,Code!$A$3:$B$17,2,FALSE)&amp;"-"&amp;VLOOKUP('1.아이디어LIST'!M1754,Code!$C$3:$D$17,2,FALSE)&amp;"-"&amp;VLOOKUP('1.아이디어LIST'!N1754,Code!$E$3:$F$8,2,FALSE)&amp;"-"&amp;COUNTIFS($L$11:L1754,L1754,$M$11:M1754,M1754,$N$11:N1754,N1754)</f>
        <v>CO/D-PI-CE-105</v>
      </c>
      <c r="C1754" s="148" t="str">
        <f>VLOOKUP(E1754,'(참고)재직자'!$A$2:$F$2761,3,0)</f>
        <v>건축</v>
      </c>
      <c r="D1754" s="80" t="str">
        <f>VLOOKUP(E1754,'(참고)재직자'!$A$2:$F$2761,5,0)</f>
        <v>현장</v>
      </c>
      <c r="E1754" s="27" t="s">
        <v>6773</v>
      </c>
      <c r="F1754" s="80" t="str">
        <f>VLOOKUP(E1754,'(참고)재직자'!$A$2:$F$2761,6,0)</f>
        <v>대리</v>
      </c>
      <c r="G1754" s="81" t="str">
        <f>VLOOKUP(E1754,'(참고)재직자'!$A$2:$F$2761,4,0)</f>
        <v>충주 용산주공 재건축</v>
      </c>
      <c r="H1754" s="80" t="str">
        <f>VLOOKUP(E1754,'(참고)재직자'!$A$2:$F$2761,2,0)</f>
        <v>노승완</v>
      </c>
      <c r="I1754" s="295">
        <v>46032</v>
      </c>
      <c r="J1754" s="80" t="str">
        <f>VLOOKUP('1.아이디어LIST'!L1754,Code!$A$21:$D$40,3,FALSE)&amp;", "&amp;VLOOKUP('1.아이디어LIST'!M1754,Code!$E$21:$H$45,3,FALSE)&amp;", "&amp;VLOOKUP('1.아이디어LIST'!M1754,Code!$E$21:$H$45,4,FALSE)</f>
        <v xml:space="preserve">고한울, 박재보, </v>
      </c>
      <c r="K1754" s="286" t="str">
        <f>VLOOKUP(L1754,Code!$A$21:$C$40,3,0)</f>
        <v>고한울</v>
      </c>
      <c r="L1754" s="84" t="s">
        <v>189</v>
      </c>
      <c r="M1754" s="84" t="s">
        <v>252</v>
      </c>
      <c r="N1754" s="201" t="s">
        <v>72</v>
      </c>
      <c r="O1754" s="200" t="s">
        <v>8300</v>
      </c>
      <c r="P1754" s="217" t="s">
        <v>8301</v>
      </c>
      <c r="Q1754" s="292" t="s">
        <v>75</v>
      </c>
      <c r="R1754" s="293" t="s">
        <v>91</v>
      </c>
      <c r="S1754" s="291" t="s">
        <v>76</v>
      </c>
      <c r="T1754" s="290" t="s">
        <v>76</v>
      </c>
      <c r="U1754" s="289" t="s">
        <v>8302</v>
      </c>
      <c r="V1754" s="66"/>
      <c r="W1754" s="138"/>
      <c r="X1754" s="106"/>
      <c r="Y1754" s="209"/>
      <c r="Z1754" s="210"/>
      <c r="AA1754" s="207"/>
      <c r="AC1754" s="217"/>
    </row>
    <row r="1755" spans="1:30" ht="67.5" hidden="1">
      <c r="A1755" s="88">
        <f>A1754+1</f>
        <v>1745</v>
      </c>
      <c r="B1755" s="79" t="str">
        <f>+VLOOKUP(L1755,Code!$A$3:$B$17,2,FALSE)&amp;"-"&amp;VLOOKUP('1.아이디어LIST'!M1755,Code!$C$3:$D$17,2,FALSE)&amp;"-"&amp;VLOOKUP('1.아이디어LIST'!N1755,Code!$E$3:$F$8,2,FALSE)&amp;"-"&amp;COUNTIFS($L$11:L1755,L1755,$M$11:M1755,M1755,$N$11:N1755,N1755)</f>
        <v>PR/P-PI-SNA-2</v>
      </c>
      <c r="C1755" s="148" t="str">
        <f>VLOOKUP(E1755,'(참고)재직자'!$A$2:$F$2761,3,0)</f>
        <v>인프라</v>
      </c>
      <c r="D1755" s="80" t="str">
        <f>VLOOKUP(E1755,'(참고)재직자'!$A$2:$F$2761,5,0)</f>
        <v>본사</v>
      </c>
      <c r="E1755" s="27" t="s">
        <v>4186</v>
      </c>
      <c r="F1755" s="80" t="str">
        <f>VLOOKUP(E1755,'(참고)재직자'!$A$2:$F$2761,6,0)</f>
        <v>차장</v>
      </c>
      <c r="G1755" s="81" t="str">
        <f>VLOOKUP(E1755,'(참고)재직자'!$A$2:$F$2761,4,0)</f>
        <v>인프라견적팀</v>
      </c>
      <c r="H1755" s="80" t="str">
        <f>VLOOKUP(E1755,'(참고)재직자'!$A$2:$F$2761,2,0)</f>
        <v>김용선</v>
      </c>
      <c r="I1755" s="295">
        <v>46032</v>
      </c>
      <c r="J1755" s="80" t="str">
        <f>VLOOKUP('1.아이디어LIST'!L1755,Code!$A$21:$D$40,3,FALSE)&amp;", "&amp;VLOOKUP('1.아이디어LIST'!M1755,Code!$E$21:$H$45,3,FALSE)&amp;", "&amp;VLOOKUP('1.아이디어LIST'!M1755,Code!$E$21:$H$45,4,FALSE)</f>
        <v xml:space="preserve">박재보, 박재보, </v>
      </c>
      <c r="K1755" s="296" t="s">
        <v>8303</v>
      </c>
      <c r="L1755" s="84" t="s">
        <v>70</v>
      </c>
      <c r="M1755" s="84" t="s">
        <v>252</v>
      </c>
      <c r="N1755" s="201" t="s">
        <v>920</v>
      </c>
      <c r="O1755" s="310" t="s">
        <v>8304</v>
      </c>
      <c r="P1755" s="217" t="s">
        <v>8305</v>
      </c>
      <c r="Q1755" s="49" t="s">
        <v>75</v>
      </c>
      <c r="R1755" s="25" t="s">
        <v>91</v>
      </c>
      <c r="S1755" s="55"/>
      <c r="T1755" s="26"/>
      <c r="U1755" s="28" t="s">
        <v>8306</v>
      </c>
      <c r="V1755" s="66"/>
      <c r="W1755" s="138"/>
      <c r="X1755" s="106"/>
      <c r="Y1755" s="209"/>
      <c r="Z1755" s="210"/>
      <c r="AA1755" s="207"/>
      <c r="AC1755" s="217"/>
    </row>
    <row r="1756" spans="1:30" ht="49.5" hidden="1">
      <c r="A1756" s="88">
        <f>A1755+1</f>
        <v>1746</v>
      </c>
      <c r="B1756" s="79" t="str">
        <f>+VLOOKUP(L1756,Code!$A$3:$B$17,2,FALSE)&amp;"-"&amp;VLOOKUP('1.아이디어LIST'!M1756,Code!$C$3:$D$17,2,FALSE)&amp;"-"&amp;VLOOKUP('1.아이디어LIST'!N1756,Code!$E$3:$F$8,2,FALSE)&amp;"-"&amp;COUNTIFS($L$11:L1756,L1756,$M$11:M1756,M1756,$N$11:N1756,N1756)</f>
        <v>CO/D-ID/H-CE-57</v>
      </c>
      <c r="C1756" s="148" t="str">
        <f>VLOOKUP(E1756,'(참고)재직자'!$A$2:$F$2761,3,0)</f>
        <v>인프라</v>
      </c>
      <c r="D1756" s="80" t="str">
        <f>VLOOKUP(E1756,'(참고)재직자'!$A$2:$F$2761,5,0)</f>
        <v>현장</v>
      </c>
      <c r="E1756" s="27" t="s">
        <v>8307</v>
      </c>
      <c r="F1756" s="80" t="str">
        <f>VLOOKUP(E1756,'(참고)재직자'!$A$2:$F$2761,6,0)</f>
        <v>부장</v>
      </c>
      <c r="G1756" s="81" t="str">
        <f>VLOOKUP(E1756,'(참고)재직자'!$A$2:$F$2761,4,0)</f>
        <v>용인물류 구역외 도로공사</v>
      </c>
      <c r="H1756" s="80" t="str">
        <f>VLOOKUP(E1756,'(참고)재직자'!$A$2:$F$2761,2,0)</f>
        <v>진종만</v>
      </c>
      <c r="I1756" s="295">
        <v>46032</v>
      </c>
      <c r="J1756" s="80" t="str">
        <f>VLOOKUP('1.아이디어LIST'!L1756,Code!$A$21:$D$40,3,FALSE)&amp;", "&amp;VLOOKUP('1.아이디어LIST'!M1756,Code!$E$21:$H$45,3,FALSE)&amp;", "&amp;VLOOKUP('1.아이디어LIST'!M1756,Code!$E$21:$H$45,4,FALSE)</f>
        <v xml:space="preserve">고한울, 박재보, </v>
      </c>
      <c r="K1756" s="286" t="s">
        <v>8308</v>
      </c>
      <c r="L1756" s="84" t="s">
        <v>189</v>
      </c>
      <c r="M1756" s="84" t="s">
        <v>601</v>
      </c>
      <c r="N1756" s="201" t="s">
        <v>72</v>
      </c>
      <c r="O1756" s="310" t="s">
        <v>8309</v>
      </c>
      <c r="P1756" s="217" t="s">
        <v>8310</v>
      </c>
      <c r="Q1756" s="49" t="s">
        <v>75</v>
      </c>
      <c r="R1756" s="25" t="s">
        <v>75</v>
      </c>
      <c r="S1756" s="55"/>
      <c r="T1756" s="26"/>
      <c r="U1756" s="28" t="s">
        <v>8311</v>
      </c>
      <c r="V1756" s="66"/>
      <c r="W1756" s="138"/>
      <c r="X1756" s="106"/>
      <c r="Y1756" s="209"/>
      <c r="Z1756" s="210"/>
      <c r="AA1756" s="207"/>
      <c r="AC1756" s="217" t="s">
        <v>8211</v>
      </c>
      <c r="AD1756" t="s">
        <v>8214</v>
      </c>
    </row>
    <row r="1757" spans="1:30" ht="52.5" hidden="1">
      <c r="A1757" s="88">
        <f>A1756+1</f>
        <v>1747</v>
      </c>
      <c r="B1757" s="79" t="str">
        <f>+VLOOKUP(L1757,Code!$A$3:$B$17,2,FALSE)&amp;"-"&amp;VLOOKUP('1.아이디어LIST'!M1757,Code!$C$3:$D$17,2,FALSE)&amp;"-"&amp;VLOOKUP('1.아이디어LIST'!N1757,Code!$E$3:$F$8,2,FALSE)&amp;"-"&amp;COUNTIFS($L$11:L1757,L1757,$M$11:M1757,M1757,$N$11:N1757,N1757)</f>
        <v>CO/D-PI-CE-106</v>
      </c>
      <c r="C1757" s="148" t="str">
        <f>VLOOKUP(E1757,'(참고)재직자'!$A$2:$F$2761,3,0)</f>
        <v>인프라</v>
      </c>
      <c r="D1757" s="80" t="str">
        <f>VLOOKUP(E1757,'(참고)재직자'!$A$2:$F$2761,5,0)</f>
        <v>현장</v>
      </c>
      <c r="E1757" s="27" t="s">
        <v>3675</v>
      </c>
      <c r="F1757" s="80" t="str">
        <f>VLOOKUP(E1757,'(참고)재직자'!$A$2:$F$2761,6,0)</f>
        <v>부장</v>
      </c>
      <c r="G1757" s="81" t="str">
        <f>VLOOKUP(E1757,'(참고)재직자'!$A$2:$F$2761,4,0)</f>
        <v>포항영덕고속도로</v>
      </c>
      <c r="H1757" s="80" t="str">
        <f>VLOOKUP(E1757,'(참고)재직자'!$A$2:$F$2761,2,0)</f>
        <v>김준일</v>
      </c>
      <c r="I1757" s="295">
        <v>46032</v>
      </c>
      <c r="J1757" s="80" t="str">
        <f>VLOOKUP('1.아이디어LIST'!L1757,Code!$A$21:$D$40,3,FALSE)&amp;", "&amp;VLOOKUP('1.아이디어LIST'!M1757,Code!$E$21:$H$45,3,FALSE)&amp;", "&amp;VLOOKUP('1.아이디어LIST'!M1757,Code!$E$21:$H$45,4,FALSE)</f>
        <v xml:space="preserve">고한울, 박재보, </v>
      </c>
      <c r="K1757" s="286" t="str">
        <f>VLOOKUP(L1757,Code!$A$21:$C$40,3,0)</f>
        <v>고한울</v>
      </c>
      <c r="L1757" s="84" t="s">
        <v>189</v>
      </c>
      <c r="M1757" s="84" t="s">
        <v>252</v>
      </c>
      <c r="N1757" s="201" t="s">
        <v>72</v>
      </c>
      <c r="O1757" s="310" t="s">
        <v>8312</v>
      </c>
      <c r="P1757" s="217" t="s">
        <v>8313</v>
      </c>
      <c r="Q1757" s="49" t="s">
        <v>504</v>
      </c>
      <c r="R1757" s="25"/>
      <c r="S1757" s="55"/>
      <c r="T1757" s="26"/>
      <c r="U1757" s="28" t="s">
        <v>8314</v>
      </c>
      <c r="V1757" s="66"/>
      <c r="W1757" s="138"/>
      <c r="X1757" s="106"/>
      <c r="Y1757" s="209"/>
      <c r="Z1757" s="210"/>
      <c r="AA1757" s="207"/>
      <c r="AC1757" s="217" t="s">
        <v>8211</v>
      </c>
      <c r="AD1757" t="s">
        <v>252</v>
      </c>
    </row>
    <row r="1758" spans="1:30" ht="129.75" hidden="1" customHeight="1">
      <c r="A1758" s="88">
        <f>A1757+1</f>
        <v>1748</v>
      </c>
      <c r="B1758" s="79" t="str">
        <f>+VLOOKUP(L1758,Code!$A$3:$B$17,2,FALSE)&amp;"-"&amp;VLOOKUP('1.아이디어LIST'!M1758,Code!$C$3:$D$17,2,FALSE)&amp;"-"&amp;VLOOKUP('1.아이디어LIST'!N1758,Code!$E$3:$F$8,2,FALSE)&amp;"-"&amp;COUNTIFS($L$11:L1758,L1758,$M$11:M1758,M1758,$N$11:N1758,N1758)</f>
        <v>EN/S-C-CE-30</v>
      </c>
      <c r="C1758" s="148" t="str">
        <f>VLOOKUP(E1758,'(참고)재직자'!$A$2:$F$2761,3,0)</f>
        <v>인프라</v>
      </c>
      <c r="D1758" s="80" t="str">
        <f>VLOOKUP(E1758,'(참고)재직자'!$A$2:$F$2761,5,0)</f>
        <v>현장</v>
      </c>
      <c r="E1758" s="27" t="s">
        <v>7383</v>
      </c>
      <c r="F1758" s="80" t="str">
        <f>VLOOKUP(E1758,'(참고)재직자'!$A$2:$F$2761,6,0)</f>
        <v>과장</v>
      </c>
      <c r="G1758" s="81" t="str">
        <f>VLOOKUP(E1758,'(참고)재직자'!$A$2:$F$2761,4,0)</f>
        <v>세종안성고속도로 2공구</v>
      </c>
      <c r="H1758" s="80" t="str">
        <f>VLOOKUP(E1758,'(참고)재직자'!$A$2:$F$2761,2,0)</f>
        <v>김준형</v>
      </c>
      <c r="I1758" s="295">
        <v>46034</v>
      </c>
      <c r="J1758" s="80" t="str">
        <f>VLOOKUP('1.아이디어LIST'!L1758,Code!$A$21:$D$40,3,FALSE)&amp;", "&amp;VLOOKUP('1.아이디어LIST'!M1758,Code!$E$21:$H$45,3,FALSE)&amp;", "&amp;VLOOKUP('1.아이디어LIST'!M1758,Code!$E$21:$H$45,4,FALSE)</f>
        <v xml:space="preserve">박준용, 박준용, </v>
      </c>
      <c r="K1758" s="286" t="s">
        <v>1654</v>
      </c>
      <c r="L1758" s="84" t="s">
        <v>199</v>
      </c>
      <c r="M1758" s="84" t="s">
        <v>200</v>
      </c>
      <c r="N1758" s="201" t="s">
        <v>72</v>
      </c>
      <c r="O1758" s="310" t="s">
        <v>8315</v>
      </c>
      <c r="P1758" s="217" t="s">
        <v>8316</v>
      </c>
      <c r="Q1758" s="49" t="s">
        <v>75</v>
      </c>
      <c r="R1758" s="25" t="s">
        <v>91</v>
      </c>
      <c r="S1758" s="55"/>
      <c r="T1758" s="26"/>
      <c r="U1758" s="28" t="s">
        <v>8317</v>
      </c>
      <c r="V1758" s="66"/>
      <c r="W1758" s="138"/>
      <c r="X1758" s="106"/>
      <c r="Y1758" s="209"/>
      <c r="Z1758" s="210"/>
      <c r="AA1758" s="207"/>
      <c r="AC1758" s="217"/>
    </row>
    <row r="1759" spans="1:30" ht="84.75" hidden="1">
      <c r="A1759" s="88">
        <f>A1758+1</f>
        <v>1749</v>
      </c>
      <c r="B1759" s="79" t="str">
        <f>+VLOOKUP(L1759,Code!$A$3:$B$17,2,FALSE)&amp;"-"&amp;VLOOKUP('1.아이디어LIST'!M1759,Code!$C$3:$D$17,2,FALSE)&amp;"-"&amp;VLOOKUP('1.아이디어LIST'!N1759,Code!$E$3:$F$8,2,FALSE)&amp;"-"&amp;COUNTIFS($L$11:L1759,L1759,$M$11:M1759,M1759,$N$11:N1759,N1759)</f>
        <v>EN/S-C-CE-31</v>
      </c>
      <c r="C1759" s="148" t="str">
        <f>VLOOKUP(E1759,'(참고)재직자'!$A$2:$F$2761,3,0)</f>
        <v>인프라</v>
      </c>
      <c r="D1759" s="80" t="str">
        <f>VLOOKUP(E1759,'(참고)재직자'!$A$2:$F$2761,5,0)</f>
        <v>현장</v>
      </c>
      <c r="E1759" s="27" t="s">
        <v>7698</v>
      </c>
      <c r="F1759" s="80" t="str">
        <f>VLOOKUP(E1759,'(참고)재직자'!$A$2:$F$2761,6,0)</f>
        <v>차장</v>
      </c>
      <c r="G1759" s="81" t="str">
        <f>VLOOKUP(E1759,'(참고)재직자'!$A$2:$F$2761,4,0)</f>
        <v>세종안성고속도로 2공구</v>
      </c>
      <c r="H1759" s="80" t="str">
        <f>VLOOKUP(E1759,'(참고)재직자'!$A$2:$F$2761,2,0)</f>
        <v>이원산</v>
      </c>
      <c r="I1759" s="295">
        <v>46034</v>
      </c>
      <c r="J1759" s="80" t="str">
        <f>VLOOKUP('1.아이디어LIST'!L1759,Code!$A$21:$D$40,3,FALSE)&amp;", "&amp;VLOOKUP('1.아이디어LIST'!M1759,Code!$E$21:$H$45,3,FALSE)&amp;", "&amp;VLOOKUP('1.아이디어LIST'!M1759,Code!$E$21:$H$45,4,FALSE)</f>
        <v xml:space="preserve">박준용, 박준용, </v>
      </c>
      <c r="K1759" s="286" t="s">
        <v>1654</v>
      </c>
      <c r="L1759" s="84" t="s">
        <v>199</v>
      </c>
      <c r="M1759" s="84" t="s">
        <v>200</v>
      </c>
      <c r="N1759" s="201" t="s">
        <v>72</v>
      </c>
      <c r="O1759" s="310" t="s">
        <v>8318</v>
      </c>
      <c r="P1759" s="217" t="s">
        <v>8319</v>
      </c>
      <c r="Q1759" s="49" t="s">
        <v>75</v>
      </c>
      <c r="R1759" s="25" t="s">
        <v>91</v>
      </c>
      <c r="S1759" s="55"/>
      <c r="T1759" s="26"/>
      <c r="U1759" s="28" t="s">
        <v>8320</v>
      </c>
      <c r="V1759" s="66"/>
      <c r="W1759" s="138"/>
      <c r="X1759" s="106"/>
      <c r="Y1759" s="209"/>
      <c r="Z1759" s="210"/>
      <c r="AA1759" s="207"/>
      <c r="AC1759" s="217" t="s">
        <v>8211</v>
      </c>
      <c r="AD1759" t="s">
        <v>252</v>
      </c>
    </row>
    <row r="1760" spans="1:30" ht="117.75" hidden="1" customHeight="1">
      <c r="A1760" s="88">
        <f>A1759+1</f>
        <v>1750</v>
      </c>
      <c r="B1760" s="79" t="str">
        <f>+VLOOKUP(L1760,Code!$A$3:$B$17,2,FALSE)&amp;"-"&amp;VLOOKUP('1.아이디어LIST'!M1760,Code!$C$3:$D$17,2,FALSE)&amp;"-"&amp;VLOOKUP('1.아이디어LIST'!N1760,Code!$E$3:$F$8,2,FALSE)&amp;"-"&amp;COUNTIFS($L$11:L1760,L1760,$M$11:M1760,M1760,$N$11:N1760,N1760)</f>
        <v>CO/D-ID/H-CE-58</v>
      </c>
      <c r="C1760" s="148" t="str">
        <f>VLOOKUP(E1760,'(참고)재직자'!$A$2:$F$2761,3,0)</f>
        <v>인프라</v>
      </c>
      <c r="D1760" s="80" t="str">
        <f>VLOOKUP(E1760,'(참고)재직자'!$A$2:$F$2761,5,0)</f>
        <v>현장</v>
      </c>
      <c r="E1760" s="27" t="s">
        <v>8188</v>
      </c>
      <c r="F1760" s="80" t="str">
        <f>VLOOKUP(E1760,'(참고)재직자'!$A$2:$F$2761,6,0)</f>
        <v>사원</v>
      </c>
      <c r="G1760" s="81" t="str">
        <f>VLOOKUP(E1760,'(참고)재직자'!$A$2:$F$2761,4,0)</f>
        <v>세종안성고속도로 2공구</v>
      </c>
      <c r="H1760" s="80" t="str">
        <f>VLOOKUP(E1760,'(참고)재직자'!$A$2:$F$2761,2,0)</f>
        <v>배병성</v>
      </c>
      <c r="I1760" s="295">
        <v>46034</v>
      </c>
      <c r="J1760" s="80" t="str">
        <f>VLOOKUP('1.아이디어LIST'!L1760,Code!$A$21:$D$40,3,FALSE)&amp;", "&amp;VLOOKUP('1.아이디어LIST'!M1760,Code!$E$21:$H$45,3,FALSE)&amp;", "&amp;VLOOKUP('1.아이디어LIST'!M1760,Code!$E$21:$H$45,4,FALSE)</f>
        <v xml:space="preserve">고한울, 박재보, </v>
      </c>
      <c r="K1760" s="286" t="s">
        <v>1654</v>
      </c>
      <c r="L1760" s="84" t="s">
        <v>189</v>
      </c>
      <c r="M1760" s="84" t="s">
        <v>601</v>
      </c>
      <c r="N1760" s="201" t="s">
        <v>72</v>
      </c>
      <c r="O1760" s="310" t="s">
        <v>8321</v>
      </c>
      <c r="P1760" s="217" t="s">
        <v>8322</v>
      </c>
      <c r="Q1760" s="49" t="s">
        <v>75</v>
      </c>
      <c r="R1760" s="25" t="s">
        <v>504</v>
      </c>
      <c r="S1760" s="55"/>
      <c r="T1760" s="26"/>
      <c r="U1760" s="28" t="s">
        <v>8323</v>
      </c>
      <c r="V1760" s="66"/>
      <c r="W1760" s="138"/>
      <c r="X1760" s="106"/>
      <c r="Y1760" s="209"/>
      <c r="Z1760" s="210"/>
      <c r="AA1760" s="207"/>
      <c r="AC1760" s="217" t="s">
        <v>8211</v>
      </c>
      <c r="AD1760" t="s">
        <v>252</v>
      </c>
    </row>
    <row r="1761" spans="1:30" ht="67.5" hidden="1">
      <c r="A1761" s="88">
        <f>A1760+1</f>
        <v>1751</v>
      </c>
      <c r="B1761" s="79" t="str">
        <f>+VLOOKUP(L1761,Code!$A$3:$B$17,2,FALSE)&amp;"-"&amp;VLOOKUP('1.아이디어LIST'!M1761,Code!$C$3:$D$17,2,FALSE)&amp;"-"&amp;VLOOKUP('1.아이디어LIST'!N1761,Code!$E$3:$F$8,2,FALSE)&amp;"-"&amp;COUNTIFS($L$11:L1761,L1761,$M$11:M1761,M1761,$N$11:N1761,N1761)</f>
        <v>CO/D-ID/H-CE-59</v>
      </c>
      <c r="C1761" s="148" t="str">
        <f>VLOOKUP(E1761,'(참고)재직자'!$A$2:$F$2761,3,0)</f>
        <v>인프라</v>
      </c>
      <c r="D1761" s="80" t="str">
        <f>VLOOKUP(E1761,'(참고)재직자'!$A$2:$F$2761,5,0)</f>
        <v>현장</v>
      </c>
      <c r="E1761" s="27" t="s">
        <v>8324</v>
      </c>
      <c r="F1761" s="80" t="str">
        <f>VLOOKUP(E1761,'(참고)재직자'!$A$2:$F$2761,6,0)</f>
        <v>사원</v>
      </c>
      <c r="G1761" s="81" t="str">
        <f>VLOOKUP(E1761,'(참고)재직자'!$A$2:$F$2761,4,0)</f>
        <v>세종안성고속도로 2공구</v>
      </c>
      <c r="H1761" s="80" t="str">
        <f>VLOOKUP(E1761,'(참고)재직자'!$A$2:$F$2761,2,0)</f>
        <v>성대현</v>
      </c>
      <c r="I1761" s="295">
        <v>46034</v>
      </c>
      <c r="J1761" s="80" t="str">
        <f>VLOOKUP('1.아이디어LIST'!L1761,Code!$A$21:$D$40,3,FALSE)&amp;", "&amp;VLOOKUP('1.아이디어LIST'!M1761,Code!$E$21:$H$45,3,FALSE)&amp;", "&amp;VLOOKUP('1.아이디어LIST'!M1761,Code!$E$21:$H$45,4,FALSE)</f>
        <v xml:space="preserve">고한울, 박재보, </v>
      </c>
      <c r="K1761" s="286" t="s">
        <v>146</v>
      </c>
      <c r="L1761" s="84" t="s">
        <v>189</v>
      </c>
      <c r="M1761" s="84" t="s">
        <v>601</v>
      </c>
      <c r="N1761" s="201" t="s">
        <v>72</v>
      </c>
      <c r="O1761" s="310" t="s">
        <v>8325</v>
      </c>
      <c r="P1761" s="217" t="s">
        <v>8326</v>
      </c>
      <c r="Q1761" s="49" t="s">
        <v>75</v>
      </c>
      <c r="R1761" s="25" t="s">
        <v>504</v>
      </c>
      <c r="S1761" s="55"/>
      <c r="T1761" s="26"/>
      <c r="U1761" s="28" t="s">
        <v>8327</v>
      </c>
      <c r="V1761" s="66"/>
      <c r="W1761" s="138"/>
      <c r="X1761" s="106"/>
      <c r="Y1761" s="209"/>
      <c r="Z1761" s="210"/>
      <c r="AA1761" s="207"/>
      <c r="AC1761" s="217" t="s">
        <v>8211</v>
      </c>
      <c r="AD1761" t="s">
        <v>252</v>
      </c>
    </row>
    <row r="1762" spans="1:30" ht="66" hidden="1">
      <c r="A1762" s="88">
        <f>A1761+1</f>
        <v>1752</v>
      </c>
      <c r="B1762" s="79" t="str">
        <f>+VLOOKUP(L1762,Code!$A$3:$B$17,2,FALSE)&amp;"-"&amp;VLOOKUP('1.아이디어LIST'!M1762,Code!$C$3:$D$17,2,FALSE)&amp;"-"&amp;VLOOKUP('1.아이디어LIST'!N1762,Code!$E$3:$F$8,2,FALSE)&amp;"-"&amp;COUNTIFS($L$11:L1762,L1762,$M$11:M1762,M1762,$N$11:N1762,N1762)</f>
        <v>CO/D-C-CE-20</v>
      </c>
      <c r="C1762" s="148" t="str">
        <f>VLOOKUP(E1762,'(참고)재직자'!$A$2:$F$2761,3,0)</f>
        <v>인프라</v>
      </c>
      <c r="D1762" s="80" t="str">
        <f>VLOOKUP(E1762,'(참고)재직자'!$A$2:$F$2761,5,0)</f>
        <v>현장</v>
      </c>
      <c r="E1762" s="27" t="s">
        <v>8328</v>
      </c>
      <c r="F1762" s="80" t="str">
        <f>VLOOKUP(E1762,'(참고)재직자'!$A$2:$F$2761,6,0)</f>
        <v>대리</v>
      </c>
      <c r="G1762" s="81" t="str">
        <f>VLOOKUP(E1762,'(참고)재직자'!$A$2:$F$2761,4,0)</f>
        <v>월곶-판교 복선전철 제7공구 노반신설</v>
      </c>
      <c r="H1762" s="80" t="str">
        <f>VLOOKUP(E1762,'(참고)재직자'!$A$2:$F$2761,2,0)</f>
        <v>조현준</v>
      </c>
      <c r="I1762" s="295">
        <v>46034</v>
      </c>
      <c r="J1762" s="80" t="str">
        <f>VLOOKUP('1.아이디어LIST'!L1762,Code!$A$21:$D$40,3,FALSE)&amp;", "&amp;VLOOKUP('1.아이디어LIST'!M1762,Code!$E$21:$H$45,3,FALSE)&amp;", "&amp;VLOOKUP('1.아이디어LIST'!M1762,Code!$E$21:$H$45,4,FALSE)</f>
        <v xml:space="preserve">고한울, 박준용, </v>
      </c>
      <c r="K1762" s="286" t="s">
        <v>1654</v>
      </c>
      <c r="L1762" s="84" t="s">
        <v>189</v>
      </c>
      <c r="M1762" s="84" t="s">
        <v>200</v>
      </c>
      <c r="N1762" s="201" t="s">
        <v>72</v>
      </c>
      <c r="O1762" s="310" t="s">
        <v>8329</v>
      </c>
      <c r="P1762" s="217" t="s">
        <v>8330</v>
      </c>
      <c r="Q1762" s="49" t="s">
        <v>75</v>
      </c>
      <c r="R1762" s="25" t="s">
        <v>504</v>
      </c>
      <c r="S1762" s="55"/>
      <c r="T1762" s="26"/>
      <c r="U1762" s="28" t="s">
        <v>8331</v>
      </c>
      <c r="V1762" s="66"/>
      <c r="W1762" s="138"/>
      <c r="X1762" s="106"/>
      <c r="Y1762" s="209"/>
      <c r="Z1762" s="210"/>
      <c r="AA1762" s="207"/>
      <c r="AC1762" s="217" t="s">
        <v>8211</v>
      </c>
      <c r="AD1762" t="s">
        <v>8214</v>
      </c>
    </row>
    <row r="1763" spans="1:30" ht="82.5" hidden="1">
      <c r="A1763" s="88">
        <f>A1762+1</f>
        <v>1753</v>
      </c>
      <c r="B1763" s="79" t="str">
        <f>+VLOOKUP(L1763,Code!$A$3:$B$17,2,FALSE)&amp;"-"&amp;VLOOKUP('1.아이디어LIST'!M1763,Code!$C$3:$D$17,2,FALSE)&amp;"-"&amp;VLOOKUP('1.아이디어LIST'!N1763,Code!$E$3:$F$8,2,FALSE)&amp;"-"&amp;COUNTIFS($L$11:L1763,L1763,$M$11:M1763,M1763,$N$11:N1763,N1763)</f>
        <v>CO/D-ID/H-CE-60</v>
      </c>
      <c r="C1763" s="148" t="str">
        <f>VLOOKUP(E1763,'(참고)재직자'!$A$2:$F$2761,3,0)</f>
        <v>인프라</v>
      </c>
      <c r="D1763" s="80" t="str">
        <f>VLOOKUP(E1763,'(참고)재직자'!$A$2:$F$2761,5,0)</f>
        <v>현장</v>
      </c>
      <c r="E1763" s="27" t="s">
        <v>7692</v>
      </c>
      <c r="F1763" s="80" t="str">
        <f>VLOOKUP(E1763,'(참고)재직자'!$A$2:$F$2761,6,0)</f>
        <v>사원</v>
      </c>
      <c r="G1763" s="81" t="str">
        <f>VLOOKUP(E1763,'(참고)재직자'!$A$2:$F$2761,4,0)</f>
        <v>포항영덕고속도로</v>
      </c>
      <c r="H1763" s="80" t="str">
        <f>VLOOKUP(E1763,'(참고)재직자'!$A$2:$F$2761,2,0)</f>
        <v>이슬기</v>
      </c>
      <c r="I1763" s="295">
        <v>46035</v>
      </c>
      <c r="J1763" s="80" t="str">
        <f>VLOOKUP('1.아이디어LIST'!L1763,Code!$A$21:$D$40,3,FALSE)&amp;", "&amp;VLOOKUP('1.아이디어LIST'!M1763,Code!$E$21:$H$45,3,FALSE)&amp;", "&amp;VLOOKUP('1.아이디어LIST'!M1763,Code!$E$21:$H$45,4,FALSE)</f>
        <v xml:space="preserve">고한울, 박재보, </v>
      </c>
      <c r="K1763" s="286" t="s">
        <v>1654</v>
      </c>
      <c r="L1763" s="84" t="s">
        <v>189</v>
      </c>
      <c r="M1763" s="84" t="s">
        <v>601</v>
      </c>
      <c r="N1763" s="201" t="s">
        <v>72</v>
      </c>
      <c r="O1763" s="310" t="s">
        <v>8332</v>
      </c>
      <c r="P1763" s="217" t="s">
        <v>8333</v>
      </c>
      <c r="Q1763" s="49" t="s">
        <v>91</v>
      </c>
      <c r="R1763" s="25"/>
      <c r="S1763" s="55"/>
      <c r="T1763" s="26"/>
      <c r="U1763" s="28" t="s">
        <v>8334</v>
      </c>
      <c r="V1763" s="66"/>
      <c r="W1763" s="138"/>
      <c r="X1763" s="106"/>
      <c r="Y1763" s="209"/>
      <c r="Z1763" s="210"/>
      <c r="AA1763" s="207"/>
      <c r="AC1763" s="217" t="s">
        <v>8211</v>
      </c>
      <c r="AD1763" t="s">
        <v>252</v>
      </c>
    </row>
    <row r="1764" spans="1:30" ht="99.75" hidden="1">
      <c r="A1764" s="88">
        <f>A1763+1</f>
        <v>1754</v>
      </c>
      <c r="B1764" s="79" t="str">
        <f>+VLOOKUP(L1764,Code!$A$3:$B$17,2,FALSE)&amp;"-"&amp;VLOOKUP('1.아이디어LIST'!M1764,Code!$C$3:$D$17,2,FALSE)&amp;"-"&amp;VLOOKUP('1.아이디어LIST'!N1764,Code!$E$3:$F$8,2,FALSE)&amp;"-"&amp;COUNTIFS($L$11:L1764,L1764,$M$11:M1764,M1764,$N$11:N1764,N1764)</f>
        <v>CO/D-ID/H-CE-61</v>
      </c>
      <c r="C1764" s="148" t="str">
        <f>VLOOKUP(E1764,'(참고)재직자'!$A$2:$F$2761,3,0)</f>
        <v>인프라</v>
      </c>
      <c r="D1764" s="80" t="str">
        <f>VLOOKUP(E1764,'(참고)재직자'!$A$2:$F$2761,5,0)</f>
        <v>현장</v>
      </c>
      <c r="E1764" s="27" t="s">
        <v>7692</v>
      </c>
      <c r="F1764" s="80" t="str">
        <f>VLOOKUP(E1764,'(참고)재직자'!$A$2:$F$2761,6,0)</f>
        <v>사원</v>
      </c>
      <c r="G1764" s="81" t="str">
        <f>VLOOKUP(E1764,'(참고)재직자'!$A$2:$F$2761,4,0)</f>
        <v>포항영덕고속도로</v>
      </c>
      <c r="H1764" s="80" t="str">
        <f>VLOOKUP(E1764,'(참고)재직자'!$A$2:$F$2761,2,0)</f>
        <v>이슬기</v>
      </c>
      <c r="I1764" s="295">
        <v>46035</v>
      </c>
      <c r="J1764" s="80" t="str">
        <f>VLOOKUP('1.아이디어LIST'!L1764,Code!$A$21:$D$40,3,FALSE)&amp;", "&amp;VLOOKUP('1.아이디어LIST'!M1764,Code!$E$21:$H$45,3,FALSE)&amp;", "&amp;VLOOKUP('1.아이디어LIST'!M1764,Code!$E$21:$H$45,4,FALSE)</f>
        <v xml:space="preserve">고한울, 박재보, </v>
      </c>
      <c r="K1764" s="286" t="s">
        <v>1654</v>
      </c>
      <c r="L1764" s="84" t="s">
        <v>189</v>
      </c>
      <c r="M1764" s="84" t="s">
        <v>601</v>
      </c>
      <c r="N1764" s="201" t="s">
        <v>72</v>
      </c>
      <c r="O1764" s="310" t="s">
        <v>8335</v>
      </c>
      <c r="P1764" s="217" t="s">
        <v>8336</v>
      </c>
      <c r="Q1764" s="49" t="s">
        <v>75</v>
      </c>
      <c r="R1764" s="25" t="s">
        <v>504</v>
      </c>
      <c r="S1764" s="55"/>
      <c r="T1764" s="26"/>
      <c r="U1764" s="28" t="s">
        <v>8337</v>
      </c>
      <c r="V1764" s="66"/>
      <c r="W1764" s="138"/>
      <c r="X1764" s="106"/>
      <c r="Y1764" s="209"/>
      <c r="Z1764" s="210"/>
      <c r="AA1764" s="207"/>
      <c r="AC1764" s="217" t="s">
        <v>8211</v>
      </c>
      <c r="AD1764" t="s">
        <v>252</v>
      </c>
    </row>
    <row r="1765" spans="1:30" ht="35.25" hidden="1">
      <c r="A1765" s="88">
        <f>A1764+1</f>
        <v>1755</v>
      </c>
      <c r="B1765" s="79" t="str">
        <f>+VLOOKUP(L1765,Code!$A$3:$B$17,2,FALSE)&amp;"-"&amp;VLOOKUP('1.아이디어LIST'!M1765,Code!$C$3:$D$17,2,FALSE)&amp;"-"&amp;VLOOKUP('1.아이디어LIST'!N1765,Code!$E$3:$F$8,2,FALSE)&amp;"-"&amp;COUNTIFS($L$11:L1765,L1765,$M$11:M1765,M1765,$N$11:N1765,N1765)</f>
        <v>CO/D-ID/H-CE-62</v>
      </c>
      <c r="C1765" s="148" t="str">
        <f>VLOOKUP(E1765,'(참고)재직자'!$A$2:$F$2761,3,0)</f>
        <v>인프라</v>
      </c>
      <c r="D1765" s="80" t="str">
        <f>VLOOKUP(E1765,'(참고)재직자'!$A$2:$F$2761,5,0)</f>
        <v>현장</v>
      </c>
      <c r="E1765" s="27" t="s">
        <v>7692</v>
      </c>
      <c r="F1765" s="80" t="str">
        <f>VLOOKUP(E1765,'(참고)재직자'!$A$2:$F$2761,6,0)</f>
        <v>사원</v>
      </c>
      <c r="G1765" s="81" t="str">
        <f>VLOOKUP(E1765,'(참고)재직자'!$A$2:$F$2761,4,0)</f>
        <v>포항영덕고속도로</v>
      </c>
      <c r="H1765" s="80" t="str">
        <f>VLOOKUP(E1765,'(참고)재직자'!$A$2:$F$2761,2,0)</f>
        <v>이슬기</v>
      </c>
      <c r="I1765" s="295">
        <v>46035</v>
      </c>
      <c r="J1765" s="80" t="str">
        <f>VLOOKUP('1.아이디어LIST'!L1765,Code!$A$21:$D$40,3,FALSE)&amp;", "&amp;VLOOKUP('1.아이디어LIST'!M1765,Code!$E$21:$H$45,3,FALSE)&amp;", "&amp;VLOOKUP('1.아이디어LIST'!M1765,Code!$E$21:$H$45,4,FALSE)</f>
        <v xml:space="preserve">고한울, 박재보, </v>
      </c>
      <c r="K1765" s="286" t="s">
        <v>1654</v>
      </c>
      <c r="L1765" s="84" t="s">
        <v>189</v>
      </c>
      <c r="M1765" s="84" t="s">
        <v>601</v>
      </c>
      <c r="N1765" s="201" t="s">
        <v>72</v>
      </c>
      <c r="O1765" s="310" t="s">
        <v>8338</v>
      </c>
      <c r="P1765" s="217" t="s">
        <v>8339</v>
      </c>
      <c r="Q1765" s="49" t="s">
        <v>91</v>
      </c>
      <c r="R1765" s="25"/>
      <c r="S1765" s="55"/>
      <c r="T1765" s="26"/>
      <c r="U1765" s="28" t="s">
        <v>8340</v>
      </c>
      <c r="V1765" s="66"/>
      <c r="W1765" s="138"/>
      <c r="X1765" s="106"/>
      <c r="Y1765" s="209"/>
      <c r="Z1765" s="210"/>
      <c r="AA1765" s="207"/>
      <c r="AC1765" s="217" t="s">
        <v>8211</v>
      </c>
      <c r="AD1765" t="s">
        <v>8214</v>
      </c>
    </row>
    <row r="1766" spans="1:30" ht="82.5" hidden="1">
      <c r="A1766" s="88">
        <f>A1765+1</f>
        <v>1756</v>
      </c>
      <c r="B1766" s="79" t="str">
        <f>+VLOOKUP(L1766,Code!$A$3:$B$17,2,FALSE)&amp;"-"&amp;VLOOKUP('1.아이디어LIST'!M1766,Code!$C$3:$D$17,2,FALSE)&amp;"-"&amp;VLOOKUP('1.아이디어LIST'!N1766,Code!$E$3:$F$8,2,FALSE)&amp;"-"&amp;COUNTIFS($L$11:L1766,L1766,$M$11:M1766,M1766,$N$11:N1766,N1766)</f>
        <v>CO/D-C-CE-21</v>
      </c>
      <c r="C1766" s="148" t="str">
        <f>VLOOKUP(E1766,'(참고)재직자'!$A$2:$F$2761,3,0)</f>
        <v>인프라</v>
      </c>
      <c r="D1766" s="80" t="str">
        <f>VLOOKUP(E1766,'(참고)재직자'!$A$2:$F$2761,5,0)</f>
        <v>현장</v>
      </c>
      <c r="E1766" s="27" t="s">
        <v>7692</v>
      </c>
      <c r="F1766" s="80" t="str">
        <f>VLOOKUP(E1766,'(참고)재직자'!$A$2:$F$2761,6,0)</f>
        <v>사원</v>
      </c>
      <c r="G1766" s="81" t="str">
        <f>VLOOKUP(E1766,'(참고)재직자'!$A$2:$F$2761,4,0)</f>
        <v>포항영덕고속도로</v>
      </c>
      <c r="H1766" s="80" t="str">
        <f>VLOOKUP(E1766,'(참고)재직자'!$A$2:$F$2761,2,0)</f>
        <v>이슬기</v>
      </c>
      <c r="I1766" s="295">
        <v>46035</v>
      </c>
      <c r="J1766" s="80" t="str">
        <f>VLOOKUP('1.아이디어LIST'!L1766,Code!$A$21:$D$40,3,FALSE)&amp;", "&amp;VLOOKUP('1.아이디어LIST'!M1766,Code!$E$21:$H$45,3,FALSE)&amp;", "&amp;VLOOKUP('1.아이디어LIST'!M1766,Code!$E$21:$H$45,4,FALSE)</f>
        <v xml:space="preserve">고한울, 박준용, </v>
      </c>
      <c r="K1766" s="286" t="s">
        <v>1654</v>
      </c>
      <c r="L1766" s="84" t="s">
        <v>189</v>
      </c>
      <c r="M1766" s="84" t="s">
        <v>200</v>
      </c>
      <c r="N1766" s="201" t="s">
        <v>72</v>
      </c>
      <c r="O1766" s="310" t="s">
        <v>8341</v>
      </c>
      <c r="P1766" s="217" t="s">
        <v>8342</v>
      </c>
      <c r="Q1766" s="49" t="s">
        <v>75</v>
      </c>
      <c r="R1766" s="25" t="s">
        <v>504</v>
      </c>
      <c r="S1766" s="55"/>
      <c r="T1766" s="26"/>
      <c r="U1766" s="28" t="s">
        <v>8343</v>
      </c>
      <c r="V1766" s="66"/>
      <c r="W1766" s="138"/>
      <c r="X1766" s="106"/>
      <c r="Y1766" s="209"/>
      <c r="Z1766" s="210"/>
      <c r="AA1766" s="207"/>
      <c r="AC1766" s="217" t="s">
        <v>8211</v>
      </c>
      <c r="AD1766" t="s">
        <v>252</v>
      </c>
    </row>
    <row r="1767" spans="1:30" ht="66" hidden="1">
      <c r="A1767" s="88">
        <f>A1766+1</f>
        <v>1757</v>
      </c>
      <c r="B1767" s="79" t="str">
        <f>+VLOOKUP(L1767,Code!$A$3:$B$17,2,FALSE)&amp;"-"&amp;VLOOKUP('1.아이디어LIST'!M1767,Code!$C$3:$D$17,2,FALSE)&amp;"-"&amp;VLOOKUP('1.아이디어LIST'!N1767,Code!$E$3:$F$8,2,FALSE)&amp;"-"&amp;COUNTIFS($L$11:L1767,L1767,$M$11:M1767,M1767,$N$11:N1767,N1767)</f>
        <v>CO/D-ID/H-CE-63</v>
      </c>
      <c r="C1767" s="148" t="str">
        <f>VLOOKUP(E1767,'(참고)재직자'!$A$2:$F$2761,3,0)</f>
        <v>인프라</v>
      </c>
      <c r="D1767" s="80" t="str">
        <f>VLOOKUP(E1767,'(참고)재직자'!$A$2:$F$2761,5,0)</f>
        <v>현장</v>
      </c>
      <c r="E1767" s="27" t="s">
        <v>7692</v>
      </c>
      <c r="F1767" s="80" t="str">
        <f>VLOOKUP(E1767,'(참고)재직자'!$A$2:$F$2761,6,0)</f>
        <v>사원</v>
      </c>
      <c r="G1767" s="81" t="str">
        <f>VLOOKUP(E1767,'(참고)재직자'!$A$2:$F$2761,4,0)</f>
        <v>포항영덕고속도로</v>
      </c>
      <c r="H1767" s="80" t="str">
        <f>VLOOKUP(E1767,'(참고)재직자'!$A$2:$F$2761,2,0)</f>
        <v>이슬기</v>
      </c>
      <c r="I1767" s="295">
        <v>46035</v>
      </c>
      <c r="J1767" s="80" t="str">
        <f>VLOOKUP('1.아이디어LIST'!L1767,Code!$A$21:$D$40,3,FALSE)&amp;", "&amp;VLOOKUP('1.아이디어LIST'!M1767,Code!$E$21:$H$45,3,FALSE)&amp;", "&amp;VLOOKUP('1.아이디어LIST'!M1767,Code!$E$21:$H$45,4,FALSE)</f>
        <v xml:space="preserve">고한울, 박재보, </v>
      </c>
      <c r="K1767" s="286" t="s">
        <v>3373</v>
      </c>
      <c r="L1767" s="84" t="s">
        <v>189</v>
      </c>
      <c r="M1767" s="84" t="s">
        <v>601</v>
      </c>
      <c r="N1767" s="201" t="s">
        <v>72</v>
      </c>
      <c r="O1767" s="310" t="s">
        <v>8344</v>
      </c>
      <c r="P1767" s="217" t="s">
        <v>8345</v>
      </c>
      <c r="Q1767" s="49" t="s">
        <v>75</v>
      </c>
      <c r="R1767" s="25" t="s">
        <v>75</v>
      </c>
      <c r="S1767" s="55">
        <v>18</v>
      </c>
      <c r="T1767" s="26">
        <v>77</v>
      </c>
      <c r="U1767" s="28" t="s">
        <v>8346</v>
      </c>
      <c r="V1767" s="66"/>
      <c r="W1767" s="138"/>
      <c r="X1767" s="106"/>
      <c r="Y1767" s="209"/>
      <c r="Z1767" s="210"/>
      <c r="AA1767" s="207"/>
      <c r="AC1767" s="217" t="s">
        <v>8211</v>
      </c>
      <c r="AD1767" t="s">
        <v>8214</v>
      </c>
    </row>
    <row r="1768" spans="1:30" ht="51" hidden="1">
      <c r="A1768" s="88">
        <f>A1767+1</f>
        <v>1758</v>
      </c>
      <c r="B1768" s="79" t="str">
        <f>+VLOOKUP(L1768,Code!$A$3:$B$17,2,FALSE)&amp;"-"&amp;VLOOKUP('1.아이디어LIST'!M1768,Code!$C$3:$D$17,2,FALSE)&amp;"-"&amp;VLOOKUP('1.아이디어LIST'!N1768,Code!$E$3:$F$8,2,FALSE)&amp;"-"&amp;COUNTIFS($L$11:L1768,L1768,$M$11:M1768,M1768,$N$11:N1768,N1768)</f>
        <v>CO/I-PI-SNA-9</v>
      </c>
      <c r="C1768" s="148" t="str">
        <f>VLOOKUP(E1768,'(참고)재직자'!$A$2:$F$2761,3,0)</f>
        <v>인프라</v>
      </c>
      <c r="D1768" s="80" t="str">
        <f>VLOOKUP(E1768,'(참고)재직자'!$A$2:$F$2761,5,0)</f>
        <v>본사</v>
      </c>
      <c r="E1768" s="27" t="s">
        <v>4954</v>
      </c>
      <c r="F1768" s="80" t="s">
        <v>338</v>
      </c>
      <c r="G1768" s="81" t="str">
        <f>VLOOKUP(E1768,'(참고)재직자'!$A$2:$F$2761,4,0)</f>
        <v>인프라지원팀</v>
      </c>
      <c r="H1768" s="80" t="str">
        <f>VLOOKUP(E1768,'(참고)재직자'!$A$2:$F$2761,2,0)</f>
        <v>윤성한</v>
      </c>
      <c r="I1768" s="295">
        <v>46035</v>
      </c>
      <c r="J1768" s="80" t="str">
        <f>VLOOKUP('1.아이디어LIST'!L1768,Code!$A$21:$D$40,3,FALSE)&amp;", "&amp;VLOOKUP('1.아이디어LIST'!M1768,Code!$E$21:$H$45,3,FALSE)&amp;", "&amp;VLOOKUP('1.아이디어LIST'!M1768,Code!$E$21:$H$45,4,FALSE)</f>
        <v xml:space="preserve">박재보, 박재보, </v>
      </c>
      <c r="K1768" s="296" t="s">
        <v>8303</v>
      </c>
      <c r="L1768" s="84" t="s">
        <v>100</v>
      </c>
      <c r="M1768" s="84" t="s">
        <v>252</v>
      </c>
      <c r="N1768" s="201" t="s">
        <v>920</v>
      </c>
      <c r="O1768" s="310" t="s">
        <v>8347</v>
      </c>
      <c r="P1768" s="217" t="s">
        <v>8348</v>
      </c>
      <c r="Q1768" s="49" t="s">
        <v>504</v>
      </c>
      <c r="R1768" s="25"/>
      <c r="S1768" s="55"/>
      <c r="T1768" s="26"/>
      <c r="U1768" s="28" t="s">
        <v>8349</v>
      </c>
      <c r="V1768" s="66"/>
      <c r="W1768" s="138"/>
      <c r="X1768" s="106"/>
      <c r="Y1768" s="209"/>
      <c r="Z1768" s="210"/>
      <c r="AA1768" s="207"/>
      <c r="AC1768" s="217"/>
    </row>
    <row r="1769" spans="1:30" ht="67.5" hidden="1">
      <c r="A1769" s="88">
        <f>A1768+1</f>
        <v>1759</v>
      </c>
      <c r="B1769" s="79" t="str">
        <f>+VLOOKUP(L1769,Code!$A$3:$B$17,2,FALSE)&amp;"-"&amp;VLOOKUP('1.아이디어LIST'!M1769,Code!$C$3:$D$17,2,FALSE)&amp;"-"&amp;VLOOKUP('1.아이디어LIST'!N1769,Code!$E$3:$F$8,2,FALSE)&amp;"-"&amp;COUNTIFS($L$11:L1769,L1769,$M$11:M1769,M1769,$N$11:N1769,N1769)</f>
        <v>CO/D-ID/H-CE-64</v>
      </c>
      <c r="C1769" s="148" t="str">
        <f>VLOOKUP(E1769,'(참고)재직자'!$A$2:$F$2761,3,0)</f>
        <v>건축</v>
      </c>
      <c r="D1769" s="80" t="str">
        <f>VLOOKUP(E1769,'(참고)재직자'!$A$2:$F$2761,5,0)</f>
        <v>현장</v>
      </c>
      <c r="E1769" s="27" t="s">
        <v>2099</v>
      </c>
      <c r="F1769" s="80" t="str">
        <f>VLOOKUP(E1769,'(참고)재직자'!$A$2:$F$2761,6,0)</f>
        <v>대리</v>
      </c>
      <c r="G1769" s="81" t="str">
        <f>VLOOKUP(E1769,'(참고)재직자'!$A$2:$F$2761,4,0)</f>
        <v>울산 무거동 공동주택 현장</v>
      </c>
      <c r="H1769" s="80" t="str">
        <f>VLOOKUP(E1769,'(참고)재직자'!$A$2:$F$2761,2,0)</f>
        <v>서영준</v>
      </c>
      <c r="I1769" s="295">
        <v>46035</v>
      </c>
      <c r="J1769" s="80" t="str">
        <f>VLOOKUP('1.아이디어LIST'!L1769,Code!$A$21:$D$40,3,FALSE)&amp;", "&amp;VLOOKUP('1.아이디어LIST'!M1769,Code!$E$21:$H$45,3,FALSE)&amp;", "&amp;VLOOKUP('1.아이디어LIST'!M1769,Code!$E$21:$H$45,4,FALSE)</f>
        <v xml:space="preserve">고한울, 박재보, </v>
      </c>
      <c r="K1769" s="286" t="str">
        <f>VLOOKUP(L1769,Code!$A$21:$C$40,3,0)</f>
        <v>고한울</v>
      </c>
      <c r="L1769" s="84" t="s">
        <v>189</v>
      </c>
      <c r="M1769" s="84" t="s">
        <v>601</v>
      </c>
      <c r="N1769" s="201" t="s">
        <v>72</v>
      </c>
      <c r="O1769" s="200" t="s">
        <v>8350</v>
      </c>
      <c r="P1769" s="217" t="s">
        <v>8351</v>
      </c>
      <c r="Q1769" s="49" t="s">
        <v>75</v>
      </c>
      <c r="R1769" s="25" t="s">
        <v>504</v>
      </c>
      <c r="S1769" s="55"/>
      <c r="T1769" s="26"/>
      <c r="U1769" s="28" t="s">
        <v>8352</v>
      </c>
      <c r="V1769" s="66"/>
      <c r="W1769" s="138"/>
      <c r="X1769" s="106"/>
      <c r="Y1769" s="209"/>
      <c r="Z1769" s="210"/>
      <c r="AA1769" s="207"/>
      <c r="AC1769" s="217" t="s">
        <v>8211</v>
      </c>
      <c r="AD1769" t="s">
        <v>252</v>
      </c>
    </row>
    <row r="1770" spans="1:30" ht="102" hidden="1">
      <c r="A1770" s="88">
        <f>A1769+1</f>
        <v>1760</v>
      </c>
      <c r="B1770" s="79" t="str">
        <f>+VLOOKUP(L1770,Code!$A$3:$B$17,2,FALSE)&amp;"-"&amp;VLOOKUP('1.아이디어LIST'!M1770,Code!$C$3:$D$17,2,FALSE)&amp;"-"&amp;VLOOKUP('1.아이디어LIST'!N1770,Code!$E$3:$F$8,2,FALSE)&amp;"-"&amp;COUNTIFS($L$11:L1770,L1770,$M$11:M1770,M1770,$N$11:N1770,N1770)</f>
        <v>PR/C-Z-CE-11</v>
      </c>
      <c r="C1770" s="148" t="str">
        <f>VLOOKUP(E1770,'(참고)재직자'!$A$2:$F$2761,3,0)</f>
        <v>건축</v>
      </c>
      <c r="D1770" s="80" t="str">
        <f>VLOOKUP(E1770,'(참고)재직자'!$A$2:$F$2761,5,0)</f>
        <v>현장</v>
      </c>
      <c r="E1770" s="27" t="s">
        <v>7806</v>
      </c>
      <c r="F1770" s="80" t="str">
        <f>VLOOKUP(E1770,'(참고)재직자'!$A$2:$F$2761,6,0)</f>
        <v>과장</v>
      </c>
      <c r="G1770" s="81" t="str">
        <f>VLOOKUP(E1770,'(참고)재직자'!$A$2:$F$2761,4,0)</f>
        <v>광명1R 재개발</v>
      </c>
      <c r="H1770" s="80" t="str">
        <f>VLOOKUP(E1770,'(참고)재직자'!$A$2:$F$2761,2,0)</f>
        <v>김동기</v>
      </c>
      <c r="I1770" s="295">
        <v>46035</v>
      </c>
      <c r="J1770" s="80" t="str">
        <f>VLOOKUP('1.아이디어LIST'!L1770,Code!$A$21:$D$40,3,FALSE)&amp;", "&amp;VLOOKUP('1.아이디어LIST'!M1770,Code!$E$21:$H$45,3,FALSE)&amp;", "&amp;VLOOKUP('1.아이디어LIST'!M1770,Code!$E$21:$H$45,4,FALSE)</f>
        <v xml:space="preserve">고한울, 박준용, </v>
      </c>
      <c r="K1770" s="286" t="str">
        <f>VLOOKUP(L1770,Code!$A$21:$C$40,3,0)</f>
        <v>고한울</v>
      </c>
      <c r="L1770" s="84" t="s">
        <v>300</v>
      </c>
      <c r="M1770" s="84" t="s">
        <v>784</v>
      </c>
      <c r="N1770" s="201" t="s">
        <v>72</v>
      </c>
      <c r="O1770" s="200" t="s">
        <v>8353</v>
      </c>
      <c r="P1770" s="217" t="s">
        <v>8354</v>
      </c>
      <c r="Q1770" s="49" t="s">
        <v>75</v>
      </c>
      <c r="R1770" s="25" t="s">
        <v>91</v>
      </c>
      <c r="S1770" s="55"/>
      <c r="T1770" s="26"/>
      <c r="U1770" s="28" t="s">
        <v>8355</v>
      </c>
      <c r="V1770" s="66"/>
      <c r="W1770" s="138"/>
      <c r="X1770" s="106"/>
      <c r="Y1770" s="209"/>
      <c r="Z1770" s="210"/>
      <c r="AA1770" s="207"/>
      <c r="AC1770" s="217" t="s">
        <v>8211</v>
      </c>
      <c r="AD1770" t="s">
        <v>252</v>
      </c>
    </row>
    <row r="1771" spans="1:30" ht="49.5" hidden="1">
      <c r="A1771" s="88">
        <f>A1770+1</f>
        <v>1761</v>
      </c>
      <c r="B1771" s="79" t="str">
        <f>+VLOOKUP(L1771,Code!$A$3:$B$17,2,FALSE)&amp;"-"&amp;VLOOKUP('1.아이디어LIST'!M1771,Code!$C$3:$D$17,2,FALSE)&amp;"-"&amp;VLOOKUP('1.아이디어LIST'!N1771,Code!$E$3:$F$8,2,FALSE)&amp;"-"&amp;COUNTIFS($L$11:L1771,L1771,$M$11:M1771,M1771,$N$11:N1771,N1771)</f>
        <v>CO/I-PI-CE-69</v>
      </c>
      <c r="C1771" s="148" t="str">
        <f>VLOOKUP(E1771,'(참고)재직자'!$A$2:$F$2761,3,0)</f>
        <v>인프라</v>
      </c>
      <c r="D1771" s="80" t="str">
        <f>VLOOKUP(E1771,'(참고)재직자'!$A$2:$F$2761,5,0)</f>
        <v>현장</v>
      </c>
      <c r="E1771" s="27" t="s">
        <v>8356</v>
      </c>
      <c r="F1771" s="80" t="str">
        <f>VLOOKUP(E1771,'(참고)재직자'!$A$2:$F$2761,6,0)</f>
        <v>대리</v>
      </c>
      <c r="G1771" s="81" t="str">
        <f>VLOOKUP(E1771,'(참고)재직자'!$A$2:$F$2761,4,0)</f>
        <v>월곶판교 7공구</v>
      </c>
      <c r="H1771" s="80" t="str">
        <f>VLOOKUP(E1771,'(참고)재직자'!$A$2:$F$2761,2,0)</f>
        <v>김민범</v>
      </c>
      <c r="I1771" s="295">
        <v>46035</v>
      </c>
      <c r="J1771" s="80" t="str">
        <f>VLOOKUP('1.아이디어LIST'!L1771,Code!$A$21:$D$40,3,FALSE)&amp;", "&amp;VLOOKUP('1.아이디어LIST'!M1771,Code!$E$21:$H$45,3,FALSE)&amp;", "&amp;VLOOKUP('1.아이디어LIST'!M1771,Code!$E$21:$H$45,4,FALSE)</f>
        <v xml:space="preserve">박재보, 박재보, </v>
      </c>
      <c r="K1771" s="286" t="s">
        <v>3373</v>
      </c>
      <c r="L1771" s="84" t="s">
        <v>100</v>
      </c>
      <c r="M1771" s="84" t="s">
        <v>252</v>
      </c>
      <c r="N1771" s="201" t="s">
        <v>72</v>
      </c>
      <c r="O1771" s="310" t="s">
        <v>8357</v>
      </c>
      <c r="P1771" s="217" t="s">
        <v>8358</v>
      </c>
      <c r="Q1771" s="49" t="s">
        <v>75</v>
      </c>
      <c r="R1771" s="25" t="s">
        <v>504</v>
      </c>
      <c r="S1771" s="55">
        <v>18</v>
      </c>
      <c r="T1771" s="26">
        <v>50</v>
      </c>
      <c r="U1771" s="289" t="s">
        <v>8359</v>
      </c>
      <c r="V1771" s="66"/>
      <c r="W1771" s="138"/>
      <c r="X1771" s="106"/>
      <c r="Y1771" s="209"/>
      <c r="Z1771" s="210"/>
      <c r="AA1771" s="207"/>
      <c r="AC1771" s="217" t="s">
        <v>8211</v>
      </c>
      <c r="AD1771" t="s">
        <v>8214</v>
      </c>
    </row>
    <row r="1772" spans="1:30" ht="84.75" hidden="1">
      <c r="A1772" s="88">
        <f>A1771+1</f>
        <v>1762</v>
      </c>
      <c r="B1772" s="79" t="str">
        <f>+VLOOKUP(L1772,Code!$A$3:$B$17,2,FALSE)&amp;"-"&amp;VLOOKUP('1.아이디어LIST'!M1772,Code!$C$3:$D$17,2,FALSE)&amp;"-"&amp;VLOOKUP('1.아이디어LIST'!N1772,Code!$E$3:$F$8,2,FALSE)&amp;"-"&amp;COUNTIFS($L$11:L1772,L1772,$M$11:M1772,M1772,$N$11:N1772,N1772)</f>
        <v>CO/I-PI-CE-70</v>
      </c>
      <c r="C1772" s="148" t="str">
        <f>VLOOKUP(E1772,'(참고)재직자'!$A$2:$F$2761,3,0)</f>
        <v>건축</v>
      </c>
      <c r="D1772" s="80" t="str">
        <f>VLOOKUP(E1772,'(참고)재직자'!$A$2:$F$2761,5,0)</f>
        <v>현장</v>
      </c>
      <c r="E1772" s="27" t="s">
        <v>3634</v>
      </c>
      <c r="F1772" s="80" t="str">
        <f>VLOOKUP(E1772,'(참고)재직자'!$A$2:$F$2761,6,0)</f>
        <v>사원</v>
      </c>
      <c r="G1772" s="81" t="str">
        <f>VLOOKUP(E1772,'(참고)재직자'!$A$2:$F$2761,4,0)</f>
        <v>용산주공 재건축</v>
      </c>
      <c r="H1772" s="80" t="str">
        <f>VLOOKUP(E1772,'(참고)재직자'!$A$2:$F$2761,2,0)</f>
        <v>안환영</v>
      </c>
      <c r="I1772" s="295">
        <v>46035</v>
      </c>
      <c r="J1772" s="80" t="str">
        <f>VLOOKUP('1.아이디어LIST'!L1772,Code!$A$21:$D$40,3,FALSE)&amp;", "&amp;VLOOKUP('1.아이디어LIST'!M1772,Code!$E$21:$H$45,3,FALSE)&amp;", "&amp;VLOOKUP('1.아이디어LIST'!M1772,Code!$E$21:$H$45,4,FALSE)</f>
        <v xml:space="preserve">박재보, 박재보, </v>
      </c>
      <c r="K1772" s="286" t="s">
        <v>299</v>
      </c>
      <c r="L1772" s="84" t="s">
        <v>100</v>
      </c>
      <c r="M1772" s="84" t="s">
        <v>252</v>
      </c>
      <c r="N1772" s="201" t="s">
        <v>72</v>
      </c>
      <c r="O1772" s="200" t="s">
        <v>8360</v>
      </c>
      <c r="P1772" s="217" t="s">
        <v>8361</v>
      </c>
      <c r="Q1772" s="49" t="s">
        <v>75</v>
      </c>
      <c r="R1772" s="25" t="s">
        <v>91</v>
      </c>
      <c r="S1772" s="55"/>
      <c r="T1772" s="26"/>
      <c r="U1772" s="28" t="s">
        <v>8362</v>
      </c>
      <c r="V1772" s="66"/>
      <c r="W1772" s="138"/>
      <c r="X1772" s="106"/>
      <c r="Y1772" s="209"/>
      <c r="Z1772" s="210"/>
      <c r="AA1772" s="207"/>
      <c r="AC1772" s="217"/>
    </row>
    <row r="1773" spans="1:30" ht="82.5" hidden="1">
      <c r="A1773" s="88">
        <f>A1772+1</f>
        <v>1763</v>
      </c>
      <c r="B1773" s="79" t="str">
        <f>+VLOOKUP(L1773,Code!$A$3:$B$17,2,FALSE)&amp;"-"&amp;VLOOKUP('1.아이디어LIST'!M1773,Code!$C$3:$D$17,2,FALSE)&amp;"-"&amp;VLOOKUP('1.아이디어LIST'!N1773,Code!$E$3:$F$8,2,FALSE)&amp;"-"&amp;COUNTIFS($L$11:L1773,L1773,$M$11:M1773,M1773,$N$11:N1773,N1773)</f>
        <v>CO/I-PI-CE-71</v>
      </c>
      <c r="C1773" s="148" t="str">
        <f>VLOOKUP(E1773,'(참고)재직자'!$A$2:$F$2761,3,0)</f>
        <v>인프라</v>
      </c>
      <c r="D1773" s="80" t="str">
        <f>VLOOKUP(E1773,'(참고)재직자'!$A$2:$F$2761,5,0)</f>
        <v>현장</v>
      </c>
      <c r="E1773" s="27" t="s">
        <v>3197</v>
      </c>
      <c r="F1773" s="80" t="str">
        <f>VLOOKUP(E1773,'(참고)재직자'!$A$2:$F$2761,6,0)</f>
        <v>과장</v>
      </c>
      <c r="G1773" s="81" t="str">
        <f>VLOOKUP(E1773,'(참고)재직자'!$A$2:$F$2761,4,0)</f>
        <v>수원발 KTX 노반공사</v>
      </c>
      <c r="H1773" s="80" t="str">
        <f>VLOOKUP(E1773,'(참고)재직자'!$A$2:$F$2761,2,0)</f>
        <v>강희종</v>
      </c>
      <c r="I1773" s="295">
        <v>46035</v>
      </c>
      <c r="J1773" s="80" t="str">
        <f>VLOOKUP('1.아이디어LIST'!L1773,Code!$A$21:$D$40,3,FALSE)&amp;", "&amp;VLOOKUP('1.아이디어LIST'!M1773,Code!$E$21:$H$45,3,FALSE)&amp;", "&amp;VLOOKUP('1.아이디어LIST'!M1773,Code!$E$21:$H$45,4,FALSE)</f>
        <v xml:space="preserve">박재보, 박재보, </v>
      </c>
      <c r="K1773" s="286" t="s">
        <v>1654</v>
      </c>
      <c r="L1773" s="84" t="s">
        <v>100</v>
      </c>
      <c r="M1773" s="84" t="s">
        <v>252</v>
      </c>
      <c r="N1773" s="201" t="s">
        <v>72</v>
      </c>
      <c r="O1773" s="310" t="s">
        <v>8363</v>
      </c>
      <c r="P1773" s="217" t="s">
        <v>8364</v>
      </c>
      <c r="Q1773" s="49" t="s">
        <v>75</v>
      </c>
      <c r="R1773" s="25" t="s">
        <v>91</v>
      </c>
      <c r="S1773" s="55"/>
      <c r="T1773" s="26"/>
      <c r="U1773" s="28" t="s">
        <v>8365</v>
      </c>
      <c r="V1773" s="66"/>
      <c r="W1773" s="138"/>
      <c r="X1773" s="106"/>
      <c r="Y1773" s="209"/>
      <c r="Z1773" s="210"/>
      <c r="AA1773" s="207"/>
      <c r="AC1773" s="217"/>
    </row>
    <row r="1774" spans="1:30" ht="49.5" hidden="1">
      <c r="A1774" s="88">
        <f>A1773+1</f>
        <v>1764</v>
      </c>
      <c r="B1774" s="79" t="str">
        <f>+VLOOKUP(L1774,Code!$A$3:$B$17,2,FALSE)&amp;"-"&amp;VLOOKUP('1.아이디어LIST'!M1774,Code!$C$3:$D$17,2,FALSE)&amp;"-"&amp;VLOOKUP('1.아이디어LIST'!N1774,Code!$E$3:$F$8,2,FALSE)&amp;"-"&amp;COUNTIFS($L$11:L1774,L1774,$M$11:M1774,M1774,$N$11:N1774,N1774)</f>
        <v>CO/I-PI-CE-72</v>
      </c>
      <c r="C1774" s="148" t="str">
        <f>VLOOKUP(E1774,'(참고)재직자'!$A$2:$F$2761,3,0)</f>
        <v>건축</v>
      </c>
      <c r="D1774" s="80" t="str">
        <f>VLOOKUP(E1774,'(참고)재직자'!$A$2:$F$2761,5,0)</f>
        <v>현장</v>
      </c>
      <c r="E1774" s="27" t="s">
        <v>7806</v>
      </c>
      <c r="F1774" s="80" t="str">
        <f>VLOOKUP(E1774,'(참고)재직자'!$A$2:$F$2761,6,0)</f>
        <v>과장</v>
      </c>
      <c r="G1774" s="81" t="str">
        <f>VLOOKUP(E1774,'(참고)재직자'!$A$2:$F$2761,4,0)</f>
        <v>광명1R 재개발</v>
      </c>
      <c r="H1774" s="80" t="str">
        <f>VLOOKUP(E1774,'(참고)재직자'!$A$2:$F$2761,2,0)</f>
        <v>김동기</v>
      </c>
      <c r="I1774" s="295">
        <v>46035</v>
      </c>
      <c r="J1774" s="80" t="str">
        <f>VLOOKUP('1.아이디어LIST'!L1774,Code!$A$21:$D$40,3,FALSE)&amp;", "&amp;VLOOKUP('1.아이디어LIST'!M1774,Code!$E$21:$H$45,3,FALSE)&amp;", "&amp;VLOOKUP('1.아이디어LIST'!M1774,Code!$E$21:$H$45,4,FALSE)</f>
        <v xml:space="preserve">박재보, 박재보, </v>
      </c>
      <c r="K1774" s="286" t="s">
        <v>299</v>
      </c>
      <c r="L1774" s="84" t="s">
        <v>100</v>
      </c>
      <c r="M1774" s="84" t="s">
        <v>252</v>
      </c>
      <c r="N1774" s="201" t="s">
        <v>72</v>
      </c>
      <c r="O1774" s="200" t="s">
        <v>8366</v>
      </c>
      <c r="P1774" s="217" t="s">
        <v>8367</v>
      </c>
      <c r="Q1774" s="49" t="s">
        <v>75</v>
      </c>
      <c r="R1774" s="25" t="s">
        <v>504</v>
      </c>
      <c r="S1774" s="55"/>
      <c r="T1774" s="26"/>
      <c r="U1774" s="28" t="s">
        <v>8368</v>
      </c>
      <c r="V1774" s="66"/>
      <c r="W1774" s="138"/>
      <c r="X1774" s="106"/>
      <c r="Y1774" s="209"/>
      <c r="Z1774" s="210"/>
      <c r="AA1774" s="207"/>
      <c r="AC1774" s="217"/>
    </row>
    <row r="1775" spans="1:30" ht="51" hidden="1">
      <c r="A1775" s="88">
        <f>A1774+1</f>
        <v>1765</v>
      </c>
      <c r="B1775" s="79" t="str">
        <f>+VLOOKUP(L1775,Code!$A$3:$B$17,2,FALSE)&amp;"-"&amp;VLOOKUP('1.아이디어LIST'!M1775,Code!$C$3:$D$17,2,FALSE)&amp;"-"&amp;VLOOKUP('1.아이디어LIST'!N1775,Code!$E$3:$F$8,2,FALSE)&amp;"-"&amp;COUNTIFS($L$11:L1775,L1775,$M$11:M1775,M1775,$N$11:N1775,N1775)</f>
        <v>PR/P-ID/H-CE-6</v>
      </c>
      <c r="C1775" s="148" t="str">
        <f>VLOOKUP(E1775,'(참고)재직자'!$A$2:$F$2761,3,0)</f>
        <v>인프라</v>
      </c>
      <c r="D1775" s="80" t="str">
        <f>VLOOKUP(E1775,'(참고)재직자'!$A$2:$F$2761,5,0)</f>
        <v>현장</v>
      </c>
      <c r="E1775" s="27" t="s">
        <v>7763</v>
      </c>
      <c r="F1775" s="80" t="str">
        <f>VLOOKUP(E1775,'(참고)재직자'!$A$2:$F$2761,6,0)</f>
        <v>대리</v>
      </c>
      <c r="G1775" s="81" t="str">
        <f>VLOOKUP(E1775,'(참고)재직자'!$A$2:$F$2761,4,0)</f>
        <v>대전하수처리장 현대화</v>
      </c>
      <c r="H1775" s="80" t="str">
        <f>VLOOKUP(E1775,'(참고)재직자'!$A$2:$F$2761,2,0)</f>
        <v>김예리</v>
      </c>
      <c r="I1775" s="295">
        <v>46035</v>
      </c>
      <c r="J1775" s="80" t="str">
        <f>VLOOKUP('1.아이디어LIST'!L1775,Code!$A$21:$D$40,3,FALSE)&amp;", "&amp;VLOOKUP('1.아이디어LIST'!M1775,Code!$E$21:$H$45,3,FALSE)&amp;", "&amp;VLOOKUP('1.아이디어LIST'!M1775,Code!$E$21:$H$45,4,FALSE)</f>
        <v xml:space="preserve">박재보, 박재보, </v>
      </c>
      <c r="K1775" s="296" t="s">
        <v>8303</v>
      </c>
      <c r="L1775" s="84" t="s">
        <v>70</v>
      </c>
      <c r="M1775" s="84" t="s">
        <v>601</v>
      </c>
      <c r="N1775" s="201" t="s">
        <v>72</v>
      </c>
      <c r="O1775" s="310" t="s">
        <v>8369</v>
      </c>
      <c r="P1775" s="217" t="s">
        <v>8370</v>
      </c>
      <c r="Q1775" s="49" t="s">
        <v>504</v>
      </c>
      <c r="R1775" s="25"/>
      <c r="S1775" s="55"/>
      <c r="T1775" s="26"/>
      <c r="U1775" s="28" t="s">
        <v>8371</v>
      </c>
      <c r="V1775" s="66"/>
      <c r="W1775" s="138"/>
      <c r="X1775" s="106"/>
      <c r="Y1775" s="209"/>
      <c r="Z1775" s="210"/>
      <c r="AA1775" s="207"/>
      <c r="AC1775" s="217" t="s">
        <v>8211</v>
      </c>
      <c r="AD1775" t="s">
        <v>8214</v>
      </c>
    </row>
    <row r="1776" spans="1:30" ht="102" hidden="1">
      <c r="A1776" s="88">
        <f>A1775+1</f>
        <v>1766</v>
      </c>
      <c r="B1776" s="79" t="str">
        <f>+VLOOKUP(L1776,Code!$A$3:$B$17,2,FALSE)&amp;"-"&amp;VLOOKUP('1.아이디어LIST'!M1776,Code!$C$3:$D$17,2,FALSE)&amp;"-"&amp;VLOOKUP('1.아이디어LIST'!N1776,Code!$E$3:$F$8,2,FALSE)&amp;"-"&amp;COUNTIFS($L$11:L1776,L1776,$M$11:M1776,M1776,$N$11:N1776,N1776)</f>
        <v>CO/I-PI-CE-73</v>
      </c>
      <c r="C1776" s="148" t="str">
        <f>VLOOKUP(E1776,'(참고)재직자'!$A$2:$F$2761,3,0)</f>
        <v>인프라</v>
      </c>
      <c r="D1776" s="80" t="str">
        <f>VLOOKUP(E1776,'(참고)재직자'!$A$2:$F$2761,5,0)</f>
        <v>현장</v>
      </c>
      <c r="E1776" s="27" t="s">
        <v>3197</v>
      </c>
      <c r="F1776" s="80" t="str">
        <f>VLOOKUP(E1776,'(참고)재직자'!$A$2:$F$2761,6,0)</f>
        <v>과장</v>
      </c>
      <c r="G1776" s="81" t="str">
        <f>VLOOKUP(E1776,'(참고)재직자'!$A$2:$F$2761,4,0)</f>
        <v>수원발 KTX 노반공사</v>
      </c>
      <c r="H1776" s="80" t="str">
        <f>VLOOKUP(E1776,'(참고)재직자'!$A$2:$F$2761,2,0)</f>
        <v>강희종</v>
      </c>
      <c r="I1776" s="295">
        <v>46035</v>
      </c>
      <c r="J1776" s="80" t="str">
        <f>VLOOKUP('1.아이디어LIST'!L1776,Code!$A$21:$D$40,3,FALSE)&amp;", "&amp;VLOOKUP('1.아이디어LIST'!M1776,Code!$E$21:$H$45,3,FALSE)&amp;", "&amp;VLOOKUP('1.아이디어LIST'!M1776,Code!$E$21:$H$45,4,FALSE)</f>
        <v xml:space="preserve">박재보, 박재보, </v>
      </c>
      <c r="K1776" s="296" t="s">
        <v>8303</v>
      </c>
      <c r="L1776" s="84" t="s">
        <v>100</v>
      </c>
      <c r="M1776" s="84" t="s">
        <v>252</v>
      </c>
      <c r="N1776" s="201" t="s">
        <v>72</v>
      </c>
      <c r="O1776" s="310" t="s">
        <v>8372</v>
      </c>
      <c r="P1776" s="217" t="s">
        <v>8373</v>
      </c>
      <c r="Q1776" s="49" t="s">
        <v>75</v>
      </c>
      <c r="R1776" s="25" t="s">
        <v>91</v>
      </c>
      <c r="S1776" s="55"/>
      <c r="T1776" s="26"/>
      <c r="U1776" s="28" t="s">
        <v>8374</v>
      </c>
      <c r="V1776" s="66"/>
      <c r="W1776" s="138"/>
      <c r="X1776" s="106"/>
      <c r="Y1776" s="209"/>
      <c r="Z1776" s="210"/>
      <c r="AA1776" s="207"/>
      <c r="AC1776" s="217"/>
    </row>
    <row r="1777" spans="1:30" ht="33" hidden="1">
      <c r="A1777" s="88">
        <f>A1776+1</f>
        <v>1767</v>
      </c>
      <c r="B1777" s="79" t="str">
        <f>+VLOOKUP(L1777,Code!$A$3:$B$17,2,FALSE)&amp;"-"&amp;VLOOKUP('1.아이디어LIST'!M1777,Code!$C$3:$D$17,2,FALSE)&amp;"-"&amp;VLOOKUP('1.아이디어LIST'!N1777,Code!$E$3:$F$8,2,FALSE)&amp;"-"&amp;COUNTIFS($L$11:L1777,L1777,$M$11:M1777,M1777,$N$11:N1777,N1777)</f>
        <v>CO/D-A/F-CE-94</v>
      </c>
      <c r="C1777" s="148" t="str">
        <f>VLOOKUP(E1777,'(참고)재직자'!$A$2:$F$2761,3,0)</f>
        <v>건축</v>
      </c>
      <c r="D1777" s="80" t="str">
        <f>VLOOKUP(E1777,'(참고)재직자'!$A$2:$F$2761,5,0)</f>
        <v>현장</v>
      </c>
      <c r="E1777" s="27" t="s">
        <v>7806</v>
      </c>
      <c r="F1777" s="80" t="str">
        <f>VLOOKUP(E1777,'(참고)재직자'!$A$2:$F$2761,6,0)</f>
        <v>과장</v>
      </c>
      <c r="G1777" s="81" t="str">
        <f>VLOOKUP(E1777,'(참고)재직자'!$A$2:$F$2761,4,0)</f>
        <v>광명1R 재개발</v>
      </c>
      <c r="H1777" s="80" t="str">
        <f>VLOOKUP(E1777,'(참고)재직자'!$A$2:$F$2761,2,0)</f>
        <v>김동기</v>
      </c>
      <c r="I1777" s="295">
        <v>46036</v>
      </c>
      <c r="J1777" s="80" t="str">
        <f>VLOOKUP('1.아이디어LIST'!L1777,Code!$A$21:$D$40,3,FALSE)&amp;", "&amp;VLOOKUP('1.아이디어LIST'!M1777,Code!$E$21:$H$45,3,FALSE)&amp;", "&amp;VLOOKUP('1.아이디어LIST'!M1777,Code!$E$21:$H$45,4,FALSE)</f>
        <v>고한울, 고한울, 김태용</v>
      </c>
      <c r="K1777" s="286" t="str">
        <f>VLOOKUP(L1777,Code!$A$21:$C$40,3,0)</f>
        <v>고한울</v>
      </c>
      <c r="L1777" s="84" t="s">
        <v>189</v>
      </c>
      <c r="M1777" s="84" t="s">
        <v>114</v>
      </c>
      <c r="N1777" s="201" t="s">
        <v>72</v>
      </c>
      <c r="O1777" s="200" t="s">
        <v>8375</v>
      </c>
      <c r="P1777" s="217" t="s">
        <v>8376</v>
      </c>
      <c r="Q1777" s="49" t="s">
        <v>91</v>
      </c>
      <c r="R1777" s="25"/>
      <c r="S1777" s="55"/>
      <c r="T1777" s="26"/>
      <c r="U1777" s="28" t="s">
        <v>3533</v>
      </c>
      <c r="V1777" s="66"/>
      <c r="W1777" s="138"/>
      <c r="X1777" s="106"/>
      <c r="Y1777" s="209"/>
      <c r="Z1777" s="210"/>
      <c r="AA1777" s="207"/>
      <c r="AC1777" s="217"/>
    </row>
    <row r="1778" spans="1:30" ht="67.5" hidden="1">
      <c r="A1778" s="88">
        <f>A1777+1</f>
        <v>1768</v>
      </c>
      <c r="B1778" s="79" t="str">
        <f>+VLOOKUP(L1778,Code!$A$3:$B$17,2,FALSE)&amp;"-"&amp;VLOOKUP('1.아이디어LIST'!M1778,Code!$C$3:$D$17,2,FALSE)&amp;"-"&amp;VLOOKUP('1.아이디어LIST'!N1778,Code!$E$3:$F$8,2,FALSE)&amp;"-"&amp;COUNTIFS($L$11:L1778,L1778,$M$11:M1778,M1778,$N$11:N1778,N1778)</f>
        <v>EN/I-A/F-CE-105</v>
      </c>
      <c r="C1778" s="148" t="str">
        <f>VLOOKUP(E1778,'(참고)재직자'!$A$2:$F$2761,3,0)</f>
        <v>건축</v>
      </c>
      <c r="D1778" s="80" t="str">
        <f>VLOOKUP(E1778,'(참고)재직자'!$A$2:$F$2761,5,0)</f>
        <v>현장</v>
      </c>
      <c r="E1778" s="27" t="s">
        <v>1418</v>
      </c>
      <c r="F1778" s="80" t="str">
        <f>VLOOKUP(E1778,'(참고)재직자'!$A$2:$F$2761,6,0)</f>
        <v>대리</v>
      </c>
      <c r="G1778" s="81" t="str">
        <f>VLOOKUP(E1778,'(참고)재직자'!$A$2:$F$2761,4,0)</f>
        <v>청주 매봉공원</v>
      </c>
      <c r="H1778" s="80" t="str">
        <f>VLOOKUP(E1778,'(참고)재직자'!$A$2:$F$2761,2,0)</f>
        <v>이경보</v>
      </c>
      <c r="I1778" s="295">
        <v>46037</v>
      </c>
      <c r="J1778" s="80" t="str">
        <f>VLOOKUP('1.아이디어LIST'!L1778,Code!$A$21:$D$40,3,FALSE)&amp;", "&amp;VLOOKUP('1.아이디어LIST'!M1778,Code!$E$21:$H$45,3,FALSE)&amp;", "&amp;VLOOKUP('1.아이디어LIST'!M1778,Code!$E$21:$H$45,4,FALSE)</f>
        <v>김태용, 고한울, 김태용</v>
      </c>
      <c r="K1778" s="286" t="str">
        <f>VLOOKUP(L1778,Code!$A$21:$C$40,3,0)</f>
        <v>김태용</v>
      </c>
      <c r="L1778" s="84" t="s">
        <v>122</v>
      </c>
      <c r="M1778" s="84" t="s">
        <v>114</v>
      </c>
      <c r="N1778" s="201" t="s">
        <v>72</v>
      </c>
      <c r="O1778" s="200" t="s">
        <v>8377</v>
      </c>
      <c r="P1778" s="217" t="s">
        <v>8378</v>
      </c>
      <c r="Q1778" s="49" t="s">
        <v>75</v>
      </c>
      <c r="R1778" s="25" t="s">
        <v>504</v>
      </c>
      <c r="S1778" s="55"/>
      <c r="T1778" s="26"/>
      <c r="U1778" s="28" t="s">
        <v>8379</v>
      </c>
      <c r="V1778" s="66"/>
      <c r="W1778" s="138"/>
      <c r="X1778" s="106"/>
      <c r="Y1778" s="209"/>
      <c r="Z1778" s="210"/>
      <c r="AA1778" s="207"/>
      <c r="AC1778" s="217"/>
    </row>
    <row r="1779" spans="1:30" ht="34.5" hidden="1">
      <c r="A1779" s="88">
        <f>A1778+1</f>
        <v>1769</v>
      </c>
      <c r="B1779" s="79" t="str">
        <f>+VLOOKUP(L1779,Code!$A$3:$B$17,2,FALSE)&amp;"-"&amp;VLOOKUP('1.아이디어LIST'!M1779,Code!$C$3:$D$17,2,FALSE)&amp;"-"&amp;VLOOKUP('1.아이디어LIST'!N1779,Code!$E$3:$F$8,2,FALSE)&amp;"-"&amp;COUNTIFS($L$11:L1779,L1779,$M$11:M1779,M1779,$N$11:N1779,N1779)</f>
        <v>EN/I-A/F-CE-106</v>
      </c>
      <c r="C1779" s="148" t="str">
        <f>VLOOKUP(E1779,'(참고)재직자'!$A$2:$F$2761,3,0)</f>
        <v>직속부서</v>
      </c>
      <c r="D1779" s="80" t="str">
        <f>VLOOKUP(E1779,'(참고)재직자'!$A$2:$F$2761,5,0)</f>
        <v>본사</v>
      </c>
      <c r="E1779" s="27" t="s">
        <v>5877</v>
      </c>
      <c r="F1779" s="80" t="str">
        <f>VLOOKUP(E1779,'(참고)재직자'!$A$2:$F$2761,6,0)</f>
        <v>대리</v>
      </c>
      <c r="G1779" s="81" t="str">
        <f>VLOOKUP(E1779,'(참고)재직자'!$A$2:$F$2761,4,0)</f>
        <v>TOP추진실</v>
      </c>
      <c r="H1779" s="80" t="str">
        <f>VLOOKUP(E1779,'(참고)재직자'!$A$2:$F$2761,2,0)</f>
        <v>김태용</v>
      </c>
      <c r="I1779" s="295">
        <v>46037</v>
      </c>
      <c r="J1779" s="80" t="str">
        <f>VLOOKUP('1.아이디어LIST'!L1779,Code!$A$21:$D$40,3,FALSE)&amp;", "&amp;VLOOKUP('1.아이디어LIST'!M1779,Code!$E$21:$H$45,3,FALSE)&amp;", "&amp;VLOOKUP('1.아이디어LIST'!M1779,Code!$E$21:$H$45,4,FALSE)</f>
        <v>김태용, 고한울, 김태용</v>
      </c>
      <c r="K1779" s="286" t="str">
        <f>VLOOKUP(L1779,Code!$A$21:$C$40,3,0)</f>
        <v>김태용</v>
      </c>
      <c r="L1779" s="84" t="s">
        <v>122</v>
      </c>
      <c r="M1779" s="84" t="s">
        <v>114</v>
      </c>
      <c r="N1779" s="201" t="s">
        <v>72</v>
      </c>
      <c r="O1779" s="200" t="s">
        <v>8380</v>
      </c>
      <c r="P1779" s="217" t="s">
        <v>8381</v>
      </c>
      <c r="Q1779" s="49" t="s">
        <v>75</v>
      </c>
      <c r="R1779" s="25" t="s">
        <v>75</v>
      </c>
      <c r="S1779" s="55"/>
      <c r="T1779" s="26"/>
      <c r="U1779" s="28" t="s">
        <v>8382</v>
      </c>
      <c r="V1779" s="66"/>
      <c r="W1779" s="138"/>
      <c r="X1779" s="106"/>
      <c r="Y1779" s="209"/>
      <c r="Z1779" s="210"/>
      <c r="AA1779" s="207"/>
      <c r="AC1779" s="217"/>
    </row>
    <row r="1780" spans="1:30" ht="83.25" hidden="1">
      <c r="A1780" s="88">
        <f>A1779+1</f>
        <v>1770</v>
      </c>
      <c r="B1780" s="79" t="str">
        <f>+VLOOKUP(L1780,Code!$A$3:$B$17,2,FALSE)&amp;"-"&amp;VLOOKUP('1.아이디어LIST'!M1780,Code!$C$3:$D$17,2,FALSE)&amp;"-"&amp;VLOOKUP('1.아이디어LIST'!N1780,Code!$E$3:$F$8,2,FALSE)&amp;"-"&amp;COUNTIFS($L$11:L1780,L1780,$M$11:M1780,M1780,$N$11:N1780,N1780)</f>
        <v>CO/I-PI-CE-74</v>
      </c>
      <c r="C1780" s="148" t="str">
        <f>VLOOKUP(E1780,'(참고)재직자'!$A$2:$F$2761,3,0)</f>
        <v>건축</v>
      </c>
      <c r="D1780" s="80" t="str">
        <f>VLOOKUP(E1780,'(참고)재직자'!$A$2:$F$2761,5,0)</f>
        <v>현장</v>
      </c>
      <c r="E1780" s="27" t="s">
        <v>8383</v>
      </c>
      <c r="F1780" s="80" t="str">
        <f>VLOOKUP(E1780,'(참고)재직자'!$A$2:$F$2761,6,0)</f>
        <v>차장</v>
      </c>
      <c r="G1780" s="81" t="str">
        <f>VLOOKUP(E1780,'(참고)재직자'!$A$2:$F$2761,4,0)</f>
        <v>미아 삼양 주상복합</v>
      </c>
      <c r="H1780" s="80" t="str">
        <f>VLOOKUP(E1780,'(참고)재직자'!$A$2:$F$2761,2,0)</f>
        <v>변항기</v>
      </c>
      <c r="I1780" s="295">
        <v>46038</v>
      </c>
      <c r="J1780" s="80" t="str">
        <f>VLOOKUP('1.아이디어LIST'!L1780,Code!$A$21:$D$40,3,FALSE)&amp;", "&amp;VLOOKUP('1.아이디어LIST'!M1780,Code!$E$21:$H$45,3,FALSE)&amp;", "&amp;VLOOKUP('1.아이디어LIST'!M1780,Code!$E$21:$H$45,4,FALSE)</f>
        <v xml:space="preserve">박재보, 박재보, </v>
      </c>
      <c r="K1780" s="296" t="s">
        <v>8303</v>
      </c>
      <c r="L1780" s="84" t="s">
        <v>100</v>
      </c>
      <c r="M1780" s="84" t="s">
        <v>252</v>
      </c>
      <c r="N1780" s="201" t="s">
        <v>72</v>
      </c>
      <c r="O1780" s="200" t="s">
        <v>8384</v>
      </c>
      <c r="P1780" s="217" t="s">
        <v>8385</v>
      </c>
      <c r="Q1780" s="49" t="s">
        <v>75</v>
      </c>
      <c r="R1780" s="25" t="s">
        <v>504</v>
      </c>
      <c r="S1780" s="55"/>
      <c r="T1780" s="26"/>
      <c r="U1780" s="28" t="s">
        <v>8386</v>
      </c>
      <c r="V1780" s="66"/>
      <c r="W1780" s="138"/>
      <c r="X1780" s="106"/>
      <c r="Y1780" s="209"/>
      <c r="Z1780" s="210"/>
      <c r="AA1780" s="207"/>
      <c r="AC1780" s="217" t="s">
        <v>8211</v>
      </c>
      <c r="AD1780" t="s">
        <v>252</v>
      </c>
    </row>
    <row r="1781" spans="1:30" ht="149.25" hidden="1">
      <c r="A1781" s="88">
        <f>A1780+1</f>
        <v>1771</v>
      </c>
      <c r="B1781" s="79" t="str">
        <f>+VLOOKUP(L1781,Code!$A$3:$B$17,2,FALSE)&amp;"-"&amp;VLOOKUP('1.아이디어LIST'!M1781,Code!$C$3:$D$17,2,FALSE)&amp;"-"&amp;VLOOKUP('1.아이디어LIST'!N1781,Code!$E$3:$F$8,2,FALSE)&amp;"-"&amp;COUNTIFS($L$11:L1781,L1781,$M$11:M1781,M1781,$N$11:N1781,N1781)</f>
        <v>CO/I-PI-CE-75</v>
      </c>
      <c r="C1781" s="148" t="str">
        <f>VLOOKUP(E1781,'(참고)재직자'!$A$2:$F$2761,3,0)</f>
        <v>인프라</v>
      </c>
      <c r="D1781" s="80" t="str">
        <f>VLOOKUP(E1781,'(참고)재직자'!$A$2:$F$2761,5,0)</f>
        <v>현장</v>
      </c>
      <c r="E1781" s="27" t="s">
        <v>7373</v>
      </c>
      <c r="F1781" s="80" t="str">
        <f>VLOOKUP(E1781,'(참고)재직자'!$A$2:$F$2761,6,0)</f>
        <v>과장</v>
      </c>
      <c r="G1781" s="81" t="str">
        <f>VLOOKUP(E1781,'(참고)재직자'!$A$2:$F$2761,4,0)</f>
        <v>세종안성고속도로 2공구</v>
      </c>
      <c r="H1781" s="80" t="str">
        <f>VLOOKUP(E1781,'(참고)재직자'!$A$2:$F$2761,2,0)</f>
        <v>천운철</v>
      </c>
      <c r="I1781" s="295">
        <v>46038</v>
      </c>
      <c r="J1781" s="80" t="str">
        <f>VLOOKUP('1.아이디어LIST'!L1781,Code!$A$21:$D$40,3,FALSE)&amp;", "&amp;VLOOKUP('1.아이디어LIST'!M1781,Code!$E$21:$H$45,3,FALSE)&amp;", "&amp;VLOOKUP('1.아이디어LIST'!M1781,Code!$E$21:$H$45,4,FALSE)</f>
        <v xml:space="preserve">박재보, 박재보, </v>
      </c>
      <c r="K1781" s="286" t="s">
        <v>112</v>
      </c>
      <c r="L1781" s="84" t="s">
        <v>100</v>
      </c>
      <c r="M1781" s="84" t="s">
        <v>252</v>
      </c>
      <c r="N1781" s="201" t="s">
        <v>72</v>
      </c>
      <c r="O1781" s="310" t="s">
        <v>8387</v>
      </c>
      <c r="P1781" s="217" t="s">
        <v>8388</v>
      </c>
      <c r="Q1781" s="49" t="s">
        <v>91</v>
      </c>
      <c r="R1781" s="25"/>
      <c r="S1781" s="55"/>
      <c r="T1781" s="26"/>
      <c r="U1781" s="28" t="s">
        <v>8389</v>
      </c>
      <c r="V1781" s="66"/>
      <c r="W1781" s="138"/>
      <c r="X1781" s="106"/>
      <c r="Y1781" s="209"/>
      <c r="Z1781" s="210"/>
      <c r="AA1781" s="207"/>
      <c r="AC1781" s="217"/>
    </row>
    <row r="1782" spans="1:30" ht="83.25" hidden="1">
      <c r="A1782" s="88">
        <f>A1781+1</f>
        <v>1772</v>
      </c>
      <c r="B1782" s="79" t="str">
        <f>+VLOOKUP(L1782,Code!$A$3:$B$17,2,FALSE)&amp;"-"&amp;VLOOKUP('1.아이디어LIST'!M1782,Code!$C$3:$D$17,2,FALSE)&amp;"-"&amp;VLOOKUP('1.아이디어LIST'!N1782,Code!$E$3:$F$8,2,FALSE)&amp;"-"&amp;COUNTIFS($L$11:L1782,L1782,$M$11:M1782,M1782,$N$11:N1782,N1782)</f>
        <v>CO/D-ID/H-CE-65</v>
      </c>
      <c r="C1782" s="148" t="str">
        <f>VLOOKUP(E1782,'(참고)재직자'!$A$2:$F$2761,3,0)</f>
        <v>건축</v>
      </c>
      <c r="D1782" s="80" t="str">
        <f>VLOOKUP(E1782,'(참고)재직자'!$A$2:$F$2761,5,0)</f>
        <v>현장</v>
      </c>
      <c r="E1782" s="27" t="s">
        <v>8390</v>
      </c>
      <c r="F1782" s="80" t="str">
        <f>VLOOKUP(E1782,'(참고)재직자'!$A$2:$F$2761,6,0)</f>
        <v>차장</v>
      </c>
      <c r="G1782" s="81" t="str">
        <f>VLOOKUP(E1782,'(참고)재직자'!$A$2:$F$2761,4,0)</f>
        <v>울산 무거동 공동주택 현장</v>
      </c>
      <c r="H1782" s="80" t="str">
        <f>VLOOKUP(E1782,'(참고)재직자'!$A$2:$F$2761,2,0)</f>
        <v>이철민</v>
      </c>
      <c r="I1782" s="295">
        <v>46038</v>
      </c>
      <c r="J1782" s="80" t="str">
        <f>VLOOKUP('1.아이디어LIST'!L1782,Code!$A$21:$D$40,3,FALSE)&amp;", "&amp;VLOOKUP('1.아이디어LIST'!M1782,Code!$E$21:$H$45,3,FALSE)&amp;", "&amp;VLOOKUP('1.아이디어LIST'!M1782,Code!$E$21:$H$45,4,FALSE)</f>
        <v xml:space="preserve">고한울, 박재보, </v>
      </c>
      <c r="K1782" s="286" t="str">
        <f>VLOOKUP(L1782,Code!$A$21:$C$40,3,0)</f>
        <v>고한울</v>
      </c>
      <c r="L1782" s="84" t="s">
        <v>189</v>
      </c>
      <c r="M1782" s="84" t="s">
        <v>601</v>
      </c>
      <c r="N1782" s="201" t="s">
        <v>72</v>
      </c>
      <c r="O1782" s="200" t="s">
        <v>8391</v>
      </c>
      <c r="P1782" s="217" t="s">
        <v>8392</v>
      </c>
      <c r="Q1782" s="49" t="s">
        <v>75</v>
      </c>
      <c r="R1782" s="25" t="s">
        <v>504</v>
      </c>
      <c r="S1782" s="55"/>
      <c r="T1782" s="26"/>
      <c r="U1782" s="28" t="s">
        <v>8393</v>
      </c>
      <c r="V1782" s="66"/>
      <c r="W1782" s="138"/>
      <c r="X1782" s="106"/>
      <c r="Y1782" s="209"/>
      <c r="Z1782" s="210"/>
      <c r="AA1782" s="207"/>
      <c r="AC1782" s="217" t="s">
        <v>8211</v>
      </c>
      <c r="AD1782" t="s">
        <v>8214</v>
      </c>
    </row>
    <row r="1783" spans="1:30" ht="83.25" hidden="1">
      <c r="A1783" s="88">
        <f>A1782+1</f>
        <v>1773</v>
      </c>
      <c r="B1783" s="79" t="str">
        <f>+VLOOKUP(L1783,Code!$A$3:$B$17,2,FALSE)&amp;"-"&amp;VLOOKUP('1.아이디어LIST'!M1783,Code!$C$3:$D$17,2,FALSE)&amp;"-"&amp;VLOOKUP('1.아이디어LIST'!N1783,Code!$E$3:$F$8,2,FALSE)&amp;"-"&amp;COUNTIFS($L$11:L1783,L1783,$M$11:M1783,M1783,$N$11:N1783,N1783)</f>
        <v>CO/D-ID/H-CE-66</v>
      </c>
      <c r="C1783" s="148" t="str">
        <f>VLOOKUP(E1783,'(참고)재직자'!$A$2:$F$2761,3,0)</f>
        <v>건축</v>
      </c>
      <c r="D1783" s="80" t="str">
        <f>VLOOKUP(E1783,'(참고)재직자'!$A$2:$F$2761,5,0)</f>
        <v>현장</v>
      </c>
      <c r="E1783" s="27" t="s">
        <v>8390</v>
      </c>
      <c r="F1783" s="80" t="str">
        <f>VLOOKUP(E1783,'(참고)재직자'!$A$2:$F$2761,6,0)</f>
        <v>차장</v>
      </c>
      <c r="G1783" s="81" t="str">
        <f>VLOOKUP(E1783,'(참고)재직자'!$A$2:$F$2761,4,0)</f>
        <v>울산 무거동 공동주택 현장</v>
      </c>
      <c r="H1783" s="80" t="str">
        <f>VLOOKUP(E1783,'(참고)재직자'!$A$2:$F$2761,2,0)</f>
        <v>이철민</v>
      </c>
      <c r="I1783" s="295">
        <v>46038</v>
      </c>
      <c r="J1783" s="80" t="str">
        <f>VLOOKUP('1.아이디어LIST'!L1783,Code!$A$21:$D$40,3,FALSE)&amp;", "&amp;VLOOKUP('1.아이디어LIST'!M1783,Code!$E$21:$H$45,3,FALSE)&amp;", "&amp;VLOOKUP('1.아이디어LIST'!M1783,Code!$E$21:$H$45,4,FALSE)</f>
        <v xml:space="preserve">고한울, 박재보, </v>
      </c>
      <c r="K1783" s="286" t="str">
        <f>VLOOKUP(L1783,Code!$A$21:$C$40,3,0)</f>
        <v>고한울</v>
      </c>
      <c r="L1783" s="84" t="s">
        <v>189</v>
      </c>
      <c r="M1783" s="84" t="s">
        <v>601</v>
      </c>
      <c r="N1783" s="201" t="s">
        <v>72</v>
      </c>
      <c r="O1783" s="200" t="s">
        <v>8394</v>
      </c>
      <c r="P1783" s="217" t="s">
        <v>8395</v>
      </c>
      <c r="Q1783" s="49" t="s">
        <v>75</v>
      </c>
      <c r="R1783" s="25" t="s">
        <v>504</v>
      </c>
      <c r="S1783" s="55"/>
      <c r="T1783" s="26"/>
      <c r="U1783" s="28" t="s">
        <v>8396</v>
      </c>
      <c r="V1783" s="66"/>
      <c r="W1783" s="138"/>
      <c r="X1783" s="106"/>
      <c r="Y1783" s="209"/>
      <c r="Z1783" s="210"/>
      <c r="AA1783" s="207"/>
      <c r="AC1783" s="217" t="s">
        <v>8211</v>
      </c>
      <c r="AD1783" t="s">
        <v>8214</v>
      </c>
    </row>
    <row r="1784" spans="1:30" ht="66" hidden="1">
      <c r="A1784" s="88">
        <f>A1783+1</f>
        <v>1774</v>
      </c>
      <c r="B1784" s="79" t="str">
        <f>+VLOOKUP(L1784,Code!$A$3:$B$17,2,FALSE)&amp;"-"&amp;VLOOKUP('1.아이디어LIST'!M1784,Code!$C$3:$D$17,2,FALSE)&amp;"-"&amp;VLOOKUP('1.아이디어LIST'!N1784,Code!$E$3:$F$8,2,FALSE)&amp;"-"&amp;COUNTIFS($L$11:L1784,L1784,$M$11:M1784,M1784,$N$11:N1784,N1784)</f>
        <v>CO/D-PI-CE-107</v>
      </c>
      <c r="C1784" s="148" t="str">
        <f>VLOOKUP(E1784,'(참고)재직자'!$A$2:$F$2761,3,0)</f>
        <v>건축</v>
      </c>
      <c r="D1784" s="80" t="str">
        <f>VLOOKUP(E1784,'(참고)재직자'!$A$2:$F$2761,5,0)</f>
        <v>현장</v>
      </c>
      <c r="E1784" s="27" t="s">
        <v>2099</v>
      </c>
      <c r="F1784" s="80" t="str">
        <f>VLOOKUP(E1784,'(참고)재직자'!$A$2:$F$2761,6,0)</f>
        <v>대리</v>
      </c>
      <c r="G1784" s="81" t="str">
        <f>VLOOKUP(E1784,'(참고)재직자'!$A$2:$F$2761,4,0)</f>
        <v>울산 무거동 공동주택 현장</v>
      </c>
      <c r="H1784" s="80" t="str">
        <f>VLOOKUP(E1784,'(참고)재직자'!$A$2:$F$2761,2,0)</f>
        <v>서영준</v>
      </c>
      <c r="I1784" s="295">
        <v>46039</v>
      </c>
      <c r="J1784" s="80" t="str">
        <f>VLOOKUP('1.아이디어LIST'!L1784,Code!$A$21:$D$40,3,FALSE)&amp;", "&amp;VLOOKUP('1.아이디어LIST'!M1784,Code!$E$21:$H$45,3,FALSE)&amp;", "&amp;VLOOKUP('1.아이디어LIST'!M1784,Code!$E$21:$H$45,4,FALSE)</f>
        <v xml:space="preserve">고한울, 박재보, </v>
      </c>
      <c r="K1784" s="286" t="str">
        <f>VLOOKUP(L1784,Code!$A$21:$C$40,3,0)</f>
        <v>고한울</v>
      </c>
      <c r="L1784" s="84" t="s">
        <v>189</v>
      </c>
      <c r="M1784" s="84" t="s">
        <v>252</v>
      </c>
      <c r="N1784" s="201" t="s">
        <v>72</v>
      </c>
      <c r="O1784" s="200" t="s">
        <v>8397</v>
      </c>
      <c r="P1784" s="217" t="s">
        <v>8398</v>
      </c>
      <c r="Q1784" s="49" t="s">
        <v>91</v>
      </c>
      <c r="R1784" s="25"/>
      <c r="S1784" s="55"/>
      <c r="T1784" s="26"/>
      <c r="U1784" s="28" t="s">
        <v>3533</v>
      </c>
      <c r="V1784" s="66"/>
      <c r="W1784" s="138"/>
      <c r="X1784" s="106"/>
      <c r="Y1784" s="209"/>
      <c r="Z1784" s="210"/>
      <c r="AA1784" s="207"/>
      <c r="AC1784" s="217" t="s">
        <v>8211</v>
      </c>
      <c r="AD1784" t="s">
        <v>252</v>
      </c>
    </row>
    <row r="1785" spans="1:30" ht="117" hidden="1">
      <c r="A1785" s="88">
        <f>A1784+1</f>
        <v>1775</v>
      </c>
      <c r="B1785" s="79" t="str">
        <f>+VLOOKUP(L1785,Code!$A$3:$B$17,2,FALSE)&amp;"-"&amp;VLOOKUP('1.아이디어LIST'!M1785,Code!$C$3:$D$17,2,FALSE)&amp;"-"&amp;VLOOKUP('1.아이디어LIST'!N1785,Code!$E$3:$F$8,2,FALSE)&amp;"-"&amp;COUNTIFS($L$11:L1785,L1785,$M$11:M1785,M1785,$N$11:N1785,N1785)</f>
        <v>CO/I-YY-CE-26</v>
      </c>
      <c r="C1785" s="148" t="str">
        <f>VLOOKUP(E1785,'(참고)재직자'!$A$2:$F$2761,3,0)</f>
        <v>직속부서</v>
      </c>
      <c r="D1785" s="80" t="str">
        <f>VLOOKUP(E1785,'(참고)재직자'!$A$2:$F$2761,5,0)</f>
        <v>본사</v>
      </c>
      <c r="E1785" s="27" t="s">
        <v>8399</v>
      </c>
      <c r="F1785" s="80" t="str">
        <f>VLOOKUP(E1785,'(참고)재직자'!$A$2:$F$2761,6,0)</f>
        <v>과장</v>
      </c>
      <c r="G1785" s="81" t="str">
        <f>VLOOKUP(E1785,'(참고)재직자'!$A$2:$F$2761,4,0)</f>
        <v>감사팀</v>
      </c>
      <c r="H1785" s="80" t="str">
        <f>VLOOKUP(E1785,'(참고)재직자'!$A$2:$F$2761,2,0)</f>
        <v>이광민</v>
      </c>
      <c r="I1785" s="295">
        <v>46041</v>
      </c>
      <c r="J1785" s="80" t="str">
        <f>VLOOKUP('1.아이디어LIST'!L1785,Code!$A$21:$D$40,3,FALSE)&amp;", "&amp;VLOOKUP('1.아이디어LIST'!M1785,Code!$E$21:$H$45,3,FALSE)&amp;", "&amp;VLOOKUP('1.아이디어LIST'!M1785,Code!$E$21:$H$45,4,FALSE)</f>
        <v xml:space="preserve">박재보, 박재보, </v>
      </c>
      <c r="K1785" s="286" t="s">
        <v>198</v>
      </c>
      <c r="L1785" s="84" t="s">
        <v>100</v>
      </c>
      <c r="M1785" s="84" t="s">
        <v>595</v>
      </c>
      <c r="N1785" s="201" t="s">
        <v>72</v>
      </c>
      <c r="O1785" s="200" t="s">
        <v>8400</v>
      </c>
      <c r="P1785" s="217" t="s">
        <v>8401</v>
      </c>
      <c r="Q1785" s="49" t="s">
        <v>504</v>
      </c>
      <c r="R1785" s="25"/>
      <c r="S1785" s="55"/>
      <c r="T1785" s="26"/>
      <c r="U1785" s="28"/>
      <c r="V1785" s="66"/>
      <c r="W1785" s="138"/>
      <c r="X1785" s="106"/>
      <c r="Y1785" s="209"/>
      <c r="Z1785" s="210"/>
      <c r="AA1785" s="207"/>
      <c r="AC1785" s="217"/>
    </row>
    <row r="1786" spans="1:30" ht="334.5" hidden="1">
      <c r="A1786" s="88">
        <f>A1785+1</f>
        <v>1776</v>
      </c>
      <c r="B1786" s="79" t="str">
        <f>+VLOOKUP(L1786,Code!$A$3:$B$17,2,FALSE)&amp;"-"&amp;VLOOKUP('1.아이디어LIST'!M1786,Code!$C$3:$D$17,2,FALSE)&amp;"-"&amp;VLOOKUP('1.아이디어LIST'!N1786,Code!$E$3:$F$8,2,FALSE)&amp;"-"&amp;COUNTIFS($L$11:L1786,L1786,$M$11:M1786,M1786,$N$11:N1786,N1786)</f>
        <v>CO/I-PI-CE-76</v>
      </c>
      <c r="C1786" s="148" t="str">
        <f>VLOOKUP(E1786,'(참고)재직자'!$A$2:$F$2761,3,0)</f>
        <v>건축</v>
      </c>
      <c r="D1786" s="80" t="str">
        <f>VLOOKUP(E1786,'(참고)재직자'!$A$2:$F$2761,5,0)</f>
        <v>현장</v>
      </c>
      <c r="E1786" s="27" t="s">
        <v>6701</v>
      </c>
      <c r="F1786" s="80" t="str">
        <f>VLOOKUP(E1786,'(참고)재직자'!$A$2:$F$2761,6,0)</f>
        <v>사원</v>
      </c>
      <c r="G1786" s="81" t="str">
        <f>VLOOKUP(E1786,'(참고)재직자'!$A$2:$F$2761,4,0)</f>
        <v>고잔연립9구역 재건축</v>
      </c>
      <c r="H1786" s="80" t="str">
        <f>VLOOKUP(E1786,'(참고)재직자'!$A$2:$F$2761,2,0)</f>
        <v>이호동</v>
      </c>
      <c r="I1786" s="295">
        <v>46041</v>
      </c>
      <c r="J1786" s="80" t="str">
        <f>VLOOKUP('1.아이디어LIST'!L1786,Code!$A$21:$D$40,3,FALSE)&amp;", "&amp;VLOOKUP('1.아이디어LIST'!M1786,Code!$E$21:$H$45,3,FALSE)&amp;", "&amp;VLOOKUP('1.아이디어LIST'!M1786,Code!$E$21:$H$45,4,FALSE)</f>
        <v xml:space="preserve">박재보, 박재보, </v>
      </c>
      <c r="K1786" s="296" t="s">
        <v>8402</v>
      </c>
      <c r="L1786" s="84" t="s">
        <v>100</v>
      </c>
      <c r="M1786" s="84" t="s">
        <v>252</v>
      </c>
      <c r="N1786" s="201" t="s">
        <v>72</v>
      </c>
      <c r="O1786" s="200" t="s">
        <v>8403</v>
      </c>
      <c r="P1786" s="217" t="s">
        <v>8404</v>
      </c>
      <c r="Q1786" s="49" t="s">
        <v>504</v>
      </c>
      <c r="R1786" s="25"/>
      <c r="S1786" s="55"/>
      <c r="T1786" s="26"/>
      <c r="U1786" s="28"/>
      <c r="V1786" s="66"/>
      <c r="W1786" s="138"/>
      <c r="X1786" s="106"/>
      <c r="Y1786" s="209"/>
      <c r="Z1786" s="210"/>
      <c r="AA1786" s="207"/>
      <c r="AC1786" s="217" t="s">
        <v>8211</v>
      </c>
      <c r="AD1786" t="s">
        <v>8214</v>
      </c>
    </row>
    <row r="1787" spans="1:30" ht="301.5" hidden="1">
      <c r="A1787" s="88">
        <f>A1786+1</f>
        <v>1777</v>
      </c>
      <c r="B1787" s="79" t="str">
        <f>+VLOOKUP(L1787,Code!$A$3:$B$17,2,FALSE)&amp;"-"&amp;VLOOKUP('1.아이디어LIST'!M1787,Code!$C$3:$D$17,2,FALSE)&amp;"-"&amp;VLOOKUP('1.아이디어LIST'!N1787,Code!$E$3:$F$8,2,FALSE)&amp;"-"&amp;COUNTIFS($L$11:L1787,L1787,$M$11:M1787,M1787,$N$11:N1787,N1787)</f>
        <v>CO/I-PI-CE-77</v>
      </c>
      <c r="C1787" s="148" t="str">
        <f>VLOOKUP(E1787,'(참고)재직자'!$A$2:$F$2761,3,0)</f>
        <v>건축</v>
      </c>
      <c r="D1787" s="80" t="str">
        <f>VLOOKUP(E1787,'(참고)재직자'!$A$2:$F$2761,5,0)</f>
        <v>현장</v>
      </c>
      <c r="E1787" s="27" t="s">
        <v>6701</v>
      </c>
      <c r="F1787" s="80" t="str">
        <f>VLOOKUP(E1787,'(참고)재직자'!$A$2:$F$2761,6,0)</f>
        <v>사원</v>
      </c>
      <c r="G1787" s="81" t="str">
        <f>VLOOKUP(E1787,'(참고)재직자'!$A$2:$F$2761,4,0)</f>
        <v>고잔연립9구역 재건축</v>
      </c>
      <c r="H1787" s="80" t="str">
        <f>VLOOKUP(E1787,'(참고)재직자'!$A$2:$F$2761,2,0)</f>
        <v>이호동</v>
      </c>
      <c r="I1787" s="295">
        <v>46041</v>
      </c>
      <c r="J1787" s="80" t="str">
        <f>VLOOKUP('1.아이디어LIST'!L1787,Code!$A$21:$D$40,3,FALSE)&amp;", "&amp;VLOOKUP('1.아이디어LIST'!M1787,Code!$E$21:$H$45,3,FALSE)&amp;", "&amp;VLOOKUP('1.아이디어LIST'!M1787,Code!$E$21:$H$45,4,FALSE)</f>
        <v xml:space="preserve">박재보, 박재보, </v>
      </c>
      <c r="K1787" s="286" t="s">
        <v>8402</v>
      </c>
      <c r="L1787" s="84" t="s">
        <v>100</v>
      </c>
      <c r="M1787" s="84" t="s">
        <v>252</v>
      </c>
      <c r="N1787" s="201" t="s">
        <v>72</v>
      </c>
      <c r="O1787" s="200" t="s">
        <v>8405</v>
      </c>
      <c r="P1787" s="217" t="s">
        <v>8406</v>
      </c>
      <c r="Q1787" s="49" t="s">
        <v>504</v>
      </c>
      <c r="R1787" s="25"/>
      <c r="S1787" s="55"/>
      <c r="T1787" s="26"/>
      <c r="U1787" s="28"/>
      <c r="V1787" s="66"/>
      <c r="W1787" s="138"/>
      <c r="X1787" s="106"/>
      <c r="Y1787" s="209"/>
      <c r="Z1787" s="210"/>
      <c r="AA1787" s="207"/>
      <c r="AC1787" s="217" t="s">
        <v>8211</v>
      </c>
      <c r="AD1787" t="s">
        <v>252</v>
      </c>
    </row>
    <row r="1788" spans="1:30" ht="99" hidden="1">
      <c r="A1788" s="88">
        <f>A1787+1</f>
        <v>1778</v>
      </c>
      <c r="B1788" s="79" t="str">
        <f>+VLOOKUP(L1788,Code!$A$3:$B$17,2,FALSE)&amp;"-"&amp;VLOOKUP('1.아이디어LIST'!M1788,Code!$C$3:$D$17,2,FALSE)&amp;"-"&amp;VLOOKUP('1.아이디어LIST'!N1788,Code!$E$3:$F$8,2,FALSE)&amp;"-"&amp;COUNTIFS($L$11:L1788,L1788,$M$11:M1788,M1788,$N$11:N1788,N1788)</f>
        <v>IN/C-C-CE-13</v>
      </c>
      <c r="C1788" s="148" t="str">
        <f>VLOOKUP(E1788,'(참고)재직자'!$A$2:$F$2761,3,0)</f>
        <v>인프라</v>
      </c>
      <c r="D1788" s="80" t="str">
        <f>VLOOKUP(E1788,'(참고)재직자'!$A$2:$F$2761,5,0)</f>
        <v>현장</v>
      </c>
      <c r="E1788" s="27" t="s">
        <v>8407</v>
      </c>
      <c r="F1788" s="80" t="str">
        <f>VLOOKUP(E1788,'(참고)재직자'!$A$2:$F$2761,6,0)</f>
        <v>대리</v>
      </c>
      <c r="G1788" s="81" t="str">
        <f>VLOOKUP(E1788,'(참고)재직자'!$A$2:$F$2761,4,0)</f>
        <v>목포시 자원회수시설</v>
      </c>
      <c r="H1788" s="80" t="str">
        <f>VLOOKUP(E1788,'(참고)재직자'!$A$2:$F$2761,2,0)</f>
        <v>최성현</v>
      </c>
      <c r="I1788" s="295">
        <v>46042</v>
      </c>
      <c r="J1788" s="80" t="str">
        <f>VLOOKUP('1.아이디어LIST'!L1788,Code!$A$21:$D$40,3,FALSE)&amp;", "&amp;VLOOKUP('1.아이디어LIST'!M1788,Code!$E$21:$H$45,3,FALSE)&amp;", "&amp;VLOOKUP('1.아이디어LIST'!M1788,Code!$E$21:$H$45,4,FALSE)</f>
        <v xml:space="preserve">김태영, 박준용, </v>
      </c>
      <c r="K1788" s="286" t="s">
        <v>3373</v>
      </c>
      <c r="L1788" s="84" t="s">
        <v>10</v>
      </c>
      <c r="M1788" s="84" t="s">
        <v>200</v>
      </c>
      <c r="N1788" s="201" t="s">
        <v>72</v>
      </c>
      <c r="O1788" s="310" t="s">
        <v>8408</v>
      </c>
      <c r="P1788" s="217" t="s">
        <v>8409</v>
      </c>
      <c r="Q1788" s="49" t="s">
        <v>75</v>
      </c>
      <c r="R1788" s="25" t="s">
        <v>91</v>
      </c>
      <c r="S1788" s="55">
        <v>20</v>
      </c>
      <c r="T1788" s="26"/>
      <c r="U1788" s="28" t="s">
        <v>8410</v>
      </c>
      <c r="V1788" s="66"/>
      <c r="W1788" s="138"/>
      <c r="X1788" s="106"/>
      <c r="Y1788" s="209"/>
      <c r="Z1788" s="210"/>
      <c r="AA1788" s="207"/>
      <c r="AC1788" s="217"/>
      <c r="AD1788" t="s">
        <v>252</v>
      </c>
    </row>
    <row r="1789" spans="1:30" ht="219" hidden="1">
      <c r="A1789" s="88">
        <f>A1788+1</f>
        <v>1779</v>
      </c>
      <c r="B1789" s="79" t="str">
        <f>+VLOOKUP(L1789,Code!$A$3:$B$17,2,FALSE)&amp;"-"&amp;VLOOKUP('1.아이디어LIST'!M1789,Code!$C$3:$D$17,2,FALSE)&amp;"-"&amp;VLOOKUP('1.아이디어LIST'!N1789,Code!$E$3:$F$8,2,FALSE)&amp;"-"&amp;COUNTIFS($L$11:L1789,L1789,$M$11:M1789,M1789,$N$11:N1789,N1789)</f>
        <v>CO/I-PI-CE-78</v>
      </c>
      <c r="C1789" s="148" t="str">
        <f>VLOOKUP(E1789,'(참고)재직자'!$A$2:$F$2761,3,0)</f>
        <v>인프라</v>
      </c>
      <c r="D1789" s="80" t="str">
        <f>VLOOKUP(E1789,'(참고)재직자'!$A$2:$F$2761,5,0)</f>
        <v>현장</v>
      </c>
      <c r="E1789" s="27" t="s">
        <v>3197</v>
      </c>
      <c r="F1789" s="80" t="str">
        <f>VLOOKUP(E1789,'(참고)재직자'!$A$2:$F$2761,6,0)</f>
        <v>과장</v>
      </c>
      <c r="G1789" s="81" t="str">
        <f>VLOOKUP(E1789,'(참고)재직자'!$A$2:$F$2761,4,0)</f>
        <v>수원발 KTX 노반공사</v>
      </c>
      <c r="H1789" s="80" t="str">
        <f>VLOOKUP(E1789,'(참고)재직자'!$A$2:$F$2761,2,0)</f>
        <v>강희종</v>
      </c>
      <c r="I1789" s="295">
        <v>46042</v>
      </c>
      <c r="J1789" s="80" t="str">
        <f>VLOOKUP('1.아이디어LIST'!L1789,Code!$A$21:$D$40,3,FALSE)&amp;", "&amp;VLOOKUP('1.아이디어LIST'!M1789,Code!$E$21:$H$45,3,FALSE)&amp;", "&amp;VLOOKUP('1.아이디어LIST'!M1789,Code!$E$21:$H$45,4,FALSE)</f>
        <v xml:space="preserve">박재보, 박재보, </v>
      </c>
      <c r="K1789" s="286" t="str">
        <f>VLOOKUP(L1789,Code!$A$21:$C$40,3,0)</f>
        <v>박재보</v>
      </c>
      <c r="L1789" s="84" t="s">
        <v>100</v>
      </c>
      <c r="M1789" s="84" t="s">
        <v>252</v>
      </c>
      <c r="N1789" s="201" t="s">
        <v>72</v>
      </c>
      <c r="O1789" s="310" t="s">
        <v>8411</v>
      </c>
      <c r="P1789" s="217" t="s">
        <v>8412</v>
      </c>
      <c r="Q1789" s="49" t="s">
        <v>75</v>
      </c>
      <c r="R1789" s="25" t="s">
        <v>91</v>
      </c>
      <c r="S1789" s="55"/>
      <c r="T1789" s="26"/>
      <c r="U1789" s="28" t="s">
        <v>8413</v>
      </c>
      <c r="V1789" s="66"/>
      <c r="W1789" s="138"/>
      <c r="X1789" s="106"/>
      <c r="Y1789" s="209"/>
      <c r="Z1789" s="210"/>
      <c r="AA1789" s="207"/>
      <c r="AC1789" s="217" t="s">
        <v>8211</v>
      </c>
      <c r="AD1789" t="s">
        <v>252</v>
      </c>
    </row>
    <row r="1790" spans="1:30" ht="167.25" hidden="1">
      <c r="A1790" s="88">
        <f>A1789+1</f>
        <v>1780</v>
      </c>
      <c r="B1790" s="79" t="str">
        <f>+VLOOKUP(L1790,Code!$A$3:$B$17,2,FALSE)&amp;"-"&amp;VLOOKUP('1.아이디어LIST'!M1790,Code!$C$3:$D$17,2,FALSE)&amp;"-"&amp;VLOOKUP('1.아이디어LIST'!N1790,Code!$E$3:$F$8,2,FALSE)&amp;"-"&amp;COUNTIFS($L$11:L1790,L1790,$M$11:M1790,M1790,$N$11:N1790,N1790)</f>
        <v>CO/I-PI-CE-79</v>
      </c>
      <c r="C1790" s="148" t="str">
        <f>VLOOKUP(E1790,'(참고)재직자'!$A$2:$F$2761,3,0)</f>
        <v>건축</v>
      </c>
      <c r="D1790" s="80" t="str">
        <f>VLOOKUP(E1790,'(참고)재직자'!$A$2:$F$2761,5,0)</f>
        <v>현장</v>
      </c>
      <c r="E1790" s="27" t="s">
        <v>8414</v>
      </c>
      <c r="F1790" s="80" t="str">
        <f>VLOOKUP(E1790,'(참고)재직자'!$A$2:$F$2761,6,0)</f>
        <v>대리</v>
      </c>
      <c r="G1790" s="81" t="str">
        <f>VLOOKUP(E1790,'(참고)재직자'!$A$2:$F$2761,4,0)</f>
        <v>울산 무거동 공동주택</v>
      </c>
      <c r="H1790" s="80" t="str">
        <f>VLOOKUP(E1790,'(참고)재직자'!$A$2:$F$2761,2,0)</f>
        <v>장슬기</v>
      </c>
      <c r="I1790" s="295">
        <v>46043</v>
      </c>
      <c r="J1790" s="80" t="str">
        <f>VLOOKUP('1.아이디어LIST'!L1790,Code!$A$21:$D$40,3,FALSE)&amp;", "&amp;VLOOKUP('1.아이디어LIST'!M1790,Code!$E$21:$H$45,3,FALSE)&amp;", "&amp;VLOOKUP('1.아이디어LIST'!M1790,Code!$E$21:$H$45,4,FALSE)</f>
        <v xml:space="preserve">박재보, 박재보, </v>
      </c>
      <c r="K1790" s="286" t="str">
        <f>VLOOKUP(L1790,Code!$A$21:$C$40,3,0)</f>
        <v>박재보</v>
      </c>
      <c r="L1790" s="84" t="s">
        <v>100</v>
      </c>
      <c r="M1790" s="84" t="s">
        <v>252</v>
      </c>
      <c r="N1790" s="201" t="s">
        <v>72</v>
      </c>
      <c r="O1790" s="200" t="s">
        <v>8415</v>
      </c>
      <c r="P1790" s="217" t="s">
        <v>8416</v>
      </c>
      <c r="Q1790" s="49" t="s">
        <v>75</v>
      </c>
      <c r="R1790" s="25" t="s">
        <v>91</v>
      </c>
      <c r="S1790" s="55"/>
      <c r="T1790" s="26"/>
      <c r="U1790" s="28" t="s">
        <v>8417</v>
      </c>
      <c r="V1790" s="66"/>
      <c r="W1790" s="138"/>
      <c r="X1790" s="106"/>
      <c r="Y1790" s="209"/>
      <c r="Z1790" s="210"/>
      <c r="AA1790" s="207"/>
      <c r="AC1790" s="217" t="s">
        <v>8211</v>
      </c>
      <c r="AD1790" t="s">
        <v>252</v>
      </c>
    </row>
    <row r="1791" spans="1:30" ht="105.75" hidden="1" customHeight="1">
      <c r="A1791" s="88">
        <f>A1790+1</f>
        <v>1781</v>
      </c>
      <c r="B1791" s="79" t="str">
        <f>+VLOOKUP(L1791,Code!$A$3:$B$17,2,FALSE)&amp;"-"&amp;VLOOKUP('1.아이디어LIST'!M1791,Code!$C$3:$D$17,2,FALSE)&amp;"-"&amp;VLOOKUP('1.아이디어LIST'!N1791,Code!$E$3:$F$8,2,FALSE)&amp;"-"&amp;COUNTIFS($L$11:L1791,L1791,$M$11:M1791,M1791,$N$11:N1791,N1791)</f>
        <v>PR/C-A/F-CE-13</v>
      </c>
      <c r="C1791" s="148" t="str">
        <f>VLOOKUP(E1791,'(참고)재직자'!$A$2:$F$2761,3,0)</f>
        <v>건축</v>
      </c>
      <c r="D1791" s="80" t="str">
        <f>VLOOKUP(E1791,'(참고)재직자'!$A$2:$F$2761,5,0)</f>
        <v>현장</v>
      </c>
      <c r="E1791" s="27" t="s">
        <v>7806</v>
      </c>
      <c r="F1791" s="80" t="str">
        <f>VLOOKUP(E1791,'(참고)재직자'!$A$2:$F$2761,6,0)</f>
        <v>과장</v>
      </c>
      <c r="G1791" s="81" t="str">
        <f>VLOOKUP(E1791,'(참고)재직자'!$A$2:$F$2761,4,0)</f>
        <v>광명1R 재개발</v>
      </c>
      <c r="H1791" s="80" t="str">
        <f>VLOOKUP(E1791,'(참고)재직자'!$A$2:$F$2761,2,0)</f>
        <v>김동기</v>
      </c>
      <c r="I1791" s="295">
        <v>46043</v>
      </c>
      <c r="J1791" s="80" t="str">
        <f>VLOOKUP('1.아이디어LIST'!L1791,Code!$A$21:$D$40,3,FALSE)&amp;", "&amp;VLOOKUP('1.아이디어LIST'!M1791,Code!$E$21:$H$45,3,FALSE)&amp;", "&amp;VLOOKUP('1.아이디어LIST'!M1791,Code!$E$21:$H$45,4,FALSE)</f>
        <v>고한울, 고한울, 김태용</v>
      </c>
      <c r="K1791" s="286" t="str">
        <f>VLOOKUP(L1791,Code!$A$21:$C$40,3,0)</f>
        <v>고한울</v>
      </c>
      <c r="L1791" s="84" t="s">
        <v>300</v>
      </c>
      <c r="M1791" s="84" t="s">
        <v>114</v>
      </c>
      <c r="N1791" s="201" t="s">
        <v>72</v>
      </c>
      <c r="O1791" s="200" t="s">
        <v>8418</v>
      </c>
      <c r="P1791" s="217" t="s">
        <v>8419</v>
      </c>
      <c r="Q1791" s="49" t="s">
        <v>75</v>
      </c>
      <c r="R1791" s="25" t="s">
        <v>91</v>
      </c>
      <c r="S1791" s="55"/>
      <c r="T1791" s="26"/>
      <c r="U1791" s="28" t="s">
        <v>8420</v>
      </c>
      <c r="V1791" s="66"/>
      <c r="W1791" s="138"/>
      <c r="X1791" s="106"/>
      <c r="Y1791" s="209"/>
      <c r="Z1791" s="210"/>
      <c r="AA1791" s="207"/>
      <c r="AC1791" s="217"/>
    </row>
    <row r="1792" spans="1:30" ht="330" hidden="1" customHeight="1">
      <c r="A1792" s="88">
        <f>A1791+1</f>
        <v>1782</v>
      </c>
      <c r="B1792" s="79" t="str">
        <f>+VLOOKUP(L1792,Code!$A$3:$B$17,2,FALSE)&amp;"-"&amp;VLOOKUP('1.아이디어LIST'!M1792,Code!$C$3:$D$17,2,FALSE)&amp;"-"&amp;VLOOKUP('1.아이디어LIST'!N1792,Code!$E$3:$F$8,2,FALSE)&amp;"-"&amp;COUNTIFS($L$11:L1792,L1792,$M$11:M1792,M1792,$N$11:N1792,N1792)</f>
        <v>CO/D-C-CE-22</v>
      </c>
      <c r="C1792" s="148" t="str">
        <f>VLOOKUP(E1792,'(참고)재직자'!$A$2:$F$2761,3,0)</f>
        <v>건축</v>
      </c>
      <c r="D1792" s="80" t="str">
        <f>VLOOKUP(E1792,'(참고)재직자'!$A$2:$F$2761,5,0)</f>
        <v>현장</v>
      </c>
      <c r="E1792" s="27" t="s">
        <v>2152</v>
      </c>
      <c r="F1792" s="80" t="str">
        <f>VLOOKUP(E1792,'(참고)재직자'!$A$2:$F$2761,6,0)</f>
        <v>대리</v>
      </c>
      <c r="G1792" s="81" t="str">
        <f>VLOOKUP(E1792,'(참고)재직자'!$A$2:$F$2761,4,0)</f>
        <v>광명1R 재개발</v>
      </c>
      <c r="H1792" s="80" t="str">
        <f>VLOOKUP(E1792,'(참고)재직자'!$A$2:$F$2761,2,0)</f>
        <v>조시영</v>
      </c>
      <c r="I1792" s="295">
        <v>46043</v>
      </c>
      <c r="J1792" s="80" t="str">
        <f>VLOOKUP('1.아이디어LIST'!L1792,Code!$A$21:$D$40,3,FALSE)&amp;", "&amp;VLOOKUP('1.아이디어LIST'!M1792,Code!$E$21:$H$45,3,FALSE)&amp;", "&amp;VLOOKUP('1.아이디어LIST'!M1792,Code!$E$21:$H$45,4,FALSE)</f>
        <v xml:space="preserve">고한울, 박준용, </v>
      </c>
      <c r="K1792" s="286" t="str">
        <f>VLOOKUP(L1792,Code!$A$21:$C$40,3,0)</f>
        <v>고한울</v>
      </c>
      <c r="L1792" s="84" t="s">
        <v>189</v>
      </c>
      <c r="M1792" s="84" t="s">
        <v>200</v>
      </c>
      <c r="N1792" s="201" t="s">
        <v>72</v>
      </c>
      <c r="O1792" s="200" t="s">
        <v>8421</v>
      </c>
      <c r="P1792" s="217" t="s">
        <v>8422</v>
      </c>
      <c r="Q1792" s="49" t="s">
        <v>75</v>
      </c>
      <c r="R1792" s="25" t="s">
        <v>504</v>
      </c>
      <c r="S1792" s="55"/>
      <c r="T1792" s="26"/>
      <c r="U1792" s="28" t="s">
        <v>8423</v>
      </c>
      <c r="V1792" s="66"/>
      <c r="W1792" s="138"/>
      <c r="X1792" s="106"/>
      <c r="Y1792" s="209"/>
      <c r="Z1792" s="210"/>
      <c r="AA1792" s="207"/>
      <c r="AC1792" s="217" t="s">
        <v>8211</v>
      </c>
      <c r="AD1792" t="s">
        <v>8214</v>
      </c>
    </row>
    <row r="1793" spans="1:30" ht="66" hidden="1">
      <c r="A1793" s="88">
        <f>A1792+1</f>
        <v>1783</v>
      </c>
      <c r="B1793" s="79" t="str">
        <f>+VLOOKUP(L1793,Code!$A$3:$B$17,2,FALSE)&amp;"-"&amp;VLOOKUP('1.아이디어LIST'!M1793,Code!$C$3:$D$17,2,FALSE)&amp;"-"&amp;VLOOKUP('1.아이디어LIST'!N1793,Code!$E$3:$F$8,2,FALSE)&amp;"-"&amp;COUNTIFS($L$11:L1793,L1793,$M$11:M1793,M1793,$N$11:N1793,N1793)</f>
        <v>CO/I-ID/H-CE-24</v>
      </c>
      <c r="C1793" s="148" t="str">
        <f>VLOOKUP(E1793,'(참고)재직자'!$A$2:$F$2761,3,0)</f>
        <v>인프라</v>
      </c>
      <c r="D1793" s="80" t="str">
        <f>VLOOKUP(E1793,'(참고)재직자'!$A$2:$F$2761,5,0)</f>
        <v>현장</v>
      </c>
      <c r="E1793" s="27" t="s">
        <v>8424</v>
      </c>
      <c r="F1793" s="80" t="str">
        <f>VLOOKUP(E1793,'(참고)재직자'!$A$2:$F$2761,6,0)</f>
        <v>과장</v>
      </c>
      <c r="G1793" s="81" t="str">
        <f>VLOOKUP(E1793,'(참고)재직자'!$A$2:$F$2761,4,0)</f>
        <v>하남교산 부지조성공사 1공구</v>
      </c>
      <c r="H1793" s="80" t="str">
        <f>VLOOKUP(E1793,'(참고)재직자'!$A$2:$F$2761,2,0)</f>
        <v>서영동</v>
      </c>
      <c r="I1793" s="295">
        <v>46043</v>
      </c>
      <c r="J1793" s="80" t="str">
        <f>VLOOKUP('1.아이디어LIST'!L1793,Code!$A$21:$D$40,3,FALSE)&amp;", "&amp;VLOOKUP('1.아이디어LIST'!M1793,Code!$E$21:$H$45,3,FALSE)&amp;", "&amp;VLOOKUP('1.아이디어LIST'!M1793,Code!$E$21:$H$45,4,FALSE)</f>
        <v xml:space="preserve">박재보, 박재보, </v>
      </c>
      <c r="K1793" s="286" t="s">
        <v>3373</v>
      </c>
      <c r="L1793" s="84" t="s">
        <v>100</v>
      </c>
      <c r="M1793" s="84" t="s">
        <v>601</v>
      </c>
      <c r="N1793" s="201" t="s">
        <v>72</v>
      </c>
      <c r="O1793" s="310" t="s">
        <v>8425</v>
      </c>
      <c r="P1793" s="217" t="s">
        <v>8426</v>
      </c>
      <c r="Q1793" s="49" t="s">
        <v>91</v>
      </c>
      <c r="R1793" s="25"/>
      <c r="S1793" s="55">
        <v>14</v>
      </c>
      <c r="T1793" s="26"/>
      <c r="U1793" s="28" t="s">
        <v>8427</v>
      </c>
      <c r="V1793" s="66"/>
      <c r="W1793" s="138"/>
      <c r="X1793" s="106"/>
      <c r="Y1793" s="209"/>
      <c r="Z1793" s="210"/>
      <c r="AA1793" s="207"/>
      <c r="AC1793" s="217" t="s">
        <v>8211</v>
      </c>
      <c r="AD1793" t="s">
        <v>252</v>
      </c>
    </row>
    <row r="1794" spans="1:30" ht="66" hidden="1">
      <c r="A1794" s="88">
        <f>A1793+1</f>
        <v>1784</v>
      </c>
      <c r="B1794" s="79" t="str">
        <f>+VLOOKUP(L1794,Code!$A$3:$B$17,2,FALSE)&amp;"-"&amp;VLOOKUP('1.아이디어LIST'!M1794,Code!$C$3:$D$17,2,FALSE)&amp;"-"&amp;VLOOKUP('1.아이디어LIST'!N1794,Code!$E$3:$F$8,2,FALSE)&amp;"-"&amp;COUNTIFS($L$11:L1794,L1794,$M$11:M1794,M1794,$N$11:N1794,N1794)</f>
        <v>CO/I-ID/H-CE-25</v>
      </c>
      <c r="C1794" s="148" t="str">
        <f>VLOOKUP(E1794,'(참고)재직자'!$A$2:$F$2761,3,0)</f>
        <v>인프라</v>
      </c>
      <c r="D1794" s="80" t="str">
        <f>VLOOKUP(E1794,'(참고)재직자'!$A$2:$F$2761,5,0)</f>
        <v>현장</v>
      </c>
      <c r="E1794" s="27" t="s">
        <v>8424</v>
      </c>
      <c r="F1794" s="80" t="str">
        <f>VLOOKUP(E1794,'(참고)재직자'!$A$2:$F$2761,6,0)</f>
        <v>과장</v>
      </c>
      <c r="G1794" s="81" t="str">
        <f>VLOOKUP(E1794,'(참고)재직자'!$A$2:$F$2761,4,0)</f>
        <v>하남교산 부지조성공사 1공구</v>
      </c>
      <c r="H1794" s="80" t="str">
        <f>VLOOKUP(E1794,'(참고)재직자'!$A$2:$F$2761,2,0)</f>
        <v>서영동</v>
      </c>
      <c r="I1794" s="295">
        <v>46043</v>
      </c>
      <c r="J1794" s="80" t="str">
        <f>VLOOKUP('1.아이디어LIST'!L1794,Code!$A$21:$D$40,3,FALSE)&amp;", "&amp;VLOOKUP('1.아이디어LIST'!M1794,Code!$E$21:$H$45,3,FALSE)&amp;", "&amp;VLOOKUP('1.아이디어LIST'!M1794,Code!$E$21:$H$45,4,FALSE)</f>
        <v xml:space="preserve">박재보, 박재보, </v>
      </c>
      <c r="K1794" s="286" t="s">
        <v>3373</v>
      </c>
      <c r="L1794" s="84" t="s">
        <v>100</v>
      </c>
      <c r="M1794" s="84" t="s">
        <v>601</v>
      </c>
      <c r="N1794" s="201" t="s">
        <v>72</v>
      </c>
      <c r="O1794" s="310" t="s">
        <v>8428</v>
      </c>
      <c r="P1794" s="217" t="s">
        <v>8429</v>
      </c>
      <c r="Q1794" s="49" t="s">
        <v>91</v>
      </c>
      <c r="R1794" s="25"/>
      <c r="S1794" s="55">
        <v>5</v>
      </c>
      <c r="T1794" s="26"/>
      <c r="U1794" s="28" t="s">
        <v>8430</v>
      </c>
      <c r="V1794" s="66"/>
      <c r="W1794" s="138"/>
      <c r="X1794" s="106"/>
      <c r="Y1794" s="209"/>
      <c r="Z1794" s="210"/>
      <c r="AA1794" s="207"/>
      <c r="AC1794" s="217" t="s">
        <v>8211</v>
      </c>
      <c r="AD1794" t="s">
        <v>8214</v>
      </c>
    </row>
    <row r="1795" spans="1:30" ht="49.5" hidden="1">
      <c r="A1795" s="88">
        <f>A1794+1</f>
        <v>1785</v>
      </c>
      <c r="B1795" s="79" t="str">
        <f>+VLOOKUP(L1795,Code!$A$3:$B$17,2,FALSE)&amp;"-"&amp;VLOOKUP('1.아이디어LIST'!M1795,Code!$C$3:$D$17,2,FALSE)&amp;"-"&amp;VLOOKUP('1.아이디어LIST'!N1795,Code!$E$3:$F$8,2,FALSE)&amp;"-"&amp;COUNTIFS($L$11:L1795,L1795,$M$11:M1795,M1795,$N$11:N1795,N1795)</f>
        <v>CO/I-ID/H-CE-26</v>
      </c>
      <c r="C1795" s="148" t="str">
        <f>VLOOKUP(E1795,'(참고)재직자'!$A$2:$F$2761,3,0)</f>
        <v>인프라</v>
      </c>
      <c r="D1795" s="80" t="str">
        <f>VLOOKUP(E1795,'(참고)재직자'!$A$2:$F$2761,5,0)</f>
        <v>현장</v>
      </c>
      <c r="E1795" s="27" t="s">
        <v>8431</v>
      </c>
      <c r="F1795" s="80" t="str">
        <f>VLOOKUP(E1795,'(참고)재직자'!$A$2:$F$2761,6,0)</f>
        <v>대리</v>
      </c>
      <c r="G1795" s="81" t="str">
        <f>VLOOKUP(E1795,'(참고)재직자'!$A$2:$F$2761,4,0)</f>
        <v>하남교산 부지조성공사</v>
      </c>
      <c r="H1795" s="80" t="str">
        <f>VLOOKUP(E1795,'(참고)재직자'!$A$2:$F$2761,2,0)</f>
        <v>오세훈</v>
      </c>
      <c r="I1795" s="295">
        <v>46043</v>
      </c>
      <c r="J1795" s="80" t="str">
        <f>VLOOKUP('1.아이디어LIST'!L1795,Code!$A$21:$D$40,3,FALSE)&amp;", "&amp;VLOOKUP('1.아이디어LIST'!M1795,Code!$E$21:$H$45,3,FALSE)&amp;", "&amp;VLOOKUP('1.아이디어LIST'!M1795,Code!$E$21:$H$45,4,FALSE)</f>
        <v xml:space="preserve">박재보, 박재보, </v>
      </c>
      <c r="K1795" s="286" t="s">
        <v>3373</v>
      </c>
      <c r="L1795" s="84" t="s">
        <v>100</v>
      </c>
      <c r="M1795" s="84" t="s">
        <v>601</v>
      </c>
      <c r="N1795" s="201" t="s">
        <v>72</v>
      </c>
      <c r="O1795" s="310" t="s">
        <v>8432</v>
      </c>
      <c r="P1795" s="217" t="s">
        <v>8433</v>
      </c>
      <c r="Q1795" s="49" t="s">
        <v>91</v>
      </c>
      <c r="R1795" s="25"/>
      <c r="S1795" s="55">
        <v>5</v>
      </c>
      <c r="T1795" s="26"/>
      <c r="U1795" s="28" t="s">
        <v>8430</v>
      </c>
      <c r="V1795" s="66"/>
      <c r="W1795" s="138"/>
      <c r="X1795" s="106"/>
      <c r="Y1795" s="209"/>
      <c r="Z1795" s="210"/>
      <c r="AA1795" s="207"/>
      <c r="AC1795" s="217" t="s">
        <v>8211</v>
      </c>
      <c r="AD1795" t="s">
        <v>8214</v>
      </c>
    </row>
    <row r="1796" spans="1:30" ht="34.5" hidden="1">
      <c r="A1796" s="88">
        <f>A1795+1</f>
        <v>1786</v>
      </c>
      <c r="B1796" s="79" t="str">
        <f>+VLOOKUP(L1796,Code!$A$3:$B$17,2,FALSE)&amp;"-"&amp;VLOOKUP('1.아이디어LIST'!M1796,Code!$C$3:$D$17,2,FALSE)&amp;"-"&amp;VLOOKUP('1.아이디어LIST'!N1796,Code!$E$3:$F$8,2,FALSE)&amp;"-"&amp;COUNTIFS($L$11:L1796,L1796,$M$11:M1796,M1796,$N$11:N1796,N1796)</f>
        <v>CO/D-A/S-CE-95</v>
      </c>
      <c r="C1796" s="148" t="str">
        <f>VLOOKUP(E1796,'(참고)재직자'!$A$2:$F$2761,3,0)</f>
        <v>건축</v>
      </c>
      <c r="D1796" s="80" t="str">
        <f>VLOOKUP(E1796,'(참고)재직자'!$A$2:$F$2761,5,0)</f>
        <v>본사</v>
      </c>
      <c r="E1796" s="27" t="s">
        <v>407</v>
      </c>
      <c r="F1796" s="80" t="str">
        <f>VLOOKUP(E1796,'(참고)재직자'!$A$2:$F$2761,6,0)</f>
        <v>과장</v>
      </c>
      <c r="G1796" s="81" t="str">
        <f>VLOOKUP(E1796,'(참고)재직자'!$A$2:$F$2761,4,0)</f>
        <v>기술혁신팀</v>
      </c>
      <c r="H1796" s="80" t="str">
        <f>VLOOKUP(E1796,'(참고)재직자'!$A$2:$F$2761,2,0)</f>
        <v>박찬기</v>
      </c>
      <c r="I1796" s="295">
        <v>46044</v>
      </c>
      <c r="J1796" s="80" t="str">
        <f>VLOOKUP('1.아이디어LIST'!L1796,Code!$A$21:$D$40,3,FALSE)&amp;", "&amp;VLOOKUP('1.아이디어LIST'!M1796,Code!$E$21:$H$45,3,FALSE)&amp;", "&amp;VLOOKUP('1.아이디어LIST'!M1796,Code!$E$21:$H$45,4,FALSE)</f>
        <v>고한울, 고한울, 박준용</v>
      </c>
      <c r="K1796" s="286" t="str">
        <f>VLOOKUP(L1796,Code!$A$21:$C$40,3,0)</f>
        <v>고한울</v>
      </c>
      <c r="L1796" s="84" t="s">
        <v>189</v>
      </c>
      <c r="M1796" s="84" t="s">
        <v>221</v>
      </c>
      <c r="N1796" s="201" t="s">
        <v>72</v>
      </c>
      <c r="O1796" s="200" t="s">
        <v>8434</v>
      </c>
      <c r="P1796" s="217" t="s">
        <v>8435</v>
      </c>
      <c r="Q1796" s="49" t="s">
        <v>75</v>
      </c>
      <c r="R1796" s="25" t="s">
        <v>504</v>
      </c>
      <c r="S1796" s="55"/>
      <c r="T1796" s="26"/>
      <c r="U1796" s="28" t="s">
        <v>8436</v>
      </c>
      <c r="V1796" s="66"/>
      <c r="W1796" s="138"/>
      <c r="X1796" s="106"/>
      <c r="Y1796" s="209"/>
      <c r="Z1796" s="210"/>
      <c r="AA1796" s="207"/>
      <c r="AC1796" s="217" t="s">
        <v>8211</v>
      </c>
      <c r="AD1796" t="s">
        <v>8214</v>
      </c>
    </row>
    <row r="1797" spans="1:30" ht="33" hidden="1">
      <c r="A1797" s="88">
        <f>A1796+1</f>
        <v>1787</v>
      </c>
      <c r="B1797" s="79" t="str">
        <f>+VLOOKUP(L1797,Code!$A$3:$B$17,2,FALSE)&amp;"-"&amp;VLOOKUP('1.아이디어LIST'!M1797,Code!$C$3:$D$17,2,FALSE)&amp;"-"&amp;VLOOKUP('1.아이디어LIST'!N1797,Code!$E$3:$F$8,2,FALSE)&amp;"-"&amp;COUNTIFS($L$11:L1797,L1797,$M$11:M1797,M1797,$N$11:N1797,N1797)</f>
        <v>CO/D-A/S-CE-96</v>
      </c>
      <c r="C1797" s="148" t="str">
        <f>VLOOKUP(E1797,'(참고)재직자'!$A$2:$F$2761,3,0)</f>
        <v>건축</v>
      </c>
      <c r="D1797" s="80" t="str">
        <f>VLOOKUP(E1797,'(참고)재직자'!$A$2:$F$2761,5,0)</f>
        <v>본사</v>
      </c>
      <c r="E1797" s="27" t="s">
        <v>407</v>
      </c>
      <c r="F1797" s="80" t="str">
        <f>VLOOKUP(E1797,'(참고)재직자'!$A$2:$F$2761,6,0)</f>
        <v>과장</v>
      </c>
      <c r="G1797" s="81" t="str">
        <f>VLOOKUP(E1797,'(참고)재직자'!$A$2:$F$2761,4,0)</f>
        <v>기술혁신팀</v>
      </c>
      <c r="H1797" s="80" t="str">
        <f>VLOOKUP(E1797,'(참고)재직자'!$A$2:$F$2761,2,0)</f>
        <v>박찬기</v>
      </c>
      <c r="I1797" s="295">
        <v>46044</v>
      </c>
      <c r="J1797" s="80" t="str">
        <f>VLOOKUP('1.아이디어LIST'!L1797,Code!$A$21:$D$40,3,FALSE)&amp;", "&amp;VLOOKUP('1.아이디어LIST'!M1797,Code!$E$21:$H$45,3,FALSE)&amp;", "&amp;VLOOKUP('1.아이디어LIST'!M1797,Code!$E$21:$H$45,4,FALSE)</f>
        <v>고한울, 고한울, 박준용</v>
      </c>
      <c r="K1797" s="286" t="str">
        <f>VLOOKUP(L1797,Code!$A$21:$C$40,3,0)</f>
        <v>고한울</v>
      </c>
      <c r="L1797" s="84" t="s">
        <v>189</v>
      </c>
      <c r="M1797" s="84" t="s">
        <v>221</v>
      </c>
      <c r="N1797" s="201" t="s">
        <v>72</v>
      </c>
      <c r="O1797" s="200" t="s">
        <v>8437</v>
      </c>
      <c r="P1797" s="217" t="s">
        <v>8438</v>
      </c>
      <c r="Q1797" s="49" t="s">
        <v>75</v>
      </c>
      <c r="R1797" s="25" t="s">
        <v>91</v>
      </c>
      <c r="S1797" s="55"/>
      <c r="T1797" s="26"/>
      <c r="U1797" s="28" t="s">
        <v>8439</v>
      </c>
      <c r="V1797" s="66"/>
      <c r="W1797" s="138"/>
      <c r="X1797" s="106"/>
      <c r="Y1797" s="209"/>
      <c r="Z1797" s="210"/>
      <c r="AA1797" s="207"/>
      <c r="AC1797" s="217" t="s">
        <v>8211</v>
      </c>
      <c r="AD1797" t="s">
        <v>8212</v>
      </c>
    </row>
    <row r="1798" spans="1:30" ht="102" hidden="1">
      <c r="A1798" s="88">
        <f>A1797+1</f>
        <v>1788</v>
      </c>
      <c r="B1798" s="79" t="str">
        <f>+VLOOKUP(L1798,Code!$A$3:$B$17,2,FALSE)&amp;"-"&amp;VLOOKUP('1.아이디어LIST'!M1798,Code!$C$3:$D$17,2,FALSE)&amp;"-"&amp;VLOOKUP('1.아이디어LIST'!N1798,Code!$E$3:$F$8,2,FALSE)&amp;"-"&amp;COUNTIFS($L$11:L1798,L1798,$M$11:M1798,M1798,$N$11:N1798,N1798)</f>
        <v>CO/D-Z-CE-39</v>
      </c>
      <c r="C1798" s="148" t="str">
        <f>VLOOKUP(E1798,'(참고)재직자'!$A$2:$F$2761,3,0)</f>
        <v>건축</v>
      </c>
      <c r="D1798" s="80" t="str">
        <f>VLOOKUP(E1798,'(참고)재직자'!$A$2:$F$2761,5,0)</f>
        <v>현장</v>
      </c>
      <c r="E1798" s="27" t="s">
        <v>2044</v>
      </c>
      <c r="F1798" s="80" t="str">
        <f>VLOOKUP(E1798,'(참고)재직자'!$A$2:$F$2761,6,0)</f>
        <v>과장</v>
      </c>
      <c r="G1798" s="81" t="str">
        <f>VLOOKUP(E1798,'(참고)재직자'!$A$2:$F$2761,4,0)</f>
        <v>아산배방 생활숙박시설</v>
      </c>
      <c r="H1798" s="80" t="str">
        <f>VLOOKUP(E1798,'(참고)재직자'!$A$2:$F$2761,2,0)</f>
        <v>박형준</v>
      </c>
      <c r="I1798" s="295">
        <v>46044</v>
      </c>
      <c r="J1798" s="80" t="str">
        <f>VLOOKUP('1.아이디어LIST'!L1798,Code!$A$21:$D$40,3,FALSE)&amp;", "&amp;VLOOKUP('1.아이디어LIST'!M1798,Code!$E$21:$H$45,3,FALSE)&amp;", "&amp;VLOOKUP('1.아이디어LIST'!M1798,Code!$E$21:$H$45,4,FALSE)</f>
        <v xml:space="preserve">고한울, 박준용, </v>
      </c>
      <c r="K1798" s="286" t="str">
        <f>VLOOKUP(L1798,Code!$A$21:$C$40,3,0)</f>
        <v>고한울</v>
      </c>
      <c r="L1798" s="84" t="s">
        <v>189</v>
      </c>
      <c r="M1798" s="84" t="s">
        <v>784</v>
      </c>
      <c r="N1798" s="201" t="s">
        <v>72</v>
      </c>
      <c r="O1798" s="200" t="s">
        <v>8440</v>
      </c>
      <c r="P1798" s="217" t="s">
        <v>8441</v>
      </c>
      <c r="Q1798" s="49" t="s">
        <v>75</v>
      </c>
      <c r="R1798" s="25" t="s">
        <v>504</v>
      </c>
      <c r="S1798" s="55"/>
      <c r="T1798" s="26"/>
      <c r="U1798" s="28" t="s">
        <v>8442</v>
      </c>
      <c r="V1798" s="66"/>
      <c r="W1798" s="138"/>
      <c r="X1798" s="106"/>
      <c r="Y1798" s="209"/>
      <c r="Z1798" s="210"/>
      <c r="AA1798" s="207"/>
      <c r="AC1798" s="217" t="s">
        <v>8211</v>
      </c>
      <c r="AD1798" t="s">
        <v>252</v>
      </c>
    </row>
    <row r="1799" spans="1:30" ht="66" hidden="1">
      <c r="A1799" s="88">
        <f>A1798+1</f>
        <v>1789</v>
      </c>
      <c r="B1799" s="79" t="str">
        <f>+VLOOKUP(L1799,Code!$A$3:$B$17,2,FALSE)&amp;"-"&amp;VLOOKUP('1.아이디어LIST'!M1799,Code!$C$3:$D$17,2,FALSE)&amp;"-"&amp;VLOOKUP('1.아이디어LIST'!N1799,Code!$E$3:$F$8,2,FALSE)&amp;"-"&amp;COUNTIFS($L$11:L1799,L1799,$M$11:M1799,M1799,$N$11:N1799,N1799)</f>
        <v>CO/I-PI-CE-80</v>
      </c>
      <c r="C1799" s="148" t="str">
        <f>VLOOKUP(E1799,'(참고)재직자'!$A$2:$F$2761,3,0)</f>
        <v>인프라</v>
      </c>
      <c r="D1799" s="80" t="str">
        <f>VLOOKUP(E1799,'(참고)재직자'!$A$2:$F$2761,5,0)</f>
        <v>현장</v>
      </c>
      <c r="E1799" s="27" t="s">
        <v>3854</v>
      </c>
      <c r="F1799" s="80" t="str">
        <f>VLOOKUP(E1799,'(참고)재직자'!$A$2:$F$2761,6,0)</f>
        <v>과장</v>
      </c>
      <c r="G1799" s="81" t="str">
        <f>VLOOKUP(E1799,'(참고)재직자'!$A$2:$F$2761,4,0)</f>
        <v>광양항 율촌 물류단지 조성공사</v>
      </c>
      <c r="H1799" s="80" t="str">
        <f>VLOOKUP(E1799,'(참고)재직자'!$A$2:$F$2761,2,0)</f>
        <v>강달호</v>
      </c>
      <c r="I1799" s="295">
        <v>46044</v>
      </c>
      <c r="J1799" s="80" t="str">
        <f>VLOOKUP('1.아이디어LIST'!L1799,Code!$A$21:$D$40,3,FALSE)&amp;", "&amp;VLOOKUP('1.아이디어LIST'!M1799,Code!$E$21:$H$45,3,FALSE)&amp;", "&amp;VLOOKUP('1.아이디어LIST'!M1799,Code!$E$21:$H$45,4,FALSE)</f>
        <v xml:space="preserve">박재보, 박재보, </v>
      </c>
      <c r="K1799" s="286" t="str">
        <f>VLOOKUP(L1799,Code!$A$21:$C$40,3,0)</f>
        <v>박재보</v>
      </c>
      <c r="L1799" s="84" t="s">
        <v>100</v>
      </c>
      <c r="M1799" s="84" t="s">
        <v>252</v>
      </c>
      <c r="N1799" s="201" t="s">
        <v>72</v>
      </c>
      <c r="O1799" s="310" t="s">
        <v>8443</v>
      </c>
      <c r="P1799" s="217" t="s">
        <v>8444</v>
      </c>
      <c r="Q1799" s="49" t="s">
        <v>75</v>
      </c>
      <c r="R1799" s="25" t="s">
        <v>91</v>
      </c>
      <c r="S1799" s="55"/>
      <c r="T1799" s="26"/>
      <c r="U1799" s="28"/>
      <c r="V1799" s="66"/>
      <c r="W1799" s="138"/>
      <c r="X1799" s="106"/>
      <c r="Y1799" s="209"/>
      <c r="Z1799" s="210"/>
      <c r="AA1799" s="207"/>
      <c r="AC1799" s="217"/>
    </row>
    <row r="1800" spans="1:30" ht="51" hidden="1">
      <c r="A1800" s="88">
        <f>A1799+1</f>
        <v>1790</v>
      </c>
      <c r="B1800" s="79" t="str">
        <f>+VLOOKUP(L1800,Code!$A$3:$B$17,2,FALSE)&amp;"-"&amp;VLOOKUP('1.아이디어LIST'!M1800,Code!$C$3:$D$17,2,FALSE)&amp;"-"&amp;VLOOKUP('1.아이디어LIST'!N1800,Code!$E$3:$F$8,2,FALSE)&amp;"-"&amp;COUNTIFS($L$11:L1800,L1800,$M$11:M1800,M1800,$N$11:N1800,N1800)</f>
        <v>CO/I-PI-CE-81</v>
      </c>
      <c r="C1800" s="148" t="str">
        <f>VLOOKUP(E1800,'(참고)재직자'!$A$2:$F$2761,3,0)</f>
        <v>건축</v>
      </c>
      <c r="D1800" s="80" t="str">
        <f>VLOOKUP(E1800,'(참고)재직자'!$A$2:$F$2761,5,0)</f>
        <v>현장</v>
      </c>
      <c r="E1800" s="27" t="s">
        <v>2691</v>
      </c>
      <c r="F1800" s="80" t="str">
        <f>VLOOKUP(E1800,'(참고)재직자'!$A$2:$F$2761,6,0)</f>
        <v>대리</v>
      </c>
      <c r="G1800" s="81" t="str">
        <f>VLOOKUP(E1800,'(참고)재직자'!$A$2:$F$2761,4,0)</f>
        <v>청주 매봉공원</v>
      </c>
      <c r="H1800" s="80" t="str">
        <f>VLOOKUP(E1800,'(참고)재직자'!$A$2:$F$2761,2,0)</f>
        <v>권순민</v>
      </c>
      <c r="I1800" s="295">
        <v>46046</v>
      </c>
      <c r="J1800" s="80" t="str">
        <f>VLOOKUP('1.아이디어LIST'!L1800,Code!$A$21:$D$40,3,FALSE)&amp;", "&amp;VLOOKUP('1.아이디어LIST'!M1800,Code!$E$21:$H$45,3,FALSE)&amp;", "&amp;VLOOKUP('1.아이디어LIST'!M1800,Code!$E$21:$H$45,4,FALSE)</f>
        <v xml:space="preserve">박재보, 박재보, </v>
      </c>
      <c r="K1800" s="286" t="s">
        <v>198</v>
      </c>
      <c r="L1800" s="84" t="s">
        <v>100</v>
      </c>
      <c r="M1800" s="84" t="s">
        <v>252</v>
      </c>
      <c r="N1800" s="201" t="s">
        <v>72</v>
      </c>
      <c r="O1800" s="200" t="s">
        <v>8445</v>
      </c>
      <c r="P1800" s="217" t="s">
        <v>8446</v>
      </c>
      <c r="Q1800" s="49" t="s">
        <v>504</v>
      </c>
      <c r="R1800" s="25"/>
      <c r="S1800" s="55"/>
      <c r="T1800" s="26"/>
      <c r="U1800" s="28"/>
      <c r="V1800" s="66"/>
      <c r="W1800" s="138"/>
      <c r="X1800" s="106"/>
      <c r="Y1800" s="209"/>
      <c r="Z1800" s="210"/>
      <c r="AA1800" s="207"/>
      <c r="AC1800" s="217"/>
    </row>
    <row r="1801" spans="1:30" ht="54" hidden="1" customHeight="1">
      <c r="A1801" s="88">
        <f>A1800+1</f>
        <v>1791</v>
      </c>
      <c r="B1801" s="79" t="str">
        <f>+VLOOKUP(L1801,Code!$A$3:$B$17,2,FALSE)&amp;"-"&amp;VLOOKUP('1.아이디어LIST'!M1801,Code!$C$3:$D$17,2,FALSE)&amp;"-"&amp;VLOOKUP('1.아이디어LIST'!N1801,Code!$E$3:$F$8,2,FALSE)&amp;"-"&amp;COUNTIFS($L$11:L1801,L1801,$M$11:M1801,M1801,$N$11:N1801,N1801)</f>
        <v>CO/D-PI-CE-108</v>
      </c>
      <c r="C1801" s="148" t="str">
        <f>VLOOKUP(E1801,'(참고)재직자'!$A$2:$F$2761,3,0)</f>
        <v>건축</v>
      </c>
      <c r="D1801" s="80" t="str">
        <f>VLOOKUP(E1801,'(참고)재직자'!$A$2:$F$2761,5,0)</f>
        <v>현장</v>
      </c>
      <c r="E1801" s="27" t="s">
        <v>2099</v>
      </c>
      <c r="F1801" s="80" t="str">
        <f>VLOOKUP(E1801,'(참고)재직자'!$A$2:$F$2761,6,0)</f>
        <v>대리</v>
      </c>
      <c r="G1801" s="81" t="str">
        <f>VLOOKUP(E1801,'(참고)재직자'!$A$2:$F$2761,4,0)</f>
        <v>울산 무거동 공동주택 현장</v>
      </c>
      <c r="H1801" s="80" t="str">
        <f>VLOOKUP(E1801,'(참고)재직자'!$A$2:$F$2761,2,0)</f>
        <v>서영준</v>
      </c>
      <c r="I1801" s="295">
        <v>46048</v>
      </c>
      <c r="J1801" s="80" t="str">
        <f>VLOOKUP('1.아이디어LIST'!L1801,Code!$A$21:$D$40,3,FALSE)&amp;", "&amp;VLOOKUP('1.아이디어LIST'!M1801,Code!$E$21:$H$45,3,FALSE)&amp;", "&amp;VLOOKUP('1.아이디어LIST'!M1801,Code!$E$21:$H$45,4,FALSE)</f>
        <v xml:space="preserve">고한울, 박재보, </v>
      </c>
      <c r="K1801" s="286" t="str">
        <f>VLOOKUP(L1801,Code!$A$21:$C$40,3,0)</f>
        <v>고한울</v>
      </c>
      <c r="L1801" s="84" t="s">
        <v>189</v>
      </c>
      <c r="M1801" s="84" t="s">
        <v>252</v>
      </c>
      <c r="N1801" s="201" t="s">
        <v>72</v>
      </c>
      <c r="O1801" s="200" t="s">
        <v>8447</v>
      </c>
      <c r="P1801" s="217" t="s">
        <v>8448</v>
      </c>
      <c r="Q1801" s="49" t="s">
        <v>75</v>
      </c>
      <c r="R1801" s="25" t="s">
        <v>91</v>
      </c>
      <c r="S1801" s="55"/>
      <c r="T1801" s="26"/>
      <c r="U1801" s="28" t="s">
        <v>8449</v>
      </c>
      <c r="V1801" s="66"/>
      <c r="W1801" s="138"/>
      <c r="X1801" s="106"/>
      <c r="Y1801" s="209"/>
      <c r="Z1801" s="210"/>
      <c r="AA1801" s="207"/>
      <c r="AC1801" s="217" t="s">
        <v>8211</v>
      </c>
      <c r="AD1801" t="s">
        <v>252</v>
      </c>
    </row>
    <row r="1802" spans="1:30" ht="62.25" hidden="1" customHeight="1">
      <c r="A1802" s="88">
        <f>A1801+1</f>
        <v>1792</v>
      </c>
      <c r="B1802" s="79" t="str">
        <f>+VLOOKUP(L1802,Code!$A$3:$B$17,2,FALSE)&amp;"-"&amp;VLOOKUP('1.아이디어LIST'!M1802,Code!$C$3:$D$17,2,FALSE)&amp;"-"&amp;VLOOKUP('1.아이디어LIST'!N1802,Code!$E$3:$F$8,2,FALSE)&amp;"-"&amp;COUNTIFS($L$11:L1802,L1802,$M$11:M1802,M1802,$N$11:N1802,N1802)</f>
        <v>CO/D-PI-CE-109</v>
      </c>
      <c r="C1802" s="148" t="str">
        <f>VLOOKUP(E1802,'(참고)재직자'!$A$2:$F$2761,3,0)</f>
        <v>건축</v>
      </c>
      <c r="D1802" s="80" t="str">
        <f>VLOOKUP(E1802,'(참고)재직자'!$A$2:$F$2761,5,0)</f>
        <v>현장</v>
      </c>
      <c r="E1802" s="27" t="s">
        <v>3166</v>
      </c>
      <c r="F1802" s="80" t="str">
        <f>VLOOKUP(E1802,'(참고)재직자'!$A$2:$F$2761,6,0)</f>
        <v>대리</v>
      </c>
      <c r="G1802" s="81" t="str">
        <f>VLOOKUP(E1802,'(참고)재직자'!$A$2:$F$2761,4,0)</f>
        <v>고잔연립9구역 재건축</v>
      </c>
      <c r="H1802" s="80" t="str">
        <f>VLOOKUP(E1802,'(참고)재직자'!$A$2:$F$2761,2,0)</f>
        <v>우상탁</v>
      </c>
      <c r="I1802" s="295">
        <v>46050</v>
      </c>
      <c r="J1802" s="80" t="str">
        <f>VLOOKUP('1.아이디어LIST'!L1802,Code!$A$21:$D$40,3,FALSE)&amp;", "&amp;VLOOKUP('1.아이디어LIST'!M1802,Code!$E$21:$H$45,3,FALSE)&amp;", "&amp;VLOOKUP('1.아이디어LIST'!M1802,Code!$E$21:$H$45,4,FALSE)</f>
        <v xml:space="preserve">고한울, 박재보, </v>
      </c>
      <c r="K1802" s="286" t="str">
        <f>VLOOKUP(L1802,Code!$A$21:$C$40,3,0)</f>
        <v>고한울</v>
      </c>
      <c r="L1802" s="84" t="s">
        <v>189</v>
      </c>
      <c r="M1802" s="84" t="s">
        <v>252</v>
      </c>
      <c r="N1802" s="201" t="s">
        <v>72</v>
      </c>
      <c r="O1802" s="200" t="s">
        <v>8450</v>
      </c>
      <c r="P1802" s="217" t="s">
        <v>8451</v>
      </c>
      <c r="Q1802" s="49" t="s">
        <v>75</v>
      </c>
      <c r="R1802" s="25" t="s">
        <v>91</v>
      </c>
      <c r="S1802" s="55"/>
      <c r="T1802" s="26"/>
      <c r="U1802" s="28" t="s">
        <v>8452</v>
      </c>
      <c r="V1802" s="66"/>
      <c r="W1802" s="138"/>
      <c r="X1802" s="106"/>
      <c r="Y1802" s="209"/>
      <c r="Z1802" s="210"/>
      <c r="AA1802" s="207"/>
      <c r="AC1802" s="217"/>
    </row>
    <row r="1803" spans="1:30" ht="63" hidden="1" customHeight="1">
      <c r="A1803" s="88">
        <f>A1802+1</f>
        <v>1793</v>
      </c>
      <c r="B1803" s="79" t="str">
        <f>+VLOOKUP(L1803,Code!$A$3:$B$17,2,FALSE)&amp;"-"&amp;VLOOKUP('1.아이디어LIST'!M1803,Code!$C$3:$D$17,2,FALSE)&amp;"-"&amp;VLOOKUP('1.아이디어LIST'!N1803,Code!$E$3:$F$8,2,FALSE)&amp;"-"&amp;COUNTIFS($L$11:L1803,L1803,$M$11:M1803,M1803,$N$11:N1803,N1803)</f>
        <v>EN/I-A/S-CE-12</v>
      </c>
      <c r="C1803" s="148" t="str">
        <f>VLOOKUP(E1803,'(참고)재직자'!$A$2:$F$2761,3,0)</f>
        <v>건축</v>
      </c>
      <c r="D1803" s="80" t="str">
        <f>VLOOKUP(E1803,'(참고)재직자'!$A$2:$F$2761,5,0)</f>
        <v>현장</v>
      </c>
      <c r="E1803" s="27" t="s">
        <v>2691</v>
      </c>
      <c r="F1803" s="80" t="str">
        <f>VLOOKUP(E1803,'(참고)재직자'!$A$2:$F$2761,6,0)</f>
        <v>대리</v>
      </c>
      <c r="G1803" s="81" t="str">
        <f>VLOOKUP(E1803,'(참고)재직자'!$A$2:$F$2761,4,0)</f>
        <v>청주 매봉공원</v>
      </c>
      <c r="H1803" s="80" t="str">
        <f>VLOOKUP(E1803,'(참고)재직자'!$A$2:$F$2761,2,0)</f>
        <v>권순민</v>
      </c>
      <c r="I1803" s="295">
        <v>46050</v>
      </c>
      <c r="J1803" s="80" t="str">
        <f>VLOOKUP('1.아이디어LIST'!L1803,Code!$A$21:$D$40,3,FALSE)&amp;", "&amp;VLOOKUP('1.아이디어LIST'!M1803,Code!$E$21:$H$45,3,FALSE)&amp;", "&amp;VLOOKUP('1.아이디어LIST'!M1803,Code!$E$21:$H$45,4,FALSE)</f>
        <v>김태용, 고한울, 박준용</v>
      </c>
      <c r="K1803" s="219" t="str">
        <f>VLOOKUP(L1803,Code!$A$21:$C$40,3,0)</f>
        <v>김태용</v>
      </c>
      <c r="L1803" s="84" t="s">
        <v>122</v>
      </c>
      <c r="M1803" s="84" t="s">
        <v>221</v>
      </c>
      <c r="N1803" s="201" t="s">
        <v>72</v>
      </c>
      <c r="O1803" s="200" t="s">
        <v>8453</v>
      </c>
      <c r="P1803" s="217" t="s">
        <v>8454</v>
      </c>
      <c r="Q1803" s="49" t="s">
        <v>91</v>
      </c>
      <c r="R1803" s="25"/>
      <c r="S1803" s="55"/>
      <c r="T1803" s="26"/>
      <c r="U1803" s="28" t="s">
        <v>8455</v>
      </c>
      <c r="V1803" s="66"/>
      <c r="W1803" s="138"/>
      <c r="X1803" s="106"/>
      <c r="Y1803" s="209"/>
      <c r="Z1803" s="210"/>
      <c r="AA1803" s="207"/>
      <c r="AC1803" s="217"/>
    </row>
    <row r="1804" spans="1:30" ht="52.5" hidden="1" customHeight="1">
      <c r="A1804" s="88">
        <f>A1803+1</f>
        <v>1794</v>
      </c>
      <c r="B1804" s="79" t="str">
        <f>+VLOOKUP(L1804,Code!$A$3:$B$17,2,FALSE)&amp;"-"&amp;VLOOKUP('1.아이디어LIST'!M1804,Code!$C$3:$D$17,2,FALSE)&amp;"-"&amp;VLOOKUP('1.아이디어LIST'!N1804,Code!$E$3:$F$8,2,FALSE)&amp;"-"&amp;COUNTIFS($L$11:L1804,L1804,$M$11:M1804,M1804,$N$11:N1804,N1804)</f>
        <v>CO/D-ID/H-CE-67</v>
      </c>
      <c r="C1804" s="148" t="str">
        <f>VLOOKUP(E1804,'(참고)재직자'!$A$2:$F$2761,3,0)</f>
        <v>인프라</v>
      </c>
      <c r="D1804" s="80" t="str">
        <f>VLOOKUP(E1804,'(참고)재직자'!$A$2:$F$2761,5,0)</f>
        <v>현장</v>
      </c>
      <c r="E1804" s="27" t="s">
        <v>5334</v>
      </c>
      <c r="F1804" s="80" t="str">
        <f>VLOOKUP(E1804,'(참고)재직자'!$A$2:$F$2761,6,0)</f>
        <v>과장</v>
      </c>
      <c r="G1804" s="81" t="str">
        <f>VLOOKUP(E1804,'(참고)재직자'!$A$2:$F$2761,4,0)</f>
        <v>춘천속초 철도노반 7공구</v>
      </c>
      <c r="H1804" s="80" t="str">
        <f>VLOOKUP(E1804,'(참고)재직자'!$A$2:$F$2761,2,0)</f>
        <v>이재환</v>
      </c>
      <c r="I1804" s="295">
        <v>46051</v>
      </c>
      <c r="J1804" s="80" t="str">
        <f>VLOOKUP('1.아이디어LIST'!L1804,Code!$A$21:$D$40,3,FALSE)&amp;", "&amp;VLOOKUP('1.아이디어LIST'!M1804,Code!$E$21:$H$45,3,FALSE)&amp;", "&amp;VLOOKUP('1.아이디어LIST'!M1804,Code!$E$21:$H$45,4,FALSE)</f>
        <v xml:space="preserve">고한울, 박재보, </v>
      </c>
      <c r="K1804" s="219" t="s">
        <v>3373</v>
      </c>
      <c r="L1804" s="84" t="s">
        <v>189</v>
      </c>
      <c r="M1804" s="84" t="s">
        <v>601</v>
      </c>
      <c r="N1804" s="201" t="s">
        <v>72</v>
      </c>
      <c r="O1804" s="310" t="s">
        <v>8456</v>
      </c>
      <c r="P1804" s="217" t="s">
        <v>8457</v>
      </c>
      <c r="Q1804" s="49" t="s">
        <v>75</v>
      </c>
      <c r="R1804" s="25" t="s">
        <v>504</v>
      </c>
      <c r="S1804" s="55">
        <v>21</v>
      </c>
      <c r="T1804" s="26"/>
      <c r="U1804" s="28" t="s">
        <v>8458</v>
      </c>
      <c r="V1804" s="66"/>
      <c r="W1804" s="138"/>
      <c r="X1804" s="106"/>
      <c r="Y1804" s="209"/>
      <c r="Z1804" s="210"/>
      <c r="AA1804" s="207"/>
      <c r="AC1804" s="217" t="s">
        <v>8211</v>
      </c>
      <c r="AD1804" t="s">
        <v>252</v>
      </c>
    </row>
    <row r="1805" spans="1:30" ht="61.5" hidden="1" customHeight="1">
      <c r="A1805" s="88">
        <f>A1804+1</f>
        <v>1795</v>
      </c>
      <c r="B1805" s="79" t="str">
        <f>+VLOOKUP(L1805,Code!$A$3:$B$17,2,FALSE)&amp;"-"&amp;VLOOKUP('1.아이디어LIST'!M1805,Code!$C$3:$D$17,2,FALSE)&amp;"-"&amp;VLOOKUP('1.아이디어LIST'!N1805,Code!$E$3:$F$8,2,FALSE)&amp;"-"&amp;COUNTIFS($L$11:L1805,L1805,$M$11:M1805,M1805,$N$11:N1805,N1805)</f>
        <v>EN/EX-Z-CE-4</v>
      </c>
      <c r="C1805" s="148" t="str">
        <f>VLOOKUP(E1805,'(참고)재직자'!$A$2:$F$2761,3,0)</f>
        <v>건축</v>
      </c>
      <c r="D1805" s="80" t="str">
        <f>VLOOKUP(E1805,'(참고)재직자'!$A$2:$F$2761,5,0)</f>
        <v>현장</v>
      </c>
      <c r="E1805" s="27" t="s">
        <v>3819</v>
      </c>
      <c r="F1805" s="80" t="str">
        <f>VLOOKUP(E1805,'(참고)재직자'!$A$2:$F$2761,6,0)</f>
        <v>사원</v>
      </c>
      <c r="G1805" s="81" t="str">
        <f>VLOOKUP(E1805,'(참고)재직자'!$A$2:$F$2761,4,0)</f>
        <v>아산 배방 생활숙박시설</v>
      </c>
      <c r="H1805" s="80" t="str">
        <f>VLOOKUP(E1805,'(참고)재직자'!$A$2:$F$2761,2,0)</f>
        <v>안병율</v>
      </c>
      <c r="I1805" s="295">
        <v>46051</v>
      </c>
      <c r="J1805" s="80" t="str">
        <f>VLOOKUP('1.아이디어LIST'!L1805,Code!$A$21:$D$40,3,FALSE)&amp;", "&amp;VLOOKUP('1.아이디어LIST'!M1805,Code!$E$21:$H$45,3,FALSE)&amp;", "&amp;VLOOKUP('1.아이디어LIST'!M1805,Code!$E$21:$H$45,4,FALSE)</f>
        <v xml:space="preserve">김태용, 박준용, </v>
      </c>
      <c r="K1805" s="219" t="str">
        <f>VLOOKUP(L1805,Code!$A$21:$C$40,3,0)</f>
        <v>김태용</v>
      </c>
      <c r="L1805" s="84" t="s">
        <v>113</v>
      </c>
      <c r="M1805" s="84" t="s">
        <v>784</v>
      </c>
      <c r="N1805" s="201" t="s">
        <v>72</v>
      </c>
      <c r="O1805" s="200" t="s">
        <v>8459</v>
      </c>
      <c r="P1805" s="217" t="s">
        <v>8460</v>
      </c>
      <c r="Q1805" s="49" t="s">
        <v>91</v>
      </c>
      <c r="R1805" s="25"/>
      <c r="S1805" s="55"/>
      <c r="T1805" s="26"/>
      <c r="U1805" s="28" t="s">
        <v>8461</v>
      </c>
      <c r="V1805" s="66"/>
      <c r="W1805" s="138"/>
      <c r="X1805" s="106"/>
      <c r="Y1805" s="209"/>
      <c r="Z1805" s="210"/>
      <c r="AA1805" s="207"/>
      <c r="AC1805" s="217"/>
    </row>
    <row r="1806" spans="1:30" ht="68.25" hidden="1" customHeight="1">
      <c r="A1806" s="88">
        <f>A1805+1</f>
        <v>1796</v>
      </c>
      <c r="B1806" s="79" t="str">
        <f>+VLOOKUP(L1806,Code!$A$3:$B$17,2,FALSE)&amp;"-"&amp;VLOOKUP('1.아이디어LIST'!M1806,Code!$C$3:$D$17,2,FALSE)&amp;"-"&amp;VLOOKUP('1.아이디어LIST'!N1806,Code!$E$3:$F$8,2,FALSE)&amp;"-"&amp;COUNTIFS($L$11:L1806,L1806,$M$11:M1806,M1806,$N$11:N1806,N1806)</f>
        <v>PR/C-A/S-CE-8</v>
      </c>
      <c r="C1806" s="148" t="str">
        <f>VLOOKUP(E1806,'(참고)재직자'!$A$2:$F$2761,3,0)</f>
        <v>건축</v>
      </c>
      <c r="D1806" s="80" t="str">
        <f>VLOOKUP(E1806,'(참고)재직자'!$A$2:$F$2761,5,0)</f>
        <v>현장</v>
      </c>
      <c r="E1806" s="27" t="s">
        <v>6028</v>
      </c>
      <c r="F1806" s="80" t="str">
        <f>VLOOKUP(E1806,'(참고)재직자'!$A$2:$F$2761,6,0)</f>
        <v>부장</v>
      </c>
      <c r="G1806" s="81" t="str">
        <f>VLOOKUP(E1806,'(참고)재직자'!$A$2:$F$2761,4,0)</f>
        <v>서울역 역세권 개발사업 호텔</v>
      </c>
      <c r="H1806" s="80" t="str">
        <f>VLOOKUP(E1806,'(참고)재직자'!$A$2:$F$2761,2,0)</f>
        <v>이형우</v>
      </c>
      <c r="I1806" s="295">
        <v>46051</v>
      </c>
      <c r="J1806" s="80" t="str">
        <f>VLOOKUP('1.아이디어LIST'!L1806,Code!$A$21:$D$40,3,FALSE)&amp;", "&amp;VLOOKUP('1.아이디어LIST'!M1806,Code!$E$21:$H$45,3,FALSE)&amp;", "&amp;VLOOKUP('1.아이디어LIST'!M1806,Code!$E$21:$H$45,4,FALSE)</f>
        <v>고한울, 고한울, 박준용</v>
      </c>
      <c r="K1806" s="219" t="s">
        <v>198</v>
      </c>
      <c r="L1806" s="84" t="s">
        <v>300</v>
      </c>
      <c r="M1806" s="84" t="s">
        <v>221</v>
      </c>
      <c r="N1806" s="201" t="s">
        <v>72</v>
      </c>
      <c r="O1806" s="200" t="s">
        <v>8462</v>
      </c>
      <c r="P1806" s="217" t="s">
        <v>8463</v>
      </c>
      <c r="Q1806" s="49" t="s">
        <v>504</v>
      </c>
      <c r="R1806" s="25"/>
      <c r="S1806" s="55"/>
      <c r="T1806" s="26"/>
      <c r="U1806" s="28" t="s">
        <v>8464</v>
      </c>
      <c r="V1806" s="66"/>
      <c r="W1806" s="138"/>
      <c r="X1806" s="106"/>
      <c r="Y1806" s="209"/>
      <c r="Z1806" s="210"/>
      <c r="AA1806" s="207"/>
      <c r="AC1806" s="217"/>
    </row>
    <row r="1807" spans="1:30" ht="68.25" hidden="1" customHeight="1">
      <c r="A1807" s="88">
        <f t="shared" ref="A1807:A1811" si="0">A1806+1</f>
        <v>1797</v>
      </c>
      <c r="B1807" s="79" t="str">
        <f>+VLOOKUP(L1807,Code!$A$3:$B$17,2,FALSE)&amp;"-"&amp;VLOOKUP('1.아이디어LIST'!M1807,Code!$C$3:$D$17,2,FALSE)&amp;"-"&amp;VLOOKUP('1.아이디어LIST'!N1807,Code!$E$3:$F$8,2,FALSE)&amp;"-"&amp;COUNTIFS($L$11:L1807,L1807,$M$11:M1807,M1807,$N$11:N1807,N1807)</f>
        <v>CO/D-ID/H-CE-68</v>
      </c>
      <c r="C1807" s="148" t="str">
        <f>VLOOKUP(E1807,'(참고)재직자'!$A$2:$F$2761,3,0)</f>
        <v>건축</v>
      </c>
      <c r="D1807" s="80" t="str">
        <f>VLOOKUP(E1807,'(참고)재직자'!$A$2:$F$2761,5,0)</f>
        <v>본사</v>
      </c>
      <c r="E1807" s="27" t="s">
        <v>588</v>
      </c>
      <c r="F1807" s="80" t="str">
        <f>VLOOKUP(E1807,'(참고)재직자'!$A$2:$F$2761,6,0)</f>
        <v>차장</v>
      </c>
      <c r="G1807" s="81" t="str">
        <f>VLOOKUP(E1807,'(참고)재직자'!$A$2:$F$2761,4,0)</f>
        <v>그린솔루션팀</v>
      </c>
      <c r="H1807" s="80" t="str">
        <f>VLOOKUP(E1807,'(참고)재직자'!$A$2:$F$2761,2,0)</f>
        <v>제은수</v>
      </c>
      <c r="I1807" s="295">
        <v>46051</v>
      </c>
      <c r="J1807" s="80" t="str">
        <f>VLOOKUP('1.아이디어LIST'!L1807,Code!$A$21:$D$40,3,FALSE)&amp;", "&amp;VLOOKUP('1.아이디어LIST'!M1807,Code!$E$21:$H$45,3,FALSE)&amp;", "&amp;VLOOKUP('1.아이디어LIST'!M1807,Code!$E$21:$H$45,4,FALSE)</f>
        <v xml:space="preserve">고한울, 박재보, </v>
      </c>
      <c r="K1807" s="219" t="s">
        <v>146</v>
      </c>
      <c r="L1807" s="84" t="s">
        <v>189</v>
      </c>
      <c r="M1807" s="84" t="s">
        <v>601</v>
      </c>
      <c r="N1807" s="201" t="s">
        <v>72</v>
      </c>
      <c r="O1807" s="200" t="s">
        <v>8465</v>
      </c>
      <c r="P1807" s="217" t="s">
        <v>8466</v>
      </c>
      <c r="Q1807" s="49" t="s">
        <v>504</v>
      </c>
      <c r="R1807" s="25"/>
      <c r="S1807" s="55"/>
      <c r="T1807" s="26"/>
      <c r="U1807" s="28" t="s">
        <v>8467</v>
      </c>
      <c r="V1807" s="66"/>
      <c r="W1807" s="138"/>
      <c r="X1807" s="106"/>
      <c r="Y1807" s="209"/>
      <c r="Z1807" s="210"/>
      <c r="AA1807" s="207"/>
      <c r="AC1807" s="217" t="s">
        <v>8211</v>
      </c>
    </row>
    <row r="1808" spans="1:30" ht="99.75" hidden="1" customHeight="1">
      <c r="A1808" s="88">
        <f t="shared" si="0"/>
        <v>1798</v>
      </c>
      <c r="B1808" s="79" t="str">
        <f>+VLOOKUP(L1808,Code!$A$3:$B$17,2,FALSE)&amp;"-"&amp;VLOOKUP('1.아이디어LIST'!M1808,Code!$C$3:$D$17,2,FALSE)&amp;"-"&amp;VLOOKUP('1.아이디어LIST'!N1808,Code!$E$3:$F$8,2,FALSE)&amp;"-"&amp;COUNTIFS($L$11:L1808,L1808,$M$11:M1808,M1808,$N$11:N1808,N1808)</f>
        <v>CO/I-PI-SNA-10</v>
      </c>
      <c r="C1808" s="148" t="str">
        <f>VLOOKUP(E1808,'(참고)재직자'!$A$2:$F$2761,3,0)</f>
        <v>건축</v>
      </c>
      <c r="D1808" s="80" t="str">
        <f>VLOOKUP(E1808,'(참고)재직자'!$A$2:$F$2761,5,0)</f>
        <v>본사</v>
      </c>
      <c r="E1808" s="27" t="s">
        <v>315</v>
      </c>
      <c r="F1808" s="80" t="str">
        <f>VLOOKUP(E1808,'(참고)재직자'!$A$2:$F$2761,6,0)</f>
        <v>차장</v>
      </c>
      <c r="G1808" s="81" t="str">
        <f>VLOOKUP(E1808,'(참고)재직자'!$A$2:$F$2761,4,0)</f>
        <v>건축지원팀</v>
      </c>
      <c r="H1808" s="80" t="str">
        <f>VLOOKUP(E1808,'(참고)재직자'!$A$2:$F$2761,2,0)</f>
        <v>정성훈</v>
      </c>
      <c r="I1808" s="295">
        <v>46051</v>
      </c>
      <c r="J1808" s="80" t="str">
        <f>VLOOKUP('1.아이디어LIST'!L1808,Code!$A$21:$D$40,3,FALSE)&amp;", "&amp;VLOOKUP('1.아이디어LIST'!M1808,Code!$E$21:$H$45,3,FALSE)&amp;", "&amp;VLOOKUP('1.아이디어LIST'!M1808,Code!$E$21:$H$45,4,FALSE)</f>
        <v xml:space="preserve">박재보, 박재보, </v>
      </c>
      <c r="K1808" s="219" t="str">
        <f>VLOOKUP(L1808,Code!$A$21:$C$40,3,0)</f>
        <v>박재보</v>
      </c>
      <c r="L1808" s="84" t="s">
        <v>100</v>
      </c>
      <c r="M1808" s="84" t="s">
        <v>252</v>
      </c>
      <c r="N1808" s="201" t="s">
        <v>920</v>
      </c>
      <c r="O1808" s="200" t="s">
        <v>8468</v>
      </c>
      <c r="P1808" s="217" t="s">
        <v>8469</v>
      </c>
      <c r="Q1808" s="49" t="s">
        <v>91</v>
      </c>
      <c r="R1808" s="25"/>
      <c r="S1808" s="55"/>
      <c r="T1808" s="26"/>
      <c r="U1808" s="28" t="s">
        <v>8470</v>
      </c>
      <c r="V1808" s="66"/>
      <c r="W1808" s="138"/>
      <c r="X1808" s="106"/>
      <c r="Y1808" s="209"/>
      <c r="Z1808" s="210"/>
      <c r="AA1808" s="207"/>
      <c r="AC1808" s="217"/>
    </row>
    <row r="1809" spans="1:29" ht="62.25" hidden="1" customHeight="1">
      <c r="A1809" s="88">
        <f t="shared" si="0"/>
        <v>1799</v>
      </c>
      <c r="B1809" s="79" t="str">
        <f>+VLOOKUP(L1809,Code!$A$3:$B$17,2,FALSE)&amp;"-"&amp;VLOOKUP('1.아이디어LIST'!M1809,Code!$C$3:$D$17,2,FALSE)&amp;"-"&amp;VLOOKUP('1.아이디어LIST'!N1809,Code!$E$3:$F$8,2,FALSE)&amp;"-"&amp;COUNTIFS($L$11:L1809,L1809,$M$11:M1809,M1809,$N$11:N1809,N1809)</f>
        <v>EN/I-A/F-CE-107</v>
      </c>
      <c r="C1809" s="148" t="str">
        <f>VLOOKUP(E1809,'(참고)재직자'!$A$2:$F$2761,3,0)</f>
        <v>건축</v>
      </c>
      <c r="D1809" s="80" t="str">
        <f>VLOOKUP(E1809,'(참고)재직자'!$A$2:$F$2761,5,0)</f>
        <v>현장</v>
      </c>
      <c r="E1809" s="27" t="s">
        <v>2636</v>
      </c>
      <c r="F1809" s="80" t="str">
        <f>VLOOKUP(E1809,'(참고)재직자'!$A$2:$F$2761,6,0)</f>
        <v>과장</v>
      </c>
      <c r="G1809" s="81" t="str">
        <f>VLOOKUP(E1809,'(참고)재직자'!$A$2:$F$2761,4,0)</f>
        <v>충주 용산주공 재건축</v>
      </c>
      <c r="H1809" s="80" t="str">
        <f>VLOOKUP(E1809,'(참고)재직자'!$A$2:$F$2761,2,0)</f>
        <v>양형석</v>
      </c>
      <c r="I1809" s="295">
        <v>46051</v>
      </c>
      <c r="J1809" s="80" t="str">
        <f>VLOOKUP('1.아이디어LIST'!L1809,Code!$A$21:$D$40,3,FALSE)&amp;", "&amp;VLOOKUP('1.아이디어LIST'!M1809,Code!$E$21:$H$45,3,FALSE)&amp;", "&amp;VLOOKUP('1.아이디어LIST'!M1809,Code!$E$21:$H$45,4,FALSE)</f>
        <v>김태용, 고한울, 김태용</v>
      </c>
      <c r="K1809" s="219" t="str">
        <f>VLOOKUP(L1809,Code!$A$21:$C$40,3,0)</f>
        <v>김태용</v>
      </c>
      <c r="L1809" s="84" t="s">
        <v>122</v>
      </c>
      <c r="M1809" s="84" t="s">
        <v>114</v>
      </c>
      <c r="N1809" s="201" t="s">
        <v>72</v>
      </c>
      <c r="O1809" s="200" t="s">
        <v>8471</v>
      </c>
      <c r="P1809" s="217" t="s">
        <v>8472</v>
      </c>
      <c r="Q1809" s="49" t="s">
        <v>75</v>
      </c>
      <c r="R1809" s="25" t="s">
        <v>91</v>
      </c>
      <c r="S1809" s="55"/>
      <c r="T1809" s="26"/>
      <c r="U1809" s="28" t="s">
        <v>8473</v>
      </c>
      <c r="V1809" s="66"/>
      <c r="W1809" s="138"/>
      <c r="X1809" s="106"/>
      <c r="Y1809" s="209"/>
      <c r="Z1809" s="210"/>
      <c r="AA1809" s="207"/>
      <c r="AC1809" s="217"/>
    </row>
    <row r="1810" spans="1:29" ht="154.5" hidden="1" customHeight="1">
      <c r="A1810" s="88">
        <f t="shared" si="0"/>
        <v>1800</v>
      </c>
      <c r="B1810" s="79" t="str">
        <f>+VLOOKUP(L1810,Code!$A$3:$B$17,2,FALSE)&amp;"-"&amp;VLOOKUP('1.아이디어LIST'!M1810,Code!$C$3:$D$17,2,FALSE)&amp;"-"&amp;VLOOKUP('1.아이디어LIST'!N1810,Code!$E$3:$F$8,2,FALSE)&amp;"-"&amp;COUNTIFS($L$11:L1810,L1810,$M$11:M1810,M1810,$N$11:N1810,N1810)</f>
        <v>CO/D-PI-CE-110</v>
      </c>
      <c r="C1810" s="148" t="str">
        <f>VLOOKUP(E1810,'(참고)재직자'!$A$2:$F$2761,3,0)</f>
        <v>건축</v>
      </c>
      <c r="D1810" s="80" t="str">
        <f>VLOOKUP(E1810,'(참고)재직자'!$A$2:$F$2761,5,0)</f>
        <v>현장</v>
      </c>
      <c r="E1810" s="27" t="s">
        <v>8474</v>
      </c>
      <c r="F1810" s="80" t="str">
        <f>VLOOKUP(E1810,'(참고)재직자'!$A$2:$F$2761,6,0)</f>
        <v>대리</v>
      </c>
      <c r="G1810" s="81" t="str">
        <f>VLOOKUP(E1810,'(참고)재직자'!$A$2:$F$2761,4,0)</f>
        <v>춘천 프리미엄 빌리지 건설공사</v>
      </c>
      <c r="H1810" s="80" t="str">
        <f>VLOOKUP(E1810,'(참고)재직자'!$A$2:$F$2761,2,0)</f>
        <v>양대근</v>
      </c>
      <c r="I1810" s="295">
        <v>46051</v>
      </c>
      <c r="J1810" s="80" t="str">
        <f>VLOOKUP('1.아이디어LIST'!L1810,Code!$A$21:$D$40,3,FALSE)&amp;", "&amp;VLOOKUP('1.아이디어LIST'!M1810,Code!$E$21:$H$45,3,FALSE)&amp;", "&amp;VLOOKUP('1.아이디어LIST'!M1810,Code!$E$21:$H$45,4,FALSE)</f>
        <v xml:space="preserve">고한울, 박재보, </v>
      </c>
      <c r="K1810" s="219" t="s">
        <v>86</v>
      </c>
      <c r="L1810" s="84" t="s">
        <v>189</v>
      </c>
      <c r="M1810" s="84" t="s">
        <v>252</v>
      </c>
      <c r="N1810" s="201" t="s">
        <v>72</v>
      </c>
      <c r="O1810" s="200" t="s">
        <v>8475</v>
      </c>
      <c r="P1810" s="217"/>
      <c r="Q1810" s="49" t="s">
        <v>75</v>
      </c>
      <c r="R1810" s="25" t="s">
        <v>504</v>
      </c>
      <c r="S1810" s="55"/>
      <c r="T1810" s="26"/>
      <c r="U1810" s="28" t="s">
        <v>8476</v>
      </c>
      <c r="V1810" s="66"/>
      <c r="W1810" s="138"/>
      <c r="X1810" s="106"/>
      <c r="Y1810" s="209"/>
      <c r="Z1810" s="210"/>
      <c r="AA1810" s="207"/>
      <c r="AC1810" s="217"/>
    </row>
    <row r="1811" spans="1:29" ht="83.25" hidden="1" customHeight="1">
      <c r="A1811" s="88">
        <f t="shared" si="0"/>
        <v>1801</v>
      </c>
      <c r="B1811" s="79" t="str">
        <f>+VLOOKUP(L1811,Code!$A$3:$B$17,2,FALSE)&amp;"-"&amp;VLOOKUP('1.아이디어LIST'!M1811,Code!$C$3:$D$17,2,FALSE)&amp;"-"&amp;VLOOKUP('1.아이디어LIST'!N1811,Code!$E$3:$F$8,2,FALSE)&amp;"-"&amp;COUNTIFS($L$11:L1811,L1811,$M$11:M1811,M1811,$N$11:N1811,N1811)</f>
        <v>CO/I-PI-CE-82</v>
      </c>
      <c r="C1811" s="148" t="str">
        <f>VLOOKUP(E1811,'(참고)재직자'!$A$2:$F$2761,3,0)</f>
        <v>건축</v>
      </c>
      <c r="D1811" s="80" t="str">
        <f>VLOOKUP(E1811,'(참고)재직자'!$A$2:$F$2761,5,0)</f>
        <v>현장</v>
      </c>
      <c r="E1811" s="27" t="s">
        <v>8477</v>
      </c>
      <c r="F1811" s="80" t="str">
        <f>VLOOKUP(E1811,'(참고)재직자'!$A$2:$F$2761,6,0)</f>
        <v>대리</v>
      </c>
      <c r="G1811" s="81" t="str">
        <f>VLOOKUP(E1811,'(참고)재직자'!$A$2:$F$2761,4,0)</f>
        <v>상인천초교주변 재개발</v>
      </c>
      <c r="H1811" s="80" t="str">
        <f>VLOOKUP(E1811,'(참고)재직자'!$A$2:$F$2761,2,0)</f>
        <v>구혜진</v>
      </c>
      <c r="I1811" s="295">
        <v>46051</v>
      </c>
      <c r="J1811" s="80" t="str">
        <f>VLOOKUP('1.아이디어LIST'!L1811,Code!$A$21:$D$40,3,FALSE)&amp;", "&amp;VLOOKUP('1.아이디어LIST'!M1811,Code!$E$21:$H$45,3,FALSE)&amp;", "&amp;VLOOKUP('1.아이디어LIST'!M1811,Code!$E$21:$H$45,4,FALSE)</f>
        <v xml:space="preserve">박재보, 박재보, </v>
      </c>
      <c r="K1811" s="219" t="str">
        <f>VLOOKUP(L1811,Code!$A$21:$C$40,3,0)</f>
        <v>박재보</v>
      </c>
      <c r="L1811" s="84" t="s">
        <v>100</v>
      </c>
      <c r="M1811" s="84" t="s">
        <v>252</v>
      </c>
      <c r="N1811" s="201" t="s">
        <v>72</v>
      </c>
      <c r="O1811" s="200" t="s">
        <v>8478</v>
      </c>
      <c r="P1811" s="217" t="s">
        <v>8479</v>
      </c>
      <c r="Q1811" s="49" t="s">
        <v>91</v>
      </c>
      <c r="R1811" s="25"/>
      <c r="S1811" s="55"/>
      <c r="T1811" s="26"/>
      <c r="U1811" s="28" t="s">
        <v>8480</v>
      </c>
      <c r="V1811" s="66"/>
      <c r="W1811" s="138"/>
      <c r="X1811" s="106"/>
      <c r="Y1811" s="209"/>
      <c r="Z1811" s="210"/>
      <c r="AA1811" s="207"/>
      <c r="AC1811" s="217"/>
    </row>
    <row r="1812" spans="1:29" ht="58.5" hidden="1" customHeight="1">
      <c r="A1812" s="88">
        <f t="shared" ref="A1812" si="1">A1811+1</f>
        <v>1802</v>
      </c>
      <c r="B1812" s="79" t="str">
        <f>+VLOOKUP(L1812,Code!$A$3:$B$17,2,FALSE)&amp;"-"&amp;VLOOKUP('1.아이디어LIST'!M1812,Code!$C$3:$D$17,2,FALSE)&amp;"-"&amp;VLOOKUP('1.아이디어LIST'!N1812,Code!$E$3:$F$8,2,FALSE)&amp;"-"&amp;COUNTIFS($L$11:L1812,L1812,$M$11:M1812,M1812,$N$11:N1812,N1812)</f>
        <v>CO/D-PI-SNA-2</v>
      </c>
      <c r="C1812" s="148" t="str">
        <f>VLOOKUP(E1812,'(참고)재직자'!$A$2:$F$2761,3,0)</f>
        <v>건축</v>
      </c>
      <c r="D1812" s="80" t="str">
        <f>VLOOKUP(E1812,'(참고)재직자'!$A$2:$F$2761,5,0)</f>
        <v>본사</v>
      </c>
      <c r="E1812" s="27" t="s">
        <v>315</v>
      </c>
      <c r="F1812" s="80" t="str">
        <f>VLOOKUP(E1812,'(참고)재직자'!$A$2:$F$2761,6,0)</f>
        <v>차장</v>
      </c>
      <c r="G1812" s="81" t="str">
        <f>VLOOKUP(E1812,'(참고)재직자'!$A$2:$F$2761,4,0)</f>
        <v>건축지원팀</v>
      </c>
      <c r="H1812" s="80" t="str">
        <f>VLOOKUP(E1812,'(참고)재직자'!$A$2:$F$2761,2,0)</f>
        <v>정성훈</v>
      </c>
      <c r="I1812" s="295">
        <v>46058</v>
      </c>
      <c r="J1812" s="80" t="str">
        <f>VLOOKUP('1.아이디어LIST'!L1812,Code!$A$21:$D$40,3,FALSE)&amp;", "&amp;VLOOKUP('1.아이디어LIST'!M1812,Code!$E$21:$H$45,3,FALSE)&amp;", "&amp;VLOOKUP('1.아이디어LIST'!M1812,Code!$E$21:$H$45,4,FALSE)</f>
        <v xml:space="preserve">고한울, 박재보, </v>
      </c>
      <c r="K1812" s="219" t="str">
        <f>VLOOKUP(L1812,Code!$A$21:$C$40,3,0)</f>
        <v>고한울</v>
      </c>
      <c r="L1812" s="84" t="s">
        <v>189</v>
      </c>
      <c r="M1812" s="84" t="s">
        <v>252</v>
      </c>
      <c r="N1812" s="201" t="s">
        <v>920</v>
      </c>
      <c r="O1812" s="200" t="s">
        <v>8481</v>
      </c>
      <c r="P1812" s="217" t="s">
        <v>8482</v>
      </c>
      <c r="Q1812" s="49" t="s">
        <v>75</v>
      </c>
      <c r="R1812" s="25" t="s">
        <v>504</v>
      </c>
      <c r="S1812" s="55"/>
      <c r="T1812" s="26"/>
      <c r="U1812" s="28" t="s">
        <v>8483</v>
      </c>
      <c r="V1812" s="66"/>
      <c r="W1812" s="138"/>
      <c r="X1812" s="106"/>
      <c r="Y1812" s="209"/>
      <c r="Z1812" s="210"/>
      <c r="AA1812" s="207"/>
      <c r="AC1812" s="217"/>
    </row>
    <row r="1813" spans="1:29" ht="74.25" hidden="1" customHeight="1">
      <c r="A1813" s="88">
        <f t="shared" ref="A1813" si="2">A1812+1</f>
        <v>1803</v>
      </c>
      <c r="B1813" s="79" t="str">
        <f>+VLOOKUP(L1813,Code!$A$3:$B$17,2,FALSE)&amp;"-"&amp;VLOOKUP('1.아이디어LIST'!M1813,Code!$C$3:$D$17,2,FALSE)&amp;"-"&amp;VLOOKUP('1.아이디어LIST'!N1813,Code!$E$3:$F$8,2,FALSE)&amp;"-"&amp;COUNTIFS($L$11:L1813,L1813,$M$11:M1813,M1813,$N$11:N1813,N1813)</f>
        <v>PR/C-ID/H-CE-3</v>
      </c>
      <c r="C1813" s="148" t="str">
        <f>VLOOKUP(E1813,'(참고)재직자'!$A$2:$F$2761,3,0)</f>
        <v>건축</v>
      </c>
      <c r="D1813" s="80" t="str">
        <f>VLOOKUP(E1813,'(참고)재직자'!$A$2:$F$2761,5,0)</f>
        <v>현장</v>
      </c>
      <c r="E1813" s="27" t="s">
        <v>2631</v>
      </c>
      <c r="F1813" s="80" t="str">
        <f>VLOOKUP(E1813,'(참고)재직자'!$A$2:$F$2761,6,0)</f>
        <v>차장</v>
      </c>
      <c r="G1813" s="81" t="str">
        <f>VLOOKUP(E1813,'(참고)재직자'!$A$2:$F$2761,4,0)</f>
        <v>충주 용산주공 재건축</v>
      </c>
      <c r="H1813" s="80" t="str">
        <f>VLOOKUP(E1813,'(참고)재직자'!$A$2:$F$2761,2,0)</f>
        <v>윤희준</v>
      </c>
      <c r="I1813" s="295">
        <v>46058</v>
      </c>
      <c r="J1813" s="80" t="str">
        <f>VLOOKUP('1.아이디어LIST'!L1813,Code!$A$21:$D$40,3,FALSE)&amp;", "&amp;VLOOKUP('1.아이디어LIST'!M1813,Code!$E$21:$H$45,3,FALSE)&amp;", "&amp;VLOOKUP('1.아이디어LIST'!M1813,Code!$E$21:$H$45,4,FALSE)</f>
        <v xml:space="preserve">고한울, 박재보, </v>
      </c>
      <c r="K1813" s="219" t="str">
        <f>VLOOKUP(L1813,Code!$A$21:$C$40,3,0)</f>
        <v>고한울</v>
      </c>
      <c r="L1813" s="84" t="s">
        <v>300</v>
      </c>
      <c r="M1813" s="84" t="s">
        <v>601</v>
      </c>
      <c r="N1813" s="201" t="s">
        <v>72</v>
      </c>
      <c r="O1813" s="200" t="s">
        <v>8484</v>
      </c>
      <c r="P1813" s="217" t="s">
        <v>8485</v>
      </c>
      <c r="Q1813" s="49" t="s">
        <v>75</v>
      </c>
      <c r="R1813" s="25" t="s">
        <v>91</v>
      </c>
      <c r="S1813" s="55"/>
      <c r="T1813" s="26"/>
      <c r="U1813" s="28" t="s">
        <v>8486</v>
      </c>
      <c r="V1813" s="66"/>
      <c r="W1813" s="138"/>
      <c r="X1813" s="106"/>
      <c r="Y1813" s="209"/>
      <c r="Z1813" s="210"/>
      <c r="AA1813" s="207"/>
      <c r="AC1813" s="217"/>
    </row>
    <row r="1814" spans="1:29" ht="63.75" hidden="1" customHeight="1">
      <c r="A1814" s="88">
        <f t="shared" ref="A1814" si="3">A1813+1</f>
        <v>1804</v>
      </c>
      <c r="B1814" s="79" t="str">
        <f>+VLOOKUP(L1814,Code!$A$3:$B$17,2,FALSE)&amp;"-"&amp;VLOOKUP('1.아이디어LIST'!M1814,Code!$C$3:$D$17,2,FALSE)&amp;"-"&amp;VLOOKUP('1.아이디어LIST'!N1814,Code!$E$3:$F$8,2,FALSE)&amp;"-"&amp;COUNTIFS($L$11:L1814,L1814,$M$11:M1814,M1814,$N$11:N1814,N1814)</f>
        <v>CO/I-YY-CE-27</v>
      </c>
      <c r="C1814" s="148" t="str">
        <f>VLOOKUP(E1814,'(참고)재직자'!$A$2:$F$2761,3,0)</f>
        <v>건축</v>
      </c>
      <c r="D1814" s="80" t="str">
        <f>VLOOKUP(E1814,'(참고)재직자'!$A$2:$F$2761,5,0)</f>
        <v>본사</v>
      </c>
      <c r="E1814" s="27" t="s">
        <v>1997</v>
      </c>
      <c r="F1814" s="80" t="str">
        <f>VLOOKUP(E1814,'(참고)재직자'!$A$2:$F$2761,6,0)</f>
        <v>사원</v>
      </c>
      <c r="G1814" s="81" t="str">
        <f>VLOOKUP(E1814,'(참고)재직자'!$A$2:$F$2761,4,0)</f>
        <v>건축지원팀</v>
      </c>
      <c r="H1814" s="80" t="str">
        <f>VLOOKUP(E1814,'(참고)재직자'!$A$2:$F$2761,2,0)</f>
        <v>정선우</v>
      </c>
      <c r="I1814" s="295">
        <v>46058</v>
      </c>
      <c r="J1814" s="80" t="str">
        <f>VLOOKUP('1.아이디어LIST'!L1814,Code!$A$21:$D$40,3,FALSE)&amp;", "&amp;VLOOKUP('1.아이디어LIST'!M1814,Code!$E$21:$H$45,3,FALSE)&amp;", "&amp;VLOOKUP('1.아이디어LIST'!M1814,Code!$E$21:$H$45,4,FALSE)</f>
        <v xml:space="preserve">박재보, 박재보, </v>
      </c>
      <c r="K1814" s="219" t="str">
        <f>VLOOKUP(L1814,Code!$A$21:$C$40,3,0)</f>
        <v>박재보</v>
      </c>
      <c r="L1814" s="84" t="s">
        <v>100</v>
      </c>
      <c r="M1814" s="84" t="s">
        <v>595</v>
      </c>
      <c r="N1814" s="201" t="s">
        <v>72</v>
      </c>
      <c r="O1814" s="200" t="s">
        <v>8487</v>
      </c>
      <c r="P1814" s="217" t="s">
        <v>8488</v>
      </c>
      <c r="Q1814" s="49" t="s">
        <v>75</v>
      </c>
      <c r="R1814" s="25" t="s">
        <v>504</v>
      </c>
      <c r="S1814" s="55"/>
      <c r="T1814" s="26"/>
      <c r="U1814" s="28" t="s">
        <v>8489</v>
      </c>
      <c r="V1814" s="66"/>
      <c r="W1814" s="138"/>
      <c r="X1814" s="106"/>
      <c r="Y1814" s="209"/>
      <c r="Z1814" s="210"/>
      <c r="AA1814" s="207"/>
      <c r="AC1814" s="217"/>
    </row>
    <row r="1815" spans="1:29" ht="70.5" hidden="1" customHeight="1">
      <c r="A1815" s="88">
        <f t="shared" ref="A1815" si="4">A1814+1</f>
        <v>1805</v>
      </c>
      <c r="B1815" s="79" t="str">
        <f>+VLOOKUP(L1815,Code!$A$3:$B$17,2,FALSE)&amp;"-"&amp;VLOOKUP('1.아이디어LIST'!M1815,Code!$C$3:$D$17,2,FALSE)&amp;"-"&amp;VLOOKUP('1.아이디어LIST'!N1815,Code!$E$3:$F$8,2,FALSE)&amp;"-"&amp;COUNTIFS($L$11:L1815,L1815,$M$11:M1815,M1815,$N$11:N1815,N1815)</f>
        <v>CO/D-ID/Z-CE-2</v>
      </c>
      <c r="C1815" s="148" t="str">
        <f>VLOOKUP(E1815,'(참고)재직자'!$A$2:$F$2761,3,0)</f>
        <v>건축</v>
      </c>
      <c r="D1815" s="80" t="str">
        <f>VLOOKUP(E1815,'(참고)재직자'!$A$2:$F$2761,5,0)</f>
        <v>본사</v>
      </c>
      <c r="E1815" s="27" t="s">
        <v>8490</v>
      </c>
      <c r="F1815" s="80" t="str">
        <f>VLOOKUP(E1815,'(참고)재직자'!$A$2:$F$2761,6,0)</f>
        <v>과장</v>
      </c>
      <c r="G1815" s="81" t="str">
        <f>VLOOKUP(E1815,'(참고)재직자'!$A$2:$F$2761,4,0)</f>
        <v>건축지원팀</v>
      </c>
      <c r="H1815" s="80" t="str">
        <f>VLOOKUP(E1815,'(참고)재직자'!$A$2:$F$2761,2,0)</f>
        <v>김경민</v>
      </c>
      <c r="I1815" s="295">
        <v>46058</v>
      </c>
      <c r="J1815" s="80" t="str">
        <f>VLOOKUP('1.아이디어LIST'!L1815,Code!$A$21:$D$40,3,FALSE)&amp;", "&amp;VLOOKUP('1.아이디어LIST'!M1815,Code!$E$21:$H$45,3,FALSE)&amp;", "&amp;VLOOKUP('1.아이디어LIST'!M1815,Code!$E$21:$H$45,4,FALSE)</f>
        <v xml:space="preserve">고한울, 박재보, </v>
      </c>
      <c r="K1815" s="219" t="str">
        <f>VLOOKUP(L1815,Code!$A$21:$C$40,3,0)</f>
        <v>고한울</v>
      </c>
      <c r="L1815" s="84" t="s">
        <v>189</v>
      </c>
      <c r="M1815" s="84" t="s">
        <v>904</v>
      </c>
      <c r="N1815" s="201" t="s">
        <v>72</v>
      </c>
      <c r="O1815" s="200" t="s">
        <v>8491</v>
      </c>
      <c r="P1815" s="217" t="s">
        <v>8492</v>
      </c>
      <c r="Q1815" s="49" t="s">
        <v>91</v>
      </c>
      <c r="R1815" s="25"/>
      <c r="S1815" s="55"/>
      <c r="T1815" s="26"/>
      <c r="U1815" s="28" t="s">
        <v>8493</v>
      </c>
      <c r="V1815" s="66"/>
      <c r="W1815" s="138"/>
      <c r="X1815" s="106"/>
      <c r="Y1815" s="209"/>
      <c r="Z1815" s="210"/>
      <c r="AA1815" s="207"/>
      <c r="AC1815" s="217"/>
    </row>
    <row r="1816" spans="1:29" ht="80.25" hidden="1" customHeight="1">
      <c r="A1816" s="88">
        <f t="shared" ref="A1816" si="5">A1815+1</f>
        <v>1806</v>
      </c>
      <c r="B1816" s="79" t="str">
        <f>+VLOOKUP(L1816,Code!$A$3:$B$17,2,FALSE)&amp;"-"&amp;VLOOKUP('1.아이디어LIST'!M1816,Code!$C$3:$D$17,2,FALSE)&amp;"-"&amp;VLOOKUP('1.아이디어LIST'!N1816,Code!$E$3:$F$8,2,FALSE)&amp;"-"&amp;COUNTIFS($L$11:L1816,L1816,$M$11:M1816,M1816,$N$11:N1816,N1816)</f>
        <v>CO/Z-PI-SNA-70</v>
      </c>
      <c r="C1816" s="148" t="str">
        <f>VLOOKUP(E1816,'(참고)재직자'!$A$2:$F$2761,3,0)</f>
        <v>건축</v>
      </c>
      <c r="D1816" s="80" t="str">
        <f>VLOOKUP(E1816,'(참고)재직자'!$A$2:$F$2761,5,0)</f>
        <v>본사</v>
      </c>
      <c r="E1816" s="27" t="s">
        <v>1997</v>
      </c>
      <c r="F1816" s="80" t="str">
        <f>VLOOKUP(E1816,'(참고)재직자'!$A$2:$F$2761,6,0)</f>
        <v>사원</v>
      </c>
      <c r="G1816" s="81" t="str">
        <f>VLOOKUP(E1816,'(참고)재직자'!$A$2:$F$2761,4,0)</f>
        <v>건축지원팀</v>
      </c>
      <c r="H1816" s="80" t="str">
        <f>VLOOKUP(E1816,'(참고)재직자'!$A$2:$F$2761,2,0)</f>
        <v>정선우</v>
      </c>
      <c r="I1816" s="295">
        <v>46062</v>
      </c>
      <c r="J1816" s="80" t="str">
        <f>VLOOKUP('1.아이디어LIST'!L1816,Code!$A$21:$D$40,3,FALSE)&amp;", "&amp;VLOOKUP('1.아이디어LIST'!M1816,Code!$E$21:$H$45,3,FALSE)&amp;", "&amp;VLOOKUP('1.아이디어LIST'!M1816,Code!$E$21:$H$45,4,FALSE)</f>
        <v xml:space="preserve">박재보, 박재보, </v>
      </c>
      <c r="K1816" s="219" t="str">
        <f>VLOOKUP(L1816,Code!$A$21:$C$40,3,0)</f>
        <v>박재보</v>
      </c>
      <c r="L1816" s="84" t="s">
        <v>251</v>
      </c>
      <c r="M1816" s="84" t="s">
        <v>252</v>
      </c>
      <c r="N1816" s="201" t="s">
        <v>920</v>
      </c>
      <c r="O1816" s="200" t="s">
        <v>8494</v>
      </c>
      <c r="P1816" s="217" t="s">
        <v>8495</v>
      </c>
      <c r="Q1816" s="49" t="s">
        <v>91</v>
      </c>
      <c r="R1816" s="25"/>
      <c r="S1816" s="55"/>
      <c r="T1816" s="26"/>
      <c r="U1816" s="28" t="s">
        <v>8496</v>
      </c>
      <c r="V1816" s="66"/>
      <c r="W1816" s="138"/>
      <c r="X1816" s="106"/>
      <c r="Y1816" s="209"/>
      <c r="Z1816" s="210"/>
      <c r="AA1816" s="207"/>
      <c r="AC1816" s="217"/>
    </row>
    <row r="1817" spans="1:29" ht="103.5" hidden="1" customHeight="1">
      <c r="A1817" s="88">
        <f t="shared" ref="A1817:A1818" si="6">A1816+1</f>
        <v>1807</v>
      </c>
      <c r="B1817" s="79" t="str">
        <f>+VLOOKUP(L1817,Code!$A$3:$B$17,2,FALSE)&amp;"-"&amp;VLOOKUP('1.아이디어LIST'!M1817,Code!$C$3:$D$17,2,FALSE)&amp;"-"&amp;VLOOKUP('1.아이디어LIST'!N1817,Code!$E$3:$F$8,2,FALSE)&amp;"-"&amp;COUNTIFS($L$11:L1817,L1817,$M$11:M1817,M1817,$N$11:N1817,N1817)</f>
        <v>EN/S-C-CE-32</v>
      </c>
      <c r="C1817" s="148" t="str">
        <f>VLOOKUP(E1817,'(참고)재직자'!$A$2:$F$2761,3,0)</f>
        <v>인프라</v>
      </c>
      <c r="D1817" s="80" t="str">
        <f>VLOOKUP(E1817,'(참고)재직자'!$A$2:$F$2761,5,0)</f>
        <v>현장</v>
      </c>
      <c r="E1817" s="27" t="s">
        <v>3854</v>
      </c>
      <c r="F1817" s="80" t="str">
        <f>VLOOKUP(E1817,'(참고)재직자'!$A$2:$F$2761,6,0)</f>
        <v>과장</v>
      </c>
      <c r="G1817" s="81" t="str">
        <f>VLOOKUP(E1817,'(참고)재직자'!$A$2:$F$2761,4,0)</f>
        <v>광양항 율촌 물류단지 조성공사</v>
      </c>
      <c r="H1817" s="80" t="str">
        <f>VLOOKUP(E1817,'(참고)재직자'!$A$2:$F$2761,2,0)</f>
        <v>강달호</v>
      </c>
      <c r="I1817" s="295">
        <v>46062</v>
      </c>
      <c r="J1817" s="80" t="str">
        <f>VLOOKUP('1.아이디어LIST'!L1817,Code!$A$21:$D$40,3,FALSE)&amp;", "&amp;VLOOKUP('1.아이디어LIST'!M1817,Code!$E$21:$H$45,3,FALSE)&amp;", "&amp;VLOOKUP('1.아이디어LIST'!M1817,Code!$E$21:$H$45,4,FALSE)</f>
        <v xml:space="preserve">박준용, 박준용, </v>
      </c>
      <c r="K1817" s="219" t="s">
        <v>1654</v>
      </c>
      <c r="L1817" s="84" t="s">
        <v>199</v>
      </c>
      <c r="M1817" s="84" t="s">
        <v>200</v>
      </c>
      <c r="N1817" s="201" t="s">
        <v>72</v>
      </c>
      <c r="O1817" s="310" t="s">
        <v>8497</v>
      </c>
      <c r="P1817" s="217" t="s">
        <v>8498</v>
      </c>
      <c r="Q1817" s="49" t="s">
        <v>91</v>
      </c>
      <c r="R1817" s="25"/>
      <c r="S1817" s="55"/>
      <c r="T1817" s="26"/>
      <c r="U1817" s="28" t="s">
        <v>8499</v>
      </c>
      <c r="V1817" s="66"/>
      <c r="W1817" s="138"/>
      <c r="X1817" s="106"/>
      <c r="Y1817" s="209"/>
      <c r="Z1817" s="210"/>
      <c r="AA1817" s="207"/>
      <c r="AC1817" s="217"/>
    </row>
    <row r="1818" spans="1:29" ht="57.75" hidden="1" customHeight="1">
      <c r="A1818" s="88">
        <f t="shared" si="6"/>
        <v>1808</v>
      </c>
      <c r="B1818" s="79" t="str">
        <f>+VLOOKUP(L1818,Code!$A$3:$B$17,2,FALSE)&amp;"-"&amp;VLOOKUP('1.아이디어LIST'!M1818,Code!$C$3:$D$17,2,FALSE)&amp;"-"&amp;VLOOKUP('1.아이디어LIST'!N1818,Code!$E$3:$F$8,2,FALSE)&amp;"-"&amp;COUNTIFS($L$11:L1818,L1818,$M$11:M1818,M1818,$N$11:N1818,N1818)</f>
        <v>CO/D-PI-SNA-3</v>
      </c>
      <c r="C1818" s="148" t="str">
        <f>VLOOKUP(E1818,'(참고)재직자'!$A$2:$F$2761,3,0)</f>
        <v>건축</v>
      </c>
      <c r="D1818" s="80" t="str">
        <f>VLOOKUP(E1818,'(참고)재직자'!$A$2:$F$2761,5,0)</f>
        <v>본사</v>
      </c>
      <c r="E1818" s="27" t="s">
        <v>315</v>
      </c>
      <c r="F1818" s="80" t="str">
        <f>VLOOKUP(E1818,'(참고)재직자'!$A$2:$F$2761,6,0)</f>
        <v>차장</v>
      </c>
      <c r="G1818" s="81" t="str">
        <f>VLOOKUP(E1818,'(참고)재직자'!$A$2:$F$2761,4,0)</f>
        <v>건축지원팀</v>
      </c>
      <c r="H1818" s="80" t="str">
        <f>VLOOKUP(E1818,'(참고)재직자'!$A$2:$F$2761,2,0)</f>
        <v>정성훈</v>
      </c>
      <c r="I1818" s="295">
        <v>46062</v>
      </c>
      <c r="J1818" s="80" t="str">
        <f>VLOOKUP('1.아이디어LIST'!L1818,Code!$A$21:$D$40,3,FALSE)&amp;", "&amp;VLOOKUP('1.아이디어LIST'!M1818,Code!$E$21:$H$45,3,FALSE)&amp;", "&amp;VLOOKUP('1.아이디어LIST'!M1818,Code!$E$21:$H$45,4,FALSE)</f>
        <v xml:space="preserve">고한울, 박재보, </v>
      </c>
      <c r="K1818" s="219" t="str">
        <f>VLOOKUP(L1818,Code!$A$21:$C$40,3,0)</f>
        <v>고한울</v>
      </c>
      <c r="L1818" s="84" t="s">
        <v>189</v>
      </c>
      <c r="M1818" s="84" t="s">
        <v>252</v>
      </c>
      <c r="N1818" s="201" t="s">
        <v>920</v>
      </c>
      <c r="O1818" s="200" t="s">
        <v>8500</v>
      </c>
      <c r="P1818" s="217" t="s">
        <v>8501</v>
      </c>
      <c r="Q1818" s="49" t="s">
        <v>75</v>
      </c>
      <c r="R1818" s="25" t="s">
        <v>504</v>
      </c>
      <c r="S1818" s="55"/>
      <c r="T1818" s="26"/>
      <c r="U1818" s="28" t="s">
        <v>8502</v>
      </c>
      <c r="V1818" s="66"/>
      <c r="W1818" s="138"/>
      <c r="X1818" s="106"/>
      <c r="Y1818" s="209"/>
      <c r="Z1818" s="210"/>
      <c r="AA1818" s="207"/>
      <c r="AC1818" s="217"/>
    </row>
    <row r="1819" spans="1:29" ht="76.5" hidden="1" customHeight="1">
      <c r="A1819" s="88">
        <f t="shared" ref="A1819" si="7">A1818+1</f>
        <v>1809</v>
      </c>
      <c r="B1819" s="79" t="str">
        <f>+VLOOKUP(L1819,Code!$A$3:$B$17,2,FALSE)&amp;"-"&amp;VLOOKUP('1.아이디어LIST'!M1819,Code!$C$3:$D$17,2,FALSE)&amp;"-"&amp;VLOOKUP('1.아이디어LIST'!N1819,Code!$E$3:$F$8,2,FALSE)&amp;"-"&amp;COUNTIFS($L$11:L1819,L1819,$M$11:M1819,M1819,$N$11:N1819,N1819)</f>
        <v>CO/D-Z-CE-40</v>
      </c>
      <c r="C1819" s="148" t="str">
        <f>VLOOKUP(E1819,'(참고)재직자'!$A$2:$F$2761,3,0)</f>
        <v>건축</v>
      </c>
      <c r="D1819" s="80" t="str">
        <f>VLOOKUP(E1819,'(참고)재직자'!$A$2:$F$2761,5,0)</f>
        <v>현장</v>
      </c>
      <c r="E1819" s="27" t="s">
        <v>3555</v>
      </c>
      <c r="F1819" s="80" t="str">
        <f>VLOOKUP(E1819,'(참고)재직자'!$A$2:$F$2761,6,0)</f>
        <v>대리</v>
      </c>
      <c r="G1819" s="81" t="str">
        <f>VLOOKUP(E1819,'(참고)재직자'!$A$2:$F$2761,4,0)</f>
        <v>용산주공 재건축</v>
      </c>
      <c r="H1819" s="80" t="str">
        <f>VLOOKUP(E1819,'(참고)재직자'!$A$2:$F$2761,2,0)</f>
        <v>정상혁</v>
      </c>
      <c r="I1819" s="295">
        <v>46062</v>
      </c>
      <c r="J1819" s="80" t="str">
        <f>VLOOKUP('1.아이디어LIST'!L1819,Code!$A$21:$D$40,3,FALSE)&amp;", "&amp;VLOOKUP('1.아이디어LIST'!M1819,Code!$E$21:$H$45,3,FALSE)&amp;", "&amp;VLOOKUP('1.아이디어LIST'!M1819,Code!$E$21:$H$45,4,FALSE)</f>
        <v xml:space="preserve">고한울, 박준용, </v>
      </c>
      <c r="K1819" s="219" t="str">
        <f>VLOOKUP(L1819,Code!$A$21:$C$40,3,0)</f>
        <v>고한울</v>
      </c>
      <c r="L1819" s="84" t="s">
        <v>189</v>
      </c>
      <c r="M1819" s="84" t="s">
        <v>784</v>
      </c>
      <c r="N1819" s="201" t="s">
        <v>72</v>
      </c>
      <c r="O1819" s="200" t="s">
        <v>8503</v>
      </c>
      <c r="P1819" s="217" t="s">
        <v>8504</v>
      </c>
      <c r="Q1819" s="49" t="s">
        <v>75</v>
      </c>
      <c r="R1819" s="25" t="s">
        <v>91</v>
      </c>
      <c r="S1819" s="55"/>
      <c r="T1819" s="26"/>
      <c r="U1819" s="28" t="s">
        <v>8505</v>
      </c>
      <c r="V1819" s="66"/>
      <c r="W1819" s="138"/>
      <c r="X1819" s="106"/>
      <c r="Y1819" s="209"/>
      <c r="Z1819" s="210"/>
      <c r="AA1819" s="207"/>
      <c r="AC1819" s="217"/>
    </row>
    <row r="1820" spans="1:29" ht="62.25" hidden="1" customHeight="1">
      <c r="A1820" s="88">
        <f t="shared" ref="A1820" si="8">A1819+1</f>
        <v>1810</v>
      </c>
      <c r="B1820" s="79" t="str">
        <f>+VLOOKUP(L1820,Code!$A$3:$B$17,2,FALSE)&amp;"-"&amp;VLOOKUP('1.아이디어LIST'!M1820,Code!$C$3:$D$17,2,FALSE)&amp;"-"&amp;VLOOKUP('1.아이디어LIST'!N1820,Code!$E$3:$F$8,2,FALSE)&amp;"-"&amp;COUNTIFS($L$11:L1820,L1820,$M$11:M1820,M1820,$N$11:N1820,N1820)</f>
        <v>CO/D-ID/H-CE-69</v>
      </c>
      <c r="C1820" s="148" t="str">
        <f>VLOOKUP(E1820,'(참고)재직자'!$A$2:$F$2761,3,0)</f>
        <v>건축</v>
      </c>
      <c r="D1820" s="80" t="str">
        <f>VLOOKUP(E1820,'(참고)재직자'!$A$2:$F$2761,5,0)</f>
        <v>현장</v>
      </c>
      <c r="E1820" s="27" t="s">
        <v>8506</v>
      </c>
      <c r="F1820" s="80" t="str">
        <f>VLOOKUP(E1820,'(참고)재직자'!$A$2:$F$2761,6,0)</f>
        <v>사원</v>
      </c>
      <c r="G1820" s="81" t="str">
        <f>VLOOKUP(E1820,'(참고)재직자'!$A$2:$F$2761,4,0)</f>
        <v>용산주공 재건축</v>
      </c>
      <c r="H1820" s="80" t="str">
        <f>VLOOKUP(E1820,'(참고)재직자'!$A$2:$F$2761,2,0)</f>
        <v>박선아</v>
      </c>
      <c r="I1820" s="295">
        <v>46062</v>
      </c>
      <c r="J1820" s="80" t="str">
        <f>VLOOKUP('1.아이디어LIST'!L1820,Code!$A$21:$D$40,3,FALSE)&amp;", "&amp;VLOOKUP('1.아이디어LIST'!M1820,Code!$E$21:$H$45,3,FALSE)&amp;", "&amp;VLOOKUP('1.아이디어LIST'!M1820,Code!$E$21:$H$45,4,FALSE)</f>
        <v xml:space="preserve">고한울, 박재보, </v>
      </c>
      <c r="K1820" s="219" t="str">
        <f>VLOOKUP(L1820,Code!$A$21:$C$40,3,0)</f>
        <v>고한울</v>
      </c>
      <c r="L1820" s="84" t="s">
        <v>189</v>
      </c>
      <c r="M1820" s="84" t="s">
        <v>601</v>
      </c>
      <c r="N1820" s="201" t="s">
        <v>72</v>
      </c>
      <c r="O1820" s="200" t="s">
        <v>8507</v>
      </c>
      <c r="P1820" s="217" t="s">
        <v>8508</v>
      </c>
      <c r="Q1820" s="49" t="s">
        <v>75</v>
      </c>
      <c r="R1820" s="25" t="s">
        <v>504</v>
      </c>
      <c r="S1820" s="55"/>
      <c r="T1820" s="26"/>
      <c r="U1820" s="28" t="s">
        <v>8509</v>
      </c>
      <c r="V1820" s="66"/>
      <c r="W1820" s="138"/>
      <c r="X1820" s="106"/>
      <c r="Y1820" s="209"/>
      <c r="Z1820" s="210"/>
      <c r="AA1820" s="207"/>
      <c r="AC1820" s="217" t="s">
        <v>8211</v>
      </c>
    </row>
    <row r="1821" spans="1:29" ht="72" hidden="1" customHeight="1">
      <c r="A1821" s="88">
        <f t="shared" ref="A1821" si="9">A1820+1</f>
        <v>1811</v>
      </c>
      <c r="B1821" s="79" t="str">
        <f>+VLOOKUP(L1821,Code!$A$3:$B$17,2,FALSE)&amp;"-"&amp;VLOOKUP('1.아이디어LIST'!M1821,Code!$C$3:$D$17,2,FALSE)&amp;"-"&amp;VLOOKUP('1.아이디어LIST'!N1821,Code!$E$3:$F$8,2,FALSE)&amp;"-"&amp;COUNTIFS($L$11:L1821,L1821,$M$11:M1821,M1821,$N$11:N1821,N1821)</f>
        <v>PR/C-C-CE-3</v>
      </c>
      <c r="C1821" s="148" t="str">
        <f>VLOOKUP(E1821,'(참고)재직자'!$A$2:$F$2761,3,0)</f>
        <v>인프라</v>
      </c>
      <c r="D1821" s="80" t="str">
        <f>VLOOKUP(E1821,'(참고)재직자'!$A$2:$F$2761,5,0)</f>
        <v>현장</v>
      </c>
      <c r="E1821" s="27" t="s">
        <v>3675</v>
      </c>
      <c r="F1821" s="80" t="str">
        <f>VLOOKUP(E1821,'(참고)재직자'!$A$2:$F$2761,6,0)</f>
        <v>부장</v>
      </c>
      <c r="G1821" s="81" t="str">
        <f>VLOOKUP(E1821,'(참고)재직자'!$A$2:$F$2761,4,0)</f>
        <v>포항영덕고속도로</v>
      </c>
      <c r="H1821" s="80" t="str">
        <f>VLOOKUP(E1821,'(참고)재직자'!$A$2:$F$2761,2,0)</f>
        <v>김준일</v>
      </c>
      <c r="I1821" s="295">
        <v>46062</v>
      </c>
      <c r="J1821" s="80" t="str">
        <f>VLOOKUP('1.아이디어LIST'!L1821,Code!$A$21:$D$40,3,FALSE)&amp;", "&amp;VLOOKUP('1.아이디어LIST'!M1821,Code!$E$21:$H$45,3,FALSE)&amp;", "&amp;VLOOKUP('1.아이디어LIST'!M1821,Code!$E$21:$H$45,4,FALSE)</f>
        <v xml:space="preserve">고한울, 박준용, </v>
      </c>
      <c r="K1821" s="219" t="s">
        <v>3373</v>
      </c>
      <c r="L1821" s="84" t="s">
        <v>300</v>
      </c>
      <c r="M1821" s="84" t="s">
        <v>200</v>
      </c>
      <c r="N1821" s="201" t="s">
        <v>72</v>
      </c>
      <c r="O1821" s="310" t="s">
        <v>8510</v>
      </c>
      <c r="P1821" s="217" t="s">
        <v>8511</v>
      </c>
      <c r="Q1821" s="49" t="s">
        <v>75</v>
      </c>
      <c r="R1821" s="25" t="s">
        <v>75</v>
      </c>
      <c r="S1821" s="55">
        <v>23</v>
      </c>
      <c r="T1821" s="26">
        <v>76</v>
      </c>
      <c r="U1821" s="28" t="s">
        <v>8512</v>
      </c>
      <c r="V1821" s="66"/>
      <c r="W1821" s="138"/>
      <c r="X1821" s="106"/>
      <c r="Y1821" s="209"/>
      <c r="Z1821" s="210"/>
      <c r="AA1821" s="207"/>
      <c r="AC1821" s="217"/>
    </row>
    <row r="1822" spans="1:29" ht="57" hidden="1" customHeight="1">
      <c r="A1822" s="88">
        <f t="shared" ref="A1822" si="10">A1821+1</f>
        <v>1812</v>
      </c>
      <c r="B1822" s="79" t="str">
        <f>+VLOOKUP(L1822,Code!$A$3:$B$17,2,FALSE)&amp;"-"&amp;VLOOKUP('1.아이디어LIST'!M1822,Code!$C$3:$D$17,2,FALSE)&amp;"-"&amp;VLOOKUP('1.아이디어LIST'!N1822,Code!$E$3:$F$8,2,FALSE)&amp;"-"&amp;COUNTIFS($L$11:L1822,L1822,$M$11:M1822,M1822,$N$11:N1822,N1822)</f>
        <v>EN/S-C-CE-33</v>
      </c>
      <c r="C1822" s="148" t="str">
        <f>VLOOKUP(E1822,'(참고)재직자'!$A$2:$F$2761,3,0)</f>
        <v>인프라</v>
      </c>
      <c r="D1822" s="80" t="str">
        <f>VLOOKUP(E1822,'(참고)재직자'!$A$2:$F$2761,5,0)</f>
        <v>현장</v>
      </c>
      <c r="E1822" s="27" t="s">
        <v>7383</v>
      </c>
      <c r="F1822" s="80" t="str">
        <f>VLOOKUP(E1822,'(참고)재직자'!$A$2:$F$2761,6,0)</f>
        <v>과장</v>
      </c>
      <c r="G1822" s="81" t="str">
        <f>VLOOKUP(E1822,'(참고)재직자'!$A$2:$F$2761,4,0)</f>
        <v>세종안성고속도로 2공구</v>
      </c>
      <c r="H1822" s="80" t="str">
        <f>VLOOKUP(E1822,'(참고)재직자'!$A$2:$F$2761,2,0)</f>
        <v>김준형</v>
      </c>
      <c r="I1822" s="295">
        <v>46062</v>
      </c>
      <c r="J1822" s="80" t="str">
        <f>VLOOKUP('1.아이디어LIST'!L1822,Code!$A$21:$D$40,3,FALSE)&amp;", "&amp;VLOOKUP('1.아이디어LIST'!M1822,Code!$E$21:$H$45,3,FALSE)&amp;", "&amp;VLOOKUP('1.아이디어LIST'!M1822,Code!$E$21:$H$45,4,FALSE)</f>
        <v xml:space="preserve">박준용, 박준용, </v>
      </c>
      <c r="K1822" s="219" t="s">
        <v>3373</v>
      </c>
      <c r="L1822" s="84" t="s">
        <v>199</v>
      </c>
      <c r="M1822" s="84" t="s">
        <v>200</v>
      </c>
      <c r="N1822" s="201" t="s">
        <v>72</v>
      </c>
      <c r="O1822" s="310" t="s">
        <v>8513</v>
      </c>
      <c r="P1822" s="217" t="s">
        <v>8514</v>
      </c>
      <c r="Q1822" s="49" t="s">
        <v>75</v>
      </c>
      <c r="R1822" s="25" t="s">
        <v>504</v>
      </c>
      <c r="S1822" s="55">
        <v>18</v>
      </c>
      <c r="T1822" s="26"/>
      <c r="U1822" s="28" t="s">
        <v>8515</v>
      </c>
      <c r="V1822" s="66"/>
      <c r="W1822" s="138"/>
      <c r="X1822" s="106"/>
      <c r="Y1822" s="209"/>
      <c r="Z1822" s="210"/>
      <c r="AA1822" s="207"/>
      <c r="AC1822" s="217"/>
    </row>
    <row r="1823" spans="1:29" ht="105" hidden="1" customHeight="1">
      <c r="A1823" s="88">
        <f t="shared" ref="A1823" si="11">A1822+1</f>
        <v>1813</v>
      </c>
      <c r="B1823" s="79" t="str">
        <f>+VLOOKUP(L1823,Code!$A$3:$B$17,2,FALSE)&amp;"-"&amp;VLOOKUP('1.아이디어LIST'!M1823,Code!$C$3:$D$17,2,FALSE)&amp;"-"&amp;VLOOKUP('1.아이디어LIST'!N1823,Code!$E$3:$F$8,2,FALSE)&amp;"-"&amp;COUNTIFS($L$11:L1823,L1823,$M$11:M1823,M1823,$N$11:N1823,N1823)</f>
        <v>EN/S-C-CE-34</v>
      </c>
      <c r="C1823" s="148" t="str">
        <f>VLOOKUP(E1823,'(참고)재직자'!$A$2:$F$2761,3,0)</f>
        <v>인프라</v>
      </c>
      <c r="D1823" s="80" t="str">
        <f>VLOOKUP(E1823,'(참고)재직자'!$A$2:$F$2761,5,0)</f>
        <v>현장</v>
      </c>
      <c r="E1823" s="27" t="s">
        <v>7698</v>
      </c>
      <c r="F1823" s="80" t="str">
        <f>VLOOKUP(E1823,'(참고)재직자'!$A$2:$F$2761,6,0)</f>
        <v>차장</v>
      </c>
      <c r="G1823" s="81" t="str">
        <f>VLOOKUP(E1823,'(참고)재직자'!$A$2:$F$2761,4,0)</f>
        <v>세종안성고속도로 2공구</v>
      </c>
      <c r="H1823" s="80" t="str">
        <f>VLOOKUP(E1823,'(참고)재직자'!$A$2:$F$2761,2,0)</f>
        <v>이원산</v>
      </c>
      <c r="I1823" s="295">
        <v>46062</v>
      </c>
      <c r="J1823" s="80" t="str">
        <f>VLOOKUP('1.아이디어LIST'!L1823,Code!$A$21:$D$40,3,FALSE)&amp;", "&amp;VLOOKUP('1.아이디어LIST'!M1823,Code!$E$21:$H$45,3,FALSE)&amp;", "&amp;VLOOKUP('1.아이디어LIST'!M1823,Code!$E$21:$H$45,4,FALSE)</f>
        <v xml:space="preserve">박준용, 박준용, </v>
      </c>
      <c r="K1823" s="219" t="s">
        <v>1654</v>
      </c>
      <c r="L1823" s="84" t="s">
        <v>199</v>
      </c>
      <c r="M1823" s="84" t="s">
        <v>200</v>
      </c>
      <c r="N1823" s="201" t="s">
        <v>72</v>
      </c>
      <c r="O1823" s="310" t="s">
        <v>8516</v>
      </c>
      <c r="P1823" s="217" t="s">
        <v>8517</v>
      </c>
      <c r="Q1823" s="49" t="s">
        <v>75</v>
      </c>
      <c r="R1823" s="25" t="s">
        <v>91</v>
      </c>
      <c r="S1823" s="55"/>
      <c r="T1823" s="26"/>
      <c r="U1823" s="28" t="s">
        <v>8518</v>
      </c>
      <c r="V1823" s="66"/>
      <c r="W1823" s="138"/>
      <c r="X1823" s="106"/>
      <c r="Y1823" s="209"/>
      <c r="Z1823" s="210"/>
      <c r="AA1823" s="207"/>
      <c r="AC1823" s="217"/>
    </row>
    <row r="1824" spans="1:29" ht="48" hidden="1" customHeight="1">
      <c r="A1824" s="88">
        <f t="shared" ref="A1824" si="12">A1823+1</f>
        <v>1814</v>
      </c>
      <c r="B1824" s="79" t="str">
        <f>+VLOOKUP(L1824,Code!$A$3:$B$17,2,FALSE)&amp;"-"&amp;VLOOKUP('1.아이디어LIST'!M1824,Code!$C$3:$D$17,2,FALSE)&amp;"-"&amp;VLOOKUP('1.아이디어LIST'!N1824,Code!$E$3:$F$8,2,FALSE)&amp;"-"&amp;COUNTIFS($L$11:L1824,L1824,$M$11:M1824,M1824,$N$11:N1824,N1824)</f>
        <v>CO/D-ID/H-CE-70</v>
      </c>
      <c r="C1824" s="148" t="str">
        <f>VLOOKUP(E1824,'(참고)재직자'!$A$2:$F$2761,3,0)</f>
        <v>인프라</v>
      </c>
      <c r="D1824" s="80" t="str">
        <f>VLOOKUP(E1824,'(참고)재직자'!$A$2:$F$2761,5,0)</f>
        <v>현장</v>
      </c>
      <c r="E1824" s="27" t="s">
        <v>5892</v>
      </c>
      <c r="F1824" s="80" t="str">
        <f>VLOOKUP(E1824,'(참고)재직자'!$A$2:$F$2761,6,0)</f>
        <v>대리</v>
      </c>
      <c r="G1824" s="81" t="str">
        <f>VLOOKUP(E1824,'(참고)재직자'!$A$2:$F$2761,4,0)</f>
        <v>세종안성고속도로 2공구</v>
      </c>
      <c r="H1824" s="80" t="str">
        <f>VLOOKUP(E1824,'(참고)재직자'!$A$2:$F$2761,2,0)</f>
        <v>박민재</v>
      </c>
      <c r="I1824" s="295">
        <v>46062</v>
      </c>
      <c r="J1824" s="80" t="str">
        <f>VLOOKUP('1.아이디어LIST'!L1824,Code!$A$21:$D$40,3,FALSE)&amp;", "&amp;VLOOKUP('1.아이디어LIST'!M1824,Code!$E$21:$H$45,3,FALSE)&amp;", "&amp;VLOOKUP('1.아이디어LIST'!M1824,Code!$E$21:$H$45,4,FALSE)</f>
        <v xml:space="preserve">고한울, 박재보, </v>
      </c>
      <c r="K1824" s="219" t="s">
        <v>299</v>
      </c>
      <c r="L1824" s="84" t="s">
        <v>189</v>
      </c>
      <c r="M1824" s="84" t="s">
        <v>601</v>
      </c>
      <c r="N1824" s="201" t="s">
        <v>72</v>
      </c>
      <c r="O1824" s="310" t="s">
        <v>8519</v>
      </c>
      <c r="P1824" s="217" t="s">
        <v>8520</v>
      </c>
      <c r="Q1824" s="49" t="s">
        <v>91</v>
      </c>
      <c r="R1824" s="25"/>
      <c r="S1824" s="55"/>
      <c r="T1824" s="26"/>
      <c r="U1824" s="28" t="s">
        <v>2502</v>
      </c>
      <c r="V1824" s="66"/>
      <c r="W1824" s="138"/>
      <c r="X1824" s="106"/>
      <c r="Y1824" s="209"/>
      <c r="Z1824" s="210"/>
      <c r="AA1824" s="207"/>
      <c r="AC1824" s="217"/>
    </row>
    <row r="1825" spans="1:29" ht="204" hidden="1" customHeight="1">
      <c r="A1825" s="88">
        <f t="shared" ref="A1825" si="13">A1824+1</f>
        <v>1815</v>
      </c>
      <c r="B1825" s="79" t="str">
        <f>+VLOOKUP(L1825,Code!$A$3:$B$17,2,FALSE)&amp;"-"&amp;VLOOKUP('1.아이디어LIST'!M1825,Code!$C$3:$D$17,2,FALSE)&amp;"-"&amp;VLOOKUP('1.아이디어LIST'!N1825,Code!$E$3:$F$8,2,FALSE)&amp;"-"&amp;COUNTIFS($L$11:L1825,L1825,$M$11:M1825,M1825,$N$11:N1825,N1825)</f>
        <v>CO/D-ID/H-CE-71</v>
      </c>
      <c r="C1825" s="148" t="str">
        <f>VLOOKUP(E1825,'(참고)재직자'!$A$2:$F$2761,3,0)</f>
        <v>인프라</v>
      </c>
      <c r="D1825" s="80" t="str">
        <f>VLOOKUP(E1825,'(참고)재직자'!$A$2:$F$2761,5,0)</f>
        <v>현장</v>
      </c>
      <c r="E1825" s="27" t="s">
        <v>7844</v>
      </c>
      <c r="F1825" s="80" t="str">
        <f>VLOOKUP(E1825,'(참고)재직자'!$A$2:$F$2761,6,0)</f>
        <v>대리</v>
      </c>
      <c r="G1825" s="81" t="str">
        <f>VLOOKUP(E1825,'(참고)재직자'!$A$2:$F$2761,4,0)</f>
        <v>세종안성고속도로 2공구</v>
      </c>
      <c r="H1825" s="80" t="str">
        <f>VLOOKUP(E1825,'(참고)재직자'!$A$2:$F$2761,2,0)</f>
        <v>김탁용</v>
      </c>
      <c r="I1825" s="295">
        <v>46062</v>
      </c>
      <c r="J1825" s="80" t="str">
        <f>VLOOKUP('1.아이디어LIST'!L1825,Code!$A$21:$D$40,3,FALSE)&amp;", "&amp;VLOOKUP('1.아이디어LIST'!M1825,Code!$E$21:$H$45,3,FALSE)&amp;", "&amp;VLOOKUP('1.아이디어LIST'!M1825,Code!$E$21:$H$45,4,FALSE)</f>
        <v xml:space="preserve">고한울, 박재보, </v>
      </c>
      <c r="K1825" s="219" t="s">
        <v>299</v>
      </c>
      <c r="L1825" s="84" t="s">
        <v>189</v>
      </c>
      <c r="M1825" s="84" t="s">
        <v>601</v>
      </c>
      <c r="N1825" s="201" t="s">
        <v>72</v>
      </c>
      <c r="O1825" s="310" t="s">
        <v>8521</v>
      </c>
      <c r="P1825" s="217" t="s">
        <v>8522</v>
      </c>
      <c r="Q1825" s="49" t="s">
        <v>91</v>
      </c>
      <c r="R1825" s="25"/>
      <c r="S1825" s="55"/>
      <c r="T1825" s="26"/>
      <c r="U1825" s="28" t="s">
        <v>2502</v>
      </c>
      <c r="V1825" s="66"/>
      <c r="W1825" s="138"/>
      <c r="X1825" s="106"/>
      <c r="Y1825" s="209"/>
      <c r="Z1825" s="210"/>
      <c r="AA1825" s="207"/>
      <c r="AC1825" s="217"/>
    </row>
    <row r="1826" spans="1:29" ht="97.5" hidden="1" customHeight="1">
      <c r="A1826" s="88">
        <f t="shared" ref="A1826:A1890" si="14">A1825+1</f>
        <v>1816</v>
      </c>
      <c r="B1826" s="79" t="str">
        <f>+VLOOKUP(L1826,Code!$A$3:$B$17,2,FALSE)&amp;"-"&amp;VLOOKUP('1.아이디어LIST'!M1826,Code!$C$3:$D$17,2,FALSE)&amp;"-"&amp;VLOOKUP('1.아이디어LIST'!N1826,Code!$E$3:$F$8,2,FALSE)&amp;"-"&amp;COUNTIFS($L$11:L1826,L1826,$M$11:M1826,M1826,$N$11:N1826,N1826)</f>
        <v>CO/D-Z-CE-41</v>
      </c>
      <c r="C1826" s="148" t="str">
        <f>VLOOKUP(E1826,'(참고)재직자'!$A$2:$F$2761,3,0)</f>
        <v>인프라</v>
      </c>
      <c r="D1826" s="80" t="str">
        <f>VLOOKUP(E1826,'(참고)재직자'!$A$2:$F$2761,5,0)</f>
        <v>현장</v>
      </c>
      <c r="E1826" s="27" t="s">
        <v>8523</v>
      </c>
      <c r="F1826" s="80" t="str">
        <f>VLOOKUP(E1826,'(참고)재직자'!$A$2:$F$2761,6,0)</f>
        <v>차장</v>
      </c>
      <c r="G1826" s="81" t="str">
        <f>VLOOKUP(E1826,'(참고)재직자'!$A$2:$F$2761,4,0)</f>
        <v>세종안성고속도로 2공구</v>
      </c>
      <c r="H1826" s="80" t="str">
        <f>VLOOKUP(E1826,'(참고)재직자'!$A$2:$F$2761,2,0)</f>
        <v>강태욱</v>
      </c>
      <c r="I1826" s="295">
        <v>46062</v>
      </c>
      <c r="J1826" s="80" t="str">
        <f>VLOOKUP('1.아이디어LIST'!L1826,Code!$A$21:$D$40,3,FALSE)&amp;", "&amp;VLOOKUP('1.아이디어LIST'!M1826,Code!$E$21:$H$45,3,FALSE)&amp;", "&amp;VLOOKUP('1.아이디어LIST'!M1826,Code!$E$21:$H$45,4,FALSE)</f>
        <v xml:space="preserve">고한울, 박준용, </v>
      </c>
      <c r="K1826" s="219" t="s">
        <v>3373</v>
      </c>
      <c r="L1826" s="84" t="s">
        <v>189</v>
      </c>
      <c r="M1826" s="84" t="s">
        <v>784</v>
      </c>
      <c r="N1826" s="201" t="s">
        <v>72</v>
      </c>
      <c r="O1826" s="310" t="s">
        <v>8524</v>
      </c>
      <c r="P1826" s="217" t="s">
        <v>8525</v>
      </c>
      <c r="Q1826" s="49" t="s">
        <v>75</v>
      </c>
      <c r="R1826" s="25" t="s">
        <v>91</v>
      </c>
      <c r="S1826" s="55">
        <v>18</v>
      </c>
      <c r="T1826" s="26">
        <v>59</v>
      </c>
      <c r="U1826" s="28" t="s">
        <v>8526</v>
      </c>
      <c r="V1826" s="66"/>
      <c r="W1826" s="138"/>
      <c r="X1826" s="106"/>
      <c r="Y1826" s="209"/>
      <c r="Z1826" s="210"/>
      <c r="AA1826" s="207"/>
      <c r="AC1826" s="217"/>
    </row>
    <row r="1827" spans="1:29" ht="90" hidden="1" customHeight="1">
      <c r="A1827" s="88">
        <f t="shared" si="14"/>
        <v>1817</v>
      </c>
      <c r="B1827" s="79" t="str">
        <f>+VLOOKUP(L1827,Code!$A$3:$B$17,2,FALSE)&amp;"-"&amp;VLOOKUP('1.아이디어LIST'!M1827,Code!$C$3:$D$17,2,FALSE)&amp;"-"&amp;VLOOKUP('1.아이디어LIST'!N1827,Code!$E$3:$F$8,2,FALSE)&amp;"-"&amp;COUNTIFS($L$11:L1827,L1827,$M$11:M1827,M1827,$N$11:N1827,N1827)</f>
        <v>CO/D-Z-CE-42</v>
      </c>
      <c r="C1827" s="148" t="str">
        <f>VLOOKUP(E1827,'(참고)재직자'!$A$2:$F$2761,3,0)</f>
        <v>건축</v>
      </c>
      <c r="D1827" s="80" t="str">
        <f>VLOOKUP(E1827,'(참고)재직자'!$A$2:$F$2761,5,0)</f>
        <v>본사</v>
      </c>
      <c r="E1827" s="27" t="s">
        <v>8527</v>
      </c>
      <c r="F1827" s="80" t="str">
        <f>VLOOKUP(E1827,'(참고)재직자'!$A$2:$F$2761,6,0)</f>
        <v>대리</v>
      </c>
      <c r="G1827" s="81" t="str">
        <f>VLOOKUP(E1827,'(참고)재직자'!$A$2:$F$2761,4,0)</f>
        <v>건축지원팀</v>
      </c>
      <c r="H1827" s="80" t="str">
        <f>VLOOKUP(E1827,'(참고)재직자'!$A$2:$F$2761,2,0)</f>
        <v>최봉제</v>
      </c>
      <c r="I1827" s="295">
        <v>46064</v>
      </c>
      <c r="J1827" s="80" t="str">
        <f>VLOOKUP('1.아이디어LIST'!L1827,Code!$A$21:$D$40,3,FALSE)&amp;", "&amp;VLOOKUP('1.아이디어LIST'!M1827,Code!$E$21:$H$45,3,FALSE)&amp;", "&amp;VLOOKUP('1.아이디어LIST'!M1827,Code!$E$21:$H$45,4,FALSE)</f>
        <v xml:space="preserve">고한울, 박준용, </v>
      </c>
      <c r="K1827" s="219" t="str">
        <f>VLOOKUP(L1827,Code!$A$21:$C$40,3,0)</f>
        <v>고한울</v>
      </c>
      <c r="L1827" s="84" t="s">
        <v>189</v>
      </c>
      <c r="M1827" s="84" t="s">
        <v>784</v>
      </c>
      <c r="N1827" s="201" t="s">
        <v>72</v>
      </c>
      <c r="O1827" s="200" t="s">
        <v>8528</v>
      </c>
      <c r="P1827" s="217" t="s">
        <v>8529</v>
      </c>
      <c r="Q1827" s="49" t="s">
        <v>91</v>
      </c>
      <c r="R1827" s="25"/>
      <c r="S1827" s="55"/>
      <c r="T1827" s="26"/>
      <c r="U1827" s="28" t="s">
        <v>2502</v>
      </c>
      <c r="V1827" s="66"/>
      <c r="W1827" s="138"/>
      <c r="X1827" s="106"/>
      <c r="Y1827" s="209"/>
      <c r="Z1827" s="210"/>
      <c r="AA1827" s="207"/>
      <c r="AC1827" s="217"/>
    </row>
    <row r="1828" spans="1:29" ht="91.5" hidden="1" customHeight="1">
      <c r="A1828" s="88">
        <f t="shared" si="14"/>
        <v>1818</v>
      </c>
      <c r="B1828" s="79" t="str">
        <f>+VLOOKUP(L1828,Code!$A$3:$B$17,2,FALSE)&amp;"-"&amp;VLOOKUP('1.아이디어LIST'!M1828,Code!$C$3:$D$17,2,FALSE)&amp;"-"&amp;VLOOKUP('1.아이디어LIST'!N1828,Code!$E$3:$F$8,2,FALSE)&amp;"-"&amp;COUNTIFS($L$11:L1828,L1828,$M$11:M1828,M1828,$N$11:N1828,N1828)</f>
        <v>CO/D-Z-CE-43</v>
      </c>
      <c r="C1828" s="148" t="str">
        <f>VLOOKUP(E1828,'(참고)재직자'!$A$2:$F$2761,3,0)</f>
        <v>건축</v>
      </c>
      <c r="D1828" s="80" t="str">
        <f>VLOOKUP(E1828,'(참고)재직자'!$A$2:$F$2761,5,0)</f>
        <v>본사</v>
      </c>
      <c r="E1828" s="27" t="s">
        <v>337</v>
      </c>
      <c r="F1828" s="80" t="str">
        <f>VLOOKUP(E1828,'(참고)재직자'!$A$2:$F$2761,6,0)</f>
        <v>부장</v>
      </c>
      <c r="G1828" s="81" t="str">
        <f>VLOOKUP(E1828,'(참고)재직자'!$A$2:$F$2761,4,0)</f>
        <v>기술혁신팀</v>
      </c>
      <c r="H1828" s="80" t="str">
        <f>VLOOKUP(E1828,'(참고)재직자'!$A$2:$F$2761,2,0)</f>
        <v>김준우</v>
      </c>
      <c r="I1828" s="295">
        <v>46064</v>
      </c>
      <c r="J1828" s="80" t="str">
        <f>VLOOKUP('1.아이디어LIST'!L1828,Code!$A$21:$D$40,3,FALSE)&amp;", "&amp;VLOOKUP('1.아이디어LIST'!M1828,Code!$E$21:$H$45,3,FALSE)&amp;", "&amp;VLOOKUP('1.아이디어LIST'!M1828,Code!$E$21:$H$45,4,FALSE)</f>
        <v xml:space="preserve">고한울, 박준용, </v>
      </c>
      <c r="K1828" s="219" t="str">
        <f>VLOOKUP(L1828,Code!$A$21:$C$40,3,0)</f>
        <v>고한울</v>
      </c>
      <c r="L1828" s="84" t="s">
        <v>189</v>
      </c>
      <c r="M1828" s="84" t="s">
        <v>784</v>
      </c>
      <c r="N1828" s="201" t="s">
        <v>72</v>
      </c>
      <c r="O1828" s="200" t="s">
        <v>8530</v>
      </c>
      <c r="P1828" s="217" t="s">
        <v>8531</v>
      </c>
      <c r="Q1828" s="49" t="s">
        <v>75</v>
      </c>
      <c r="R1828" s="25" t="s">
        <v>504</v>
      </c>
      <c r="S1828" s="55"/>
      <c r="T1828" s="26"/>
      <c r="U1828" s="28"/>
      <c r="V1828" s="66"/>
      <c r="W1828" s="138"/>
      <c r="X1828" s="106"/>
      <c r="Y1828" s="209"/>
      <c r="Z1828" s="210"/>
      <c r="AA1828" s="207"/>
      <c r="AC1828" s="217" t="s">
        <v>8211</v>
      </c>
    </row>
    <row r="1829" spans="1:29" ht="72.75" hidden="1" customHeight="1">
      <c r="A1829" s="88">
        <f t="shared" si="14"/>
        <v>1819</v>
      </c>
      <c r="B1829" s="79" t="str">
        <f>+VLOOKUP(L1829,Code!$A$3:$B$17,2,FALSE)&amp;"-"&amp;VLOOKUP('1.아이디어LIST'!M1829,Code!$C$3:$D$17,2,FALSE)&amp;"-"&amp;VLOOKUP('1.아이디어LIST'!N1829,Code!$E$3:$F$8,2,FALSE)&amp;"-"&amp;COUNTIFS($L$11:L1829,L1829,$M$11:M1829,M1829,$N$11:N1829,N1829)</f>
        <v>CO/D-Z-CE-44</v>
      </c>
      <c r="C1829" s="148" t="str">
        <f>VLOOKUP(E1829,'(참고)재직자'!$A$2:$F$2761,3,0)</f>
        <v>건축</v>
      </c>
      <c r="D1829" s="80" t="str">
        <f>VLOOKUP(E1829,'(참고)재직자'!$A$2:$F$2761,5,0)</f>
        <v>현장</v>
      </c>
      <c r="E1829" s="27" t="s">
        <v>2272</v>
      </c>
      <c r="F1829" s="80" t="str">
        <f>VLOOKUP(E1829,'(참고)재직자'!$A$2:$F$2761,6,0)</f>
        <v>대리</v>
      </c>
      <c r="G1829" s="81" t="str">
        <f>VLOOKUP(E1829,'(참고)재직자'!$A$2:$F$2761,4,0)</f>
        <v>춘천 프리미엄 빌리지 건설공사</v>
      </c>
      <c r="H1829" s="80" t="str">
        <f>VLOOKUP(E1829,'(참고)재직자'!$A$2:$F$2761,2,0)</f>
        <v>이성로</v>
      </c>
      <c r="I1829" s="295">
        <v>46064</v>
      </c>
      <c r="J1829" s="80" t="str">
        <f>VLOOKUP('1.아이디어LIST'!L1829,Code!$A$21:$D$40,3,FALSE)&amp;", "&amp;VLOOKUP('1.아이디어LIST'!M1829,Code!$E$21:$H$45,3,FALSE)&amp;", "&amp;VLOOKUP('1.아이디어LIST'!M1829,Code!$E$21:$H$45,4,FALSE)</f>
        <v xml:space="preserve">고한울, 박준용, </v>
      </c>
      <c r="K1829" s="219" t="str">
        <f>VLOOKUP(L1829,Code!$A$21:$C$40,3,0)</f>
        <v>고한울</v>
      </c>
      <c r="L1829" s="84" t="s">
        <v>189</v>
      </c>
      <c r="M1829" s="84" t="s">
        <v>784</v>
      </c>
      <c r="N1829" s="201" t="s">
        <v>72</v>
      </c>
      <c r="O1829" s="200" t="s">
        <v>8532</v>
      </c>
      <c r="P1829" s="217" t="s">
        <v>8533</v>
      </c>
      <c r="Q1829" s="49" t="s">
        <v>75</v>
      </c>
      <c r="R1829" s="25" t="s">
        <v>91</v>
      </c>
      <c r="S1829" s="55"/>
      <c r="T1829" s="26"/>
      <c r="U1829" s="28"/>
      <c r="V1829" s="66"/>
      <c r="W1829" s="138"/>
      <c r="X1829" s="106"/>
      <c r="Y1829" s="209"/>
      <c r="Z1829" s="210"/>
      <c r="AA1829" s="207"/>
      <c r="AC1829" s="217" t="s">
        <v>8211</v>
      </c>
    </row>
    <row r="1830" spans="1:29" ht="60" hidden="1" customHeight="1">
      <c r="A1830" s="88">
        <f t="shared" si="14"/>
        <v>1820</v>
      </c>
      <c r="B1830" s="79" t="str">
        <f>+VLOOKUP(L1830,Code!$A$3:$B$17,2,FALSE)&amp;"-"&amp;VLOOKUP('1.아이디어LIST'!M1830,Code!$C$3:$D$17,2,FALSE)&amp;"-"&amp;VLOOKUP('1.아이디어LIST'!N1830,Code!$E$3:$F$8,2,FALSE)&amp;"-"&amp;COUNTIFS($L$11:L1830,L1830,$M$11:M1830,M1830,$N$11:N1830,N1830)</f>
        <v>EN/I-Z-CE-10</v>
      </c>
      <c r="C1830" s="148" t="str">
        <f>VLOOKUP(E1830,'(참고)재직자'!$A$2:$F$2761,3,0)</f>
        <v>건축</v>
      </c>
      <c r="D1830" s="80" t="str">
        <f>VLOOKUP(E1830,'(참고)재직자'!$A$2:$F$2761,5,0)</f>
        <v>현장</v>
      </c>
      <c r="E1830" s="27" t="s">
        <v>8534</v>
      </c>
      <c r="F1830" s="80" t="str">
        <f>VLOOKUP(E1830,'(참고)재직자'!$A$2:$F$2761,6,0)</f>
        <v>차장</v>
      </c>
      <c r="G1830" s="81" t="str">
        <f>VLOOKUP(E1830,'(참고)재직자'!$A$2:$F$2761,4,0)</f>
        <v>제주 대정 공동주택</v>
      </c>
      <c r="H1830" s="80" t="str">
        <f>VLOOKUP(E1830,'(참고)재직자'!$A$2:$F$2761,2,0)</f>
        <v>김종우</v>
      </c>
      <c r="I1830" s="295">
        <v>46064</v>
      </c>
      <c r="J1830" s="80" t="str">
        <f>VLOOKUP('1.아이디어LIST'!L1830,Code!$A$21:$D$40,3,FALSE)&amp;", "&amp;VLOOKUP('1.아이디어LIST'!M1830,Code!$E$21:$H$45,3,FALSE)&amp;", "&amp;VLOOKUP('1.아이디어LIST'!M1830,Code!$E$21:$H$45,4,FALSE)</f>
        <v xml:space="preserve">김태용, 박준용, </v>
      </c>
      <c r="K1830" s="219" t="str">
        <f>VLOOKUP(L1830,Code!$A$21:$C$40,3,0)</f>
        <v>김태용</v>
      </c>
      <c r="L1830" s="84" t="s">
        <v>122</v>
      </c>
      <c r="M1830" s="84" t="s">
        <v>784</v>
      </c>
      <c r="N1830" s="201" t="s">
        <v>72</v>
      </c>
      <c r="O1830" s="200" t="s">
        <v>8535</v>
      </c>
      <c r="P1830" s="217" t="s">
        <v>8536</v>
      </c>
      <c r="Q1830" s="49" t="s">
        <v>75</v>
      </c>
      <c r="R1830" s="25" t="s">
        <v>504</v>
      </c>
      <c r="S1830" s="55"/>
      <c r="T1830" s="26"/>
      <c r="U1830" s="28" t="s">
        <v>8537</v>
      </c>
      <c r="V1830" s="66"/>
      <c r="W1830" s="138"/>
      <c r="X1830" s="106"/>
      <c r="Y1830" s="209"/>
      <c r="Z1830" s="210"/>
      <c r="AA1830" s="207"/>
      <c r="AC1830" s="217"/>
    </row>
    <row r="1831" spans="1:29" ht="80.25" hidden="1" customHeight="1">
      <c r="A1831" s="88">
        <f t="shared" si="14"/>
        <v>1821</v>
      </c>
      <c r="B1831" s="79" t="str">
        <f>+VLOOKUP(L1831,Code!$A$3:$B$17,2,FALSE)&amp;"-"&amp;VLOOKUP('1.아이디어LIST'!M1831,Code!$C$3:$D$17,2,FALSE)&amp;"-"&amp;VLOOKUP('1.아이디어LIST'!N1831,Code!$E$3:$F$8,2,FALSE)&amp;"-"&amp;COUNTIFS($L$11:L1831,L1831,$M$11:M1831,M1831,$N$11:N1831,N1831)</f>
        <v>CO/D-Z-CE-45</v>
      </c>
      <c r="C1831" s="148" t="str">
        <f>VLOOKUP(E1831,'(참고)재직자'!$A$2:$F$2761,3,0)</f>
        <v>건축</v>
      </c>
      <c r="D1831" s="80" t="str">
        <f>VLOOKUP(E1831,'(참고)재직자'!$A$2:$F$2761,5,0)</f>
        <v>현장</v>
      </c>
      <c r="E1831" s="27" t="s">
        <v>1992</v>
      </c>
      <c r="F1831" s="80" t="str">
        <f>VLOOKUP(E1831,'(참고)재직자'!$A$2:$F$2761,6,0)</f>
        <v>부장</v>
      </c>
      <c r="G1831" s="81" t="str">
        <f>VLOOKUP(E1831,'(참고)재직자'!$A$2:$F$2761,4,0)</f>
        <v>충주 용산주공 재건축</v>
      </c>
      <c r="H1831" s="80" t="str">
        <f>VLOOKUP(E1831,'(참고)재직자'!$A$2:$F$2761,2,0)</f>
        <v>남태인</v>
      </c>
      <c r="I1831" s="295">
        <v>46064</v>
      </c>
      <c r="J1831" s="80" t="str">
        <f>VLOOKUP('1.아이디어LIST'!L1831,Code!$A$21:$D$40,3,FALSE)&amp;", "&amp;VLOOKUP('1.아이디어LIST'!M1831,Code!$E$21:$H$45,3,FALSE)&amp;", "&amp;VLOOKUP('1.아이디어LIST'!M1831,Code!$E$21:$H$45,4,FALSE)</f>
        <v xml:space="preserve">고한울, 박준용, </v>
      </c>
      <c r="K1831" s="219" t="str">
        <f>VLOOKUP(L1831,Code!$A$21:$C$40,3,0)</f>
        <v>고한울</v>
      </c>
      <c r="L1831" s="84" t="s">
        <v>189</v>
      </c>
      <c r="M1831" s="84" t="s">
        <v>784</v>
      </c>
      <c r="N1831" s="201" t="s">
        <v>72</v>
      </c>
      <c r="O1831" s="200" t="s">
        <v>8538</v>
      </c>
      <c r="P1831" s="217" t="s">
        <v>8539</v>
      </c>
      <c r="Q1831" s="49" t="s">
        <v>75</v>
      </c>
      <c r="R1831" s="25" t="s">
        <v>504</v>
      </c>
      <c r="S1831" s="55"/>
      <c r="T1831" s="26"/>
      <c r="U1831" s="28"/>
      <c r="V1831" s="66"/>
      <c r="W1831" s="138"/>
      <c r="X1831" s="106"/>
      <c r="Y1831" s="209"/>
      <c r="Z1831" s="210"/>
      <c r="AA1831" s="207"/>
      <c r="AC1831" s="217" t="s">
        <v>8211</v>
      </c>
    </row>
    <row r="1832" spans="1:29" ht="90" hidden="1" customHeight="1">
      <c r="A1832" s="88">
        <f t="shared" si="14"/>
        <v>1822</v>
      </c>
      <c r="B1832" s="79" t="str">
        <f>+VLOOKUP(L1832,Code!$A$3:$B$17,2,FALSE)&amp;"-"&amp;VLOOKUP('1.아이디어LIST'!M1832,Code!$C$3:$D$17,2,FALSE)&amp;"-"&amp;VLOOKUP('1.아이디어LIST'!N1832,Code!$E$3:$F$8,2,FALSE)&amp;"-"&amp;COUNTIFS($L$11:L1832,L1832,$M$11:M1832,M1832,$N$11:N1832,N1832)</f>
        <v>EN/I-Z-CE-11</v>
      </c>
      <c r="C1832" s="148" t="str">
        <f>VLOOKUP(E1832,'(참고)재직자'!$A$2:$F$2761,3,0)</f>
        <v>건축</v>
      </c>
      <c r="D1832" s="80" t="str">
        <f>VLOOKUP(E1832,'(참고)재직자'!$A$2:$F$2761,5,0)</f>
        <v>현장</v>
      </c>
      <c r="E1832" s="27" t="s">
        <v>8540</v>
      </c>
      <c r="F1832" s="80" t="str">
        <f>VLOOKUP(E1832,'(참고)재직자'!$A$2:$F$2761,6,0)</f>
        <v>대리</v>
      </c>
      <c r="G1832" s="81" t="str">
        <f>VLOOKUP(E1832,'(참고)재직자'!$A$2:$F$2761,4,0)</f>
        <v>청주 매봉공원</v>
      </c>
      <c r="H1832" s="80" t="str">
        <f>VLOOKUP(E1832,'(참고)재직자'!$A$2:$F$2761,2,0)</f>
        <v>주경규</v>
      </c>
      <c r="I1832" s="295">
        <v>46064</v>
      </c>
      <c r="J1832" s="80" t="str">
        <f>VLOOKUP('1.아이디어LIST'!L1832,Code!$A$21:$D$40,3,FALSE)&amp;", "&amp;VLOOKUP('1.아이디어LIST'!M1832,Code!$E$21:$H$45,3,FALSE)&amp;", "&amp;VLOOKUP('1.아이디어LIST'!M1832,Code!$E$21:$H$45,4,FALSE)</f>
        <v xml:space="preserve">김태용, 박준용, </v>
      </c>
      <c r="K1832" s="219" t="str">
        <f>VLOOKUP(L1832,Code!$A$21:$C$40,3,0)</f>
        <v>김태용</v>
      </c>
      <c r="L1832" s="84" t="s">
        <v>122</v>
      </c>
      <c r="M1832" s="84" t="s">
        <v>784</v>
      </c>
      <c r="N1832" s="201" t="s">
        <v>72</v>
      </c>
      <c r="O1832" s="200" t="s">
        <v>8541</v>
      </c>
      <c r="P1832" s="217" t="s">
        <v>8542</v>
      </c>
      <c r="Q1832" s="49" t="s">
        <v>75</v>
      </c>
      <c r="R1832" s="25" t="s">
        <v>504</v>
      </c>
      <c r="S1832" s="55"/>
      <c r="T1832" s="26"/>
      <c r="U1832" s="28"/>
      <c r="V1832" s="66"/>
      <c r="W1832" s="138"/>
      <c r="X1832" s="106"/>
      <c r="Y1832" s="209"/>
      <c r="Z1832" s="210"/>
      <c r="AA1832" s="207"/>
      <c r="AC1832" s="217"/>
    </row>
    <row r="1833" spans="1:29" ht="69" hidden="1" customHeight="1">
      <c r="A1833" s="88">
        <f t="shared" si="14"/>
        <v>1823</v>
      </c>
      <c r="B1833" s="79" t="str">
        <f>+VLOOKUP(L1833,Code!$A$3:$B$17,2,FALSE)&amp;"-"&amp;VLOOKUP('1.아이디어LIST'!M1833,Code!$C$3:$D$17,2,FALSE)&amp;"-"&amp;VLOOKUP('1.아이디어LIST'!N1833,Code!$E$3:$F$8,2,FALSE)&amp;"-"&amp;COUNTIFS($L$11:L1833,L1833,$M$11:M1833,M1833,$N$11:N1833,N1833)</f>
        <v>EN/I-Z-CE-12</v>
      </c>
      <c r="C1833" s="148" t="str">
        <f>VLOOKUP(E1833,'(참고)재직자'!$A$2:$F$2761,3,0)</f>
        <v>건축</v>
      </c>
      <c r="D1833" s="80" t="str">
        <f>VLOOKUP(E1833,'(참고)재직자'!$A$2:$F$2761,5,0)</f>
        <v>현장</v>
      </c>
      <c r="E1833" s="27" t="s">
        <v>8540</v>
      </c>
      <c r="F1833" s="80" t="str">
        <f>VLOOKUP(E1833,'(참고)재직자'!$A$2:$F$2761,6,0)</f>
        <v>대리</v>
      </c>
      <c r="G1833" s="81" t="str">
        <f>VLOOKUP(E1833,'(참고)재직자'!$A$2:$F$2761,4,0)</f>
        <v>청주 매봉공원</v>
      </c>
      <c r="H1833" s="80" t="str">
        <f>VLOOKUP(E1833,'(참고)재직자'!$A$2:$F$2761,2,0)</f>
        <v>주경규</v>
      </c>
      <c r="I1833" s="295">
        <v>46064</v>
      </c>
      <c r="J1833" s="80" t="str">
        <f>VLOOKUP('1.아이디어LIST'!L1833,Code!$A$21:$D$40,3,FALSE)&amp;", "&amp;VLOOKUP('1.아이디어LIST'!M1833,Code!$E$21:$H$45,3,FALSE)&amp;", "&amp;VLOOKUP('1.아이디어LIST'!M1833,Code!$E$21:$H$45,4,FALSE)</f>
        <v xml:space="preserve">김태용, 박준용, </v>
      </c>
      <c r="K1833" s="219" t="str">
        <f>VLOOKUP(L1833,Code!$A$21:$C$40,3,0)</f>
        <v>김태용</v>
      </c>
      <c r="L1833" s="84" t="s">
        <v>122</v>
      </c>
      <c r="M1833" s="84" t="s">
        <v>784</v>
      </c>
      <c r="N1833" s="201" t="s">
        <v>72</v>
      </c>
      <c r="O1833" s="200" t="s">
        <v>8543</v>
      </c>
      <c r="P1833" s="217" t="s">
        <v>8544</v>
      </c>
      <c r="Q1833" s="49" t="s">
        <v>75</v>
      </c>
      <c r="R1833" s="25" t="s">
        <v>504</v>
      </c>
      <c r="S1833" s="55"/>
      <c r="T1833" s="26"/>
      <c r="U1833" s="28" t="s">
        <v>8545</v>
      </c>
      <c r="V1833" s="66"/>
      <c r="W1833" s="138"/>
      <c r="X1833" s="106"/>
      <c r="Y1833" s="209"/>
      <c r="Z1833" s="210"/>
      <c r="AA1833" s="207"/>
      <c r="AC1833" s="217"/>
    </row>
    <row r="1834" spans="1:29" ht="57.75" hidden="1" customHeight="1">
      <c r="A1834" s="88">
        <f t="shared" si="14"/>
        <v>1824</v>
      </c>
      <c r="B1834" s="79" t="str">
        <f>+VLOOKUP(L1834,Code!$A$3:$B$17,2,FALSE)&amp;"-"&amp;VLOOKUP('1.아이디어LIST'!M1834,Code!$C$3:$D$17,2,FALSE)&amp;"-"&amp;VLOOKUP('1.아이디어LIST'!N1834,Code!$E$3:$F$8,2,FALSE)&amp;"-"&amp;COUNTIFS($L$11:L1834,L1834,$M$11:M1834,M1834,$N$11:N1834,N1834)</f>
        <v>PR/C-Z-CE-12</v>
      </c>
      <c r="C1834" s="148" t="str">
        <f>VLOOKUP(E1834,'(참고)재직자'!$A$2:$F$2761,3,0)</f>
        <v>건축</v>
      </c>
      <c r="D1834" s="80" t="str">
        <f>VLOOKUP(E1834,'(참고)재직자'!$A$2:$F$2761,5,0)</f>
        <v>본사</v>
      </c>
      <c r="E1834" s="27" t="s">
        <v>1680</v>
      </c>
      <c r="F1834" s="80" t="str">
        <f>VLOOKUP(E1834,'(참고)재직자'!$A$2:$F$2761,6,0)</f>
        <v>과장</v>
      </c>
      <c r="G1834" s="81" t="str">
        <f>VLOOKUP(E1834,'(참고)재직자'!$A$2:$F$2761,4,0)</f>
        <v>건축지원팀</v>
      </c>
      <c r="H1834" s="80" t="str">
        <f>VLOOKUP(E1834,'(참고)재직자'!$A$2:$F$2761,2,0)</f>
        <v>이광연</v>
      </c>
      <c r="I1834" s="295">
        <v>46064</v>
      </c>
      <c r="J1834" s="80" t="str">
        <f>VLOOKUP('1.아이디어LIST'!L1834,Code!$A$21:$D$40,3,FALSE)&amp;", "&amp;VLOOKUP('1.아이디어LIST'!M1834,Code!$E$21:$H$45,3,FALSE)&amp;", "&amp;VLOOKUP('1.아이디어LIST'!M1834,Code!$E$21:$H$45,4,FALSE)</f>
        <v xml:space="preserve">고한울, 박준용, </v>
      </c>
      <c r="K1834" s="219" t="str">
        <f>VLOOKUP(L1834,Code!$A$21:$C$40,3,0)</f>
        <v>고한울</v>
      </c>
      <c r="L1834" s="84" t="s">
        <v>300</v>
      </c>
      <c r="M1834" s="84" t="s">
        <v>784</v>
      </c>
      <c r="N1834" s="201" t="s">
        <v>72</v>
      </c>
      <c r="O1834" s="200" t="s">
        <v>8546</v>
      </c>
      <c r="P1834" s="217" t="s">
        <v>8547</v>
      </c>
      <c r="Q1834" s="49" t="s">
        <v>75</v>
      </c>
      <c r="R1834" s="25" t="s">
        <v>504</v>
      </c>
      <c r="S1834" s="55"/>
      <c r="T1834" s="26"/>
      <c r="U1834" s="28"/>
      <c r="V1834" s="66"/>
      <c r="W1834" s="138"/>
      <c r="X1834" s="106"/>
      <c r="Y1834" s="209"/>
      <c r="Z1834" s="210"/>
      <c r="AA1834" s="207"/>
      <c r="AC1834" s="217"/>
    </row>
    <row r="1835" spans="1:29" ht="77.25" hidden="1" customHeight="1">
      <c r="A1835" s="88">
        <f t="shared" si="14"/>
        <v>1825</v>
      </c>
      <c r="B1835" s="79" t="str">
        <f>+VLOOKUP(L1835,Code!$A$3:$B$17,2,FALSE)&amp;"-"&amp;VLOOKUP('1.아이디어LIST'!M1835,Code!$C$3:$D$17,2,FALSE)&amp;"-"&amp;VLOOKUP('1.아이디어LIST'!N1835,Code!$E$3:$F$8,2,FALSE)&amp;"-"&amp;COUNTIFS($L$11:L1835,L1835,$M$11:M1835,M1835,$N$11:N1835,N1835)</f>
        <v>EN/S-A/S-CE-80</v>
      </c>
      <c r="C1835" s="148" t="str">
        <f>VLOOKUP(E1835,'(참고)재직자'!$A$2:$F$2761,3,0)</f>
        <v>건축</v>
      </c>
      <c r="D1835" s="80" t="str">
        <f>VLOOKUP(E1835,'(참고)재직자'!$A$2:$F$2761,5,0)</f>
        <v>현장</v>
      </c>
      <c r="E1835" s="27" t="s">
        <v>6028</v>
      </c>
      <c r="F1835" s="80" t="str">
        <f>VLOOKUP(E1835,'(참고)재직자'!$A$2:$F$2761,6,0)</f>
        <v>부장</v>
      </c>
      <c r="G1835" s="81" t="str">
        <f>VLOOKUP(E1835,'(참고)재직자'!$A$2:$F$2761,4,0)</f>
        <v>서울역 역세권 개발사업 호텔</v>
      </c>
      <c r="H1835" s="80" t="str">
        <f>VLOOKUP(E1835,'(참고)재직자'!$A$2:$F$2761,2,0)</f>
        <v>이형우</v>
      </c>
      <c r="I1835" s="295">
        <v>46064</v>
      </c>
      <c r="J1835" s="80" t="str">
        <f>VLOOKUP('1.아이디어LIST'!L1835,Code!$A$21:$D$40,3,FALSE)&amp;", "&amp;VLOOKUP('1.아이디어LIST'!M1835,Code!$E$21:$H$45,3,FALSE)&amp;", "&amp;VLOOKUP('1.아이디어LIST'!M1835,Code!$E$21:$H$45,4,FALSE)</f>
        <v>박준용, 고한울, 박준용</v>
      </c>
      <c r="K1835" s="219" t="str">
        <f>VLOOKUP(L1835,Code!$A$21:$C$40,3,0)</f>
        <v>박준용</v>
      </c>
      <c r="L1835" s="84" t="s">
        <v>199</v>
      </c>
      <c r="M1835" s="84" t="s">
        <v>221</v>
      </c>
      <c r="N1835" s="201" t="s">
        <v>72</v>
      </c>
      <c r="O1835" s="200" t="s">
        <v>8548</v>
      </c>
      <c r="P1835" s="217" t="s">
        <v>8549</v>
      </c>
      <c r="Q1835" s="49" t="s">
        <v>75</v>
      </c>
      <c r="R1835" s="25" t="s">
        <v>75</v>
      </c>
      <c r="S1835" s="55"/>
      <c r="T1835" s="26"/>
      <c r="U1835" s="28"/>
      <c r="V1835" s="66"/>
      <c r="W1835" s="138"/>
      <c r="X1835" s="106"/>
      <c r="Y1835" s="209"/>
      <c r="Z1835" s="210"/>
      <c r="AA1835" s="207"/>
      <c r="AC1835" s="217"/>
    </row>
    <row r="1836" spans="1:29" ht="122.25" hidden="1" customHeight="1">
      <c r="A1836" s="88">
        <f t="shared" si="14"/>
        <v>1826</v>
      </c>
      <c r="B1836" s="79" t="str">
        <f>+VLOOKUP(L1836,Code!$A$3:$B$17,2,FALSE)&amp;"-"&amp;VLOOKUP('1.아이디어LIST'!M1836,Code!$C$3:$D$17,2,FALSE)&amp;"-"&amp;VLOOKUP('1.아이디어LIST'!N1836,Code!$E$3:$F$8,2,FALSE)&amp;"-"&amp;COUNTIFS($L$11:L1836,L1836,$M$11:M1836,M1836,$N$11:N1836,N1836)</f>
        <v>PR/C-A/S-CE-9</v>
      </c>
      <c r="C1836" s="148" t="str">
        <f>VLOOKUP(E1836,'(참고)재직자'!$A$2:$F$2761,3,0)</f>
        <v>건축</v>
      </c>
      <c r="D1836" s="80" t="str">
        <f>VLOOKUP(E1836,'(참고)재직자'!$A$2:$F$2761,5,0)</f>
        <v>본사</v>
      </c>
      <c r="E1836" s="27" t="s">
        <v>296</v>
      </c>
      <c r="F1836" s="80" t="str">
        <f>VLOOKUP(E1836,'(참고)재직자'!$A$2:$F$2761,6,0)</f>
        <v>차장</v>
      </c>
      <c r="G1836" s="81" t="str">
        <f>VLOOKUP(E1836,'(참고)재직자'!$A$2:$F$2761,4,0)</f>
        <v>건축지원팀</v>
      </c>
      <c r="H1836" s="80" t="str">
        <f>VLOOKUP(E1836,'(참고)재직자'!$A$2:$F$2761,2,0)</f>
        <v>이철호</v>
      </c>
      <c r="I1836" s="295">
        <v>46064</v>
      </c>
      <c r="J1836" s="80" t="str">
        <f>VLOOKUP('1.아이디어LIST'!L1836,Code!$A$21:$D$40,3,FALSE)&amp;", "&amp;VLOOKUP('1.아이디어LIST'!M1836,Code!$E$21:$H$45,3,FALSE)&amp;", "&amp;VLOOKUP('1.아이디어LIST'!M1836,Code!$E$21:$H$45,4,FALSE)</f>
        <v>고한울, 고한울, 박준용</v>
      </c>
      <c r="K1836" s="219" t="str">
        <f>VLOOKUP(L1836,Code!$A$21:$C$40,3,0)</f>
        <v>고한울</v>
      </c>
      <c r="L1836" s="84" t="s">
        <v>300</v>
      </c>
      <c r="M1836" s="84" t="s">
        <v>221</v>
      </c>
      <c r="N1836" s="201" t="s">
        <v>72</v>
      </c>
      <c r="O1836" s="200" t="s">
        <v>8550</v>
      </c>
      <c r="P1836" s="217" t="s">
        <v>8551</v>
      </c>
      <c r="Q1836" s="49" t="s">
        <v>75</v>
      </c>
      <c r="R1836" s="25" t="s">
        <v>91</v>
      </c>
      <c r="S1836" s="55"/>
      <c r="T1836" s="26"/>
      <c r="U1836" s="28"/>
      <c r="V1836" s="66"/>
      <c r="W1836" s="138"/>
      <c r="X1836" s="106"/>
      <c r="Y1836" s="209"/>
      <c r="Z1836" s="210"/>
      <c r="AA1836" s="207"/>
      <c r="AC1836" s="217"/>
    </row>
    <row r="1837" spans="1:29" ht="95.25" hidden="1" customHeight="1">
      <c r="A1837" s="88">
        <f t="shared" si="14"/>
        <v>1827</v>
      </c>
      <c r="B1837" s="79" t="str">
        <f>+VLOOKUP(L1837,Code!$A$3:$B$17,2,FALSE)&amp;"-"&amp;VLOOKUP('1.아이디어LIST'!M1837,Code!$C$3:$D$17,2,FALSE)&amp;"-"&amp;VLOOKUP('1.아이디어LIST'!N1837,Code!$E$3:$F$8,2,FALSE)&amp;"-"&amp;COUNTIFS($L$11:L1837,L1837,$M$11:M1837,M1837,$N$11:N1837,N1837)</f>
        <v>EN/I-Z-CE-13</v>
      </c>
      <c r="C1837" s="148" t="str">
        <f>VLOOKUP(E1837,'(참고)재직자'!$A$2:$F$2761,3,0)</f>
        <v>건축</v>
      </c>
      <c r="D1837" s="80" t="str">
        <f>VLOOKUP(E1837,'(참고)재직자'!$A$2:$F$2761,5,0)</f>
        <v>현장</v>
      </c>
      <c r="E1837" s="27" t="s">
        <v>2945</v>
      </c>
      <c r="F1837" s="80" t="str">
        <f>VLOOKUP(E1837,'(참고)재직자'!$A$2:$F$2761,6,0)</f>
        <v>과장</v>
      </c>
      <c r="G1837" s="81" t="str">
        <f>VLOOKUP(E1837,'(참고)재직자'!$A$2:$F$2761,4,0)</f>
        <v>운암3단지 재건축</v>
      </c>
      <c r="H1837" s="80" t="str">
        <f>VLOOKUP(E1837,'(참고)재직자'!$A$2:$F$2761,2,0)</f>
        <v>김동훈</v>
      </c>
      <c r="I1837" s="295">
        <v>46069</v>
      </c>
      <c r="J1837" s="80" t="str">
        <f>VLOOKUP('1.아이디어LIST'!L1837,Code!$A$21:$D$40,3,FALSE)&amp;", "&amp;VLOOKUP('1.아이디어LIST'!M1837,Code!$E$21:$H$45,3,FALSE)&amp;", "&amp;VLOOKUP('1.아이디어LIST'!M1837,Code!$E$21:$H$45,4,FALSE)</f>
        <v xml:space="preserve">김태용, 박준용, </v>
      </c>
      <c r="K1837" s="219" t="str">
        <f>VLOOKUP(L1837,Code!$A$21:$C$40,3,0)</f>
        <v>김태용</v>
      </c>
      <c r="L1837" s="84" t="s">
        <v>122</v>
      </c>
      <c r="M1837" s="84" t="s">
        <v>784</v>
      </c>
      <c r="N1837" s="201" t="s">
        <v>72</v>
      </c>
      <c r="O1837" s="200" t="s">
        <v>8552</v>
      </c>
      <c r="P1837" s="217" t="s">
        <v>8553</v>
      </c>
      <c r="Q1837" s="49" t="s">
        <v>91</v>
      </c>
      <c r="R1837" s="25"/>
      <c r="S1837" s="55"/>
      <c r="T1837" s="26"/>
      <c r="U1837" s="28" t="s">
        <v>8554</v>
      </c>
      <c r="V1837" s="66"/>
      <c r="W1837" s="138"/>
      <c r="X1837" s="106"/>
      <c r="Y1837" s="209"/>
      <c r="Z1837" s="210"/>
      <c r="AA1837" s="207"/>
      <c r="AC1837" s="217"/>
    </row>
    <row r="1838" spans="1:29" ht="71.25" hidden="1" customHeight="1">
      <c r="A1838" s="88">
        <f t="shared" si="14"/>
        <v>1828</v>
      </c>
      <c r="B1838" s="79" t="str">
        <f>+VLOOKUP(L1838,Code!$A$3:$B$17,2,FALSE)&amp;"-"&amp;VLOOKUP('1.아이디어LIST'!M1838,Code!$C$3:$D$17,2,FALSE)&amp;"-"&amp;VLOOKUP('1.아이디어LIST'!N1838,Code!$E$3:$F$8,2,FALSE)&amp;"-"&amp;COUNTIFS($L$11:L1838,L1838,$M$11:M1838,M1838,$N$11:N1838,N1838)</f>
        <v>CO/Z-YY-CE-18</v>
      </c>
      <c r="C1838" s="148" t="str">
        <f>VLOOKUP(E1838,'(참고)재직자'!$A$2:$F$2761,3,0)</f>
        <v>인프라</v>
      </c>
      <c r="D1838" s="80" t="str">
        <f>VLOOKUP(E1838,'(참고)재직자'!$A$2:$F$2761,5,0)</f>
        <v>현장</v>
      </c>
      <c r="E1838" s="27" t="s">
        <v>5731</v>
      </c>
      <c r="F1838" s="80" t="str">
        <f>VLOOKUP(E1838,'(참고)재직자'!$A$2:$F$2761,6,0)</f>
        <v>과장</v>
      </c>
      <c r="G1838" s="81" t="str">
        <f>VLOOKUP(E1838,'(참고)재직자'!$A$2:$F$2761,4,0)</f>
        <v>수원발 KTX 노반공사</v>
      </c>
      <c r="H1838" s="80" t="str">
        <f>VLOOKUP(E1838,'(참고)재직자'!$A$2:$F$2761,2,0)</f>
        <v>이무영</v>
      </c>
      <c r="I1838" s="295">
        <v>46069</v>
      </c>
      <c r="J1838" s="80" t="str">
        <f>VLOOKUP('1.아이디어LIST'!L1838,Code!$A$21:$D$40,3,FALSE)&amp;", "&amp;VLOOKUP('1.아이디어LIST'!M1838,Code!$E$21:$H$45,3,FALSE)&amp;", "&amp;VLOOKUP('1.아이디어LIST'!M1838,Code!$E$21:$H$45,4,FALSE)</f>
        <v xml:space="preserve">박재보, 박재보, </v>
      </c>
      <c r="K1838" s="219" t="s">
        <v>69</v>
      </c>
      <c r="L1838" s="84" t="s">
        <v>251</v>
      </c>
      <c r="M1838" s="84" t="s">
        <v>595</v>
      </c>
      <c r="N1838" s="201" t="s">
        <v>72</v>
      </c>
      <c r="O1838" s="311" t="s">
        <v>8555</v>
      </c>
      <c r="P1838" s="217" t="s">
        <v>8556</v>
      </c>
      <c r="Q1838" s="49" t="s">
        <v>75</v>
      </c>
      <c r="R1838" s="25" t="s">
        <v>91</v>
      </c>
      <c r="S1838" s="55"/>
      <c r="T1838" s="26"/>
      <c r="U1838" s="28"/>
      <c r="V1838" s="66"/>
      <c r="W1838" s="138"/>
      <c r="X1838" s="106"/>
      <c r="Y1838" s="209"/>
      <c r="Z1838" s="210"/>
      <c r="AA1838" s="207"/>
      <c r="AC1838" s="217"/>
    </row>
    <row r="1839" spans="1:29" ht="60.75" hidden="1" customHeight="1">
      <c r="A1839" s="88">
        <f t="shared" si="14"/>
        <v>1829</v>
      </c>
      <c r="B1839" s="79" t="str">
        <f>+VLOOKUP(L1839,Code!$A$3:$B$17,2,FALSE)&amp;"-"&amp;VLOOKUP('1.아이디어LIST'!M1839,Code!$C$3:$D$17,2,FALSE)&amp;"-"&amp;VLOOKUP('1.아이디어LIST'!N1839,Code!$E$3:$F$8,2,FALSE)&amp;"-"&amp;COUNTIFS($L$11:L1839,L1839,$M$11:M1839,M1839,$N$11:N1839,N1839)</f>
        <v>CO/D-ID/H-CE-72</v>
      </c>
      <c r="C1839" s="148" t="str">
        <f>VLOOKUP(E1839,'(참고)재직자'!$A$2:$F$2761,3,0)</f>
        <v>인프라</v>
      </c>
      <c r="D1839" s="80" t="str">
        <f>VLOOKUP(E1839,'(참고)재직자'!$A$2:$F$2761,5,0)</f>
        <v>현장</v>
      </c>
      <c r="E1839" s="27" t="s">
        <v>8557</v>
      </c>
      <c r="F1839" s="80" t="str">
        <f>VLOOKUP(E1839,'(참고)재직자'!$A$2:$F$2761,6,0)</f>
        <v>대리</v>
      </c>
      <c r="G1839" s="81" t="str">
        <f>VLOOKUP(E1839,'(참고)재직자'!$A$2:$F$2761,4,0)</f>
        <v>H-테크노밸리 부지조성공사</v>
      </c>
      <c r="H1839" s="80" t="str">
        <f>VLOOKUP(E1839,'(참고)재직자'!$A$2:$F$2761,2,0)</f>
        <v>조성민</v>
      </c>
      <c r="I1839" s="295">
        <v>46069</v>
      </c>
      <c r="J1839" s="80" t="str">
        <f>VLOOKUP('1.아이디어LIST'!L1839,Code!$A$21:$D$40,3,FALSE)&amp;", "&amp;VLOOKUP('1.아이디어LIST'!M1839,Code!$E$21:$H$45,3,FALSE)&amp;", "&amp;VLOOKUP('1.아이디어LIST'!M1839,Code!$E$21:$H$45,4,FALSE)</f>
        <v xml:space="preserve">고한울, 박재보, </v>
      </c>
      <c r="K1839" s="219" t="s">
        <v>1654</v>
      </c>
      <c r="L1839" s="84" t="s">
        <v>189</v>
      </c>
      <c r="M1839" s="84" t="s">
        <v>601</v>
      </c>
      <c r="N1839" s="201" t="s">
        <v>72</v>
      </c>
      <c r="O1839" s="312" t="s">
        <v>8558</v>
      </c>
      <c r="P1839" s="217" t="s">
        <v>8559</v>
      </c>
      <c r="Q1839" s="49" t="s">
        <v>91</v>
      </c>
      <c r="R1839" s="25"/>
      <c r="S1839" s="55"/>
      <c r="T1839" s="26"/>
      <c r="U1839" s="28" t="s">
        <v>8430</v>
      </c>
      <c r="V1839" s="66"/>
      <c r="W1839" s="138"/>
      <c r="X1839" s="106"/>
      <c r="Y1839" s="209"/>
      <c r="Z1839" s="210"/>
      <c r="AA1839" s="207"/>
      <c r="AC1839" s="217" t="s">
        <v>8211</v>
      </c>
    </row>
    <row r="1840" spans="1:29" ht="65.25" hidden="1" customHeight="1">
      <c r="A1840" s="88">
        <f t="shared" si="14"/>
        <v>1830</v>
      </c>
      <c r="B1840" s="79" t="str">
        <f>+VLOOKUP(L1840,Code!$A$3:$B$17,2,FALSE)&amp;"-"&amp;VLOOKUP('1.아이디어LIST'!M1840,Code!$C$3:$D$17,2,FALSE)&amp;"-"&amp;VLOOKUP('1.아이디어LIST'!N1840,Code!$E$3:$F$8,2,FALSE)&amp;"-"&amp;COUNTIFS($L$11:L1840,L1840,$M$11:M1840,M1840,$N$11:N1840,N1840)</f>
        <v>CO/D-ID/H-CE-73</v>
      </c>
      <c r="C1840" s="148" t="str">
        <f>VLOOKUP(E1840,'(참고)재직자'!$A$2:$F$2761,3,0)</f>
        <v>인프라</v>
      </c>
      <c r="D1840" s="80" t="str">
        <f>VLOOKUP(E1840,'(참고)재직자'!$A$2:$F$2761,5,0)</f>
        <v>현장</v>
      </c>
      <c r="E1840" s="27" t="s">
        <v>8557</v>
      </c>
      <c r="F1840" s="80" t="str">
        <f>VLOOKUP(E1840,'(참고)재직자'!$A$2:$F$2761,6,0)</f>
        <v>대리</v>
      </c>
      <c r="G1840" s="81" t="str">
        <f>VLOOKUP(E1840,'(참고)재직자'!$A$2:$F$2761,4,0)</f>
        <v>H-테크노밸리 부지조성공사</v>
      </c>
      <c r="H1840" s="80" t="str">
        <f>VLOOKUP(E1840,'(참고)재직자'!$A$2:$F$2761,2,0)</f>
        <v>조성민</v>
      </c>
      <c r="I1840" s="295">
        <v>46069</v>
      </c>
      <c r="J1840" s="80" t="str">
        <f>VLOOKUP('1.아이디어LIST'!L1840,Code!$A$21:$D$40,3,FALSE)&amp;", "&amp;VLOOKUP('1.아이디어LIST'!M1840,Code!$E$21:$H$45,3,FALSE)&amp;", "&amp;VLOOKUP('1.아이디어LIST'!M1840,Code!$E$21:$H$45,4,FALSE)</f>
        <v xml:space="preserve">고한울, 박재보, </v>
      </c>
      <c r="K1840" s="219" t="s">
        <v>1654</v>
      </c>
      <c r="L1840" s="84" t="s">
        <v>189</v>
      </c>
      <c r="M1840" s="84" t="s">
        <v>601</v>
      </c>
      <c r="N1840" s="201" t="s">
        <v>72</v>
      </c>
      <c r="O1840" s="312" t="s">
        <v>8560</v>
      </c>
      <c r="P1840" s="217" t="s">
        <v>8561</v>
      </c>
      <c r="Q1840" s="49" t="s">
        <v>75</v>
      </c>
      <c r="R1840" s="25" t="s">
        <v>91</v>
      </c>
      <c r="S1840" s="55"/>
      <c r="T1840" s="26"/>
      <c r="U1840" s="28" t="s">
        <v>8562</v>
      </c>
      <c r="V1840" s="66"/>
      <c r="W1840" s="138"/>
      <c r="X1840" s="106"/>
      <c r="Y1840" s="209"/>
      <c r="Z1840" s="210"/>
      <c r="AA1840" s="207"/>
      <c r="AC1840" s="217" t="s">
        <v>8211</v>
      </c>
    </row>
    <row r="1841" spans="1:29" ht="62.25" hidden="1" customHeight="1">
      <c r="A1841" s="288">
        <f t="shared" si="14"/>
        <v>1831</v>
      </c>
      <c r="B1841" s="79" t="str">
        <f>+VLOOKUP(L1841,Code!$A$3:$B$17,2,FALSE)&amp;"-"&amp;VLOOKUP('1.아이디어LIST'!M1841,Code!$C$3:$D$17,2,FALSE)&amp;"-"&amp;VLOOKUP('1.아이디어LIST'!N1841,Code!$E$3:$F$8,2,FALSE)&amp;"-"&amp;COUNTIFS($L$11:L1841,L1841,$M$11:M1841,M1841,$N$11:N1841,N1841)</f>
        <v>CO/D-ID/H-CE-74</v>
      </c>
      <c r="C1841" s="148" t="str">
        <f>VLOOKUP(E1841,'(참고)재직자'!$A$2:$F$2761,3,0)</f>
        <v>인프라</v>
      </c>
      <c r="D1841" s="80" t="str">
        <f>VLOOKUP(E1841,'(참고)재직자'!$A$2:$F$2761,5,0)</f>
        <v>현장</v>
      </c>
      <c r="E1841" s="27" t="s">
        <v>8557</v>
      </c>
      <c r="F1841" s="80" t="str">
        <f>VLOOKUP(E1841,'(참고)재직자'!$A$2:$F$2761,6,0)</f>
        <v>대리</v>
      </c>
      <c r="G1841" s="81" t="str">
        <f>VLOOKUP(E1841,'(참고)재직자'!$A$2:$F$2761,4,0)</f>
        <v>H-테크노밸리 부지조성공사</v>
      </c>
      <c r="H1841" s="80" t="str">
        <f>VLOOKUP(E1841,'(참고)재직자'!$A$2:$F$2761,2,0)</f>
        <v>조성민</v>
      </c>
      <c r="I1841" s="295">
        <v>46069</v>
      </c>
      <c r="J1841" s="80" t="str">
        <f>VLOOKUP('1.아이디어LIST'!L1841,Code!$A$21:$D$40,3,FALSE)&amp;", "&amp;VLOOKUP('1.아이디어LIST'!M1841,Code!$E$21:$H$45,3,FALSE)&amp;", "&amp;VLOOKUP('1.아이디어LIST'!M1841,Code!$E$21:$H$45,4,FALSE)</f>
        <v xml:space="preserve">고한울, 박재보, </v>
      </c>
      <c r="K1841" s="219" t="s">
        <v>1654</v>
      </c>
      <c r="L1841" s="84" t="s">
        <v>189</v>
      </c>
      <c r="M1841" s="84" t="s">
        <v>601</v>
      </c>
      <c r="N1841" s="201" t="s">
        <v>72</v>
      </c>
      <c r="O1841" s="312" t="s">
        <v>8563</v>
      </c>
      <c r="P1841" s="217" t="s">
        <v>8564</v>
      </c>
      <c r="Q1841" s="49" t="s">
        <v>91</v>
      </c>
      <c r="R1841" s="25"/>
      <c r="S1841" s="55"/>
      <c r="T1841" s="26"/>
      <c r="U1841" s="28" t="s">
        <v>8565</v>
      </c>
      <c r="V1841" s="66"/>
      <c r="W1841" s="138"/>
      <c r="X1841" s="106"/>
      <c r="Y1841" s="209"/>
      <c r="Z1841" s="210"/>
      <c r="AA1841" s="207"/>
      <c r="AC1841" s="217" t="s">
        <v>8211</v>
      </c>
    </row>
    <row r="1842" spans="1:29" ht="148.5" hidden="1" customHeight="1">
      <c r="A1842" s="288">
        <f t="shared" si="14"/>
        <v>1832</v>
      </c>
      <c r="B1842" s="79" t="str">
        <f>+VLOOKUP(L1842,Code!$A$3:$B$17,2,FALSE)&amp;"-"&amp;VLOOKUP('1.아이디어LIST'!M1842,Code!$C$3:$D$17,2,FALSE)&amp;"-"&amp;VLOOKUP('1.아이디어LIST'!N1842,Code!$E$3:$F$8,2,FALSE)&amp;"-"&amp;COUNTIFS($L$11:L1842,L1842,$M$11:M1842,M1842,$N$11:N1842,N1842)</f>
        <v>PR/P-ID/H-CE-7</v>
      </c>
      <c r="C1842" s="148" t="str">
        <f>VLOOKUP(E1842,'(참고)재직자'!$A$2:$F$2761,3,0)</f>
        <v>인프라</v>
      </c>
      <c r="D1842" s="80" t="str">
        <f>VLOOKUP(E1842,'(참고)재직자'!$A$2:$F$2761,5,0)</f>
        <v>현장</v>
      </c>
      <c r="E1842" s="27" t="s">
        <v>8557</v>
      </c>
      <c r="F1842" s="80" t="str">
        <f>VLOOKUP(E1842,'(참고)재직자'!$A$2:$F$2761,6,0)</f>
        <v>대리</v>
      </c>
      <c r="G1842" s="81" t="str">
        <f>VLOOKUP(E1842,'(참고)재직자'!$A$2:$F$2761,4,0)</f>
        <v>H-테크노밸리 부지조성공사</v>
      </c>
      <c r="H1842" s="80" t="str">
        <f>VLOOKUP(E1842,'(참고)재직자'!$A$2:$F$2761,2,0)</f>
        <v>조성민</v>
      </c>
      <c r="I1842" s="295">
        <v>46072</v>
      </c>
      <c r="J1842" s="80" t="str">
        <f>VLOOKUP('1.아이디어LIST'!L1842,Code!$A$21:$D$40,3,FALSE)&amp;", "&amp;VLOOKUP('1.아이디어LIST'!M1842,Code!$E$21:$H$45,3,FALSE)&amp;", "&amp;VLOOKUP('1.아이디어LIST'!M1842,Code!$E$21:$H$45,4,FALSE)</f>
        <v xml:space="preserve">박재보, 박재보, </v>
      </c>
      <c r="K1842" s="219" t="s">
        <v>69</v>
      </c>
      <c r="L1842" s="84" t="s">
        <v>70</v>
      </c>
      <c r="M1842" s="84" t="s">
        <v>601</v>
      </c>
      <c r="N1842" s="201" t="s">
        <v>72</v>
      </c>
      <c r="O1842" s="312" t="s">
        <v>8566</v>
      </c>
      <c r="P1842" s="217" t="s">
        <v>8567</v>
      </c>
      <c r="Q1842" s="49" t="s">
        <v>75</v>
      </c>
      <c r="R1842" s="25" t="s">
        <v>504</v>
      </c>
      <c r="S1842" s="55"/>
      <c r="T1842" s="26"/>
      <c r="U1842" s="28" t="s">
        <v>8568</v>
      </c>
      <c r="V1842" s="66"/>
      <c r="W1842" s="138"/>
      <c r="X1842" s="106"/>
      <c r="Y1842" s="209"/>
      <c r="Z1842" s="210"/>
      <c r="AA1842" s="207"/>
      <c r="AC1842" s="217" t="s">
        <v>8211</v>
      </c>
    </row>
    <row r="1843" spans="1:29" ht="132" hidden="1" customHeight="1">
      <c r="A1843" s="288">
        <f t="shared" si="14"/>
        <v>1833</v>
      </c>
      <c r="B1843" s="79" t="str">
        <f>+VLOOKUP(L1843,Code!$A$3:$B$17,2,FALSE)&amp;"-"&amp;VLOOKUP('1.아이디어LIST'!M1843,Code!$C$3:$D$17,2,FALSE)&amp;"-"&amp;VLOOKUP('1.아이디어LIST'!N1843,Code!$E$3:$F$8,2,FALSE)&amp;"-"&amp;COUNTIFS($L$11:L1843,L1843,$M$11:M1843,M1843,$N$11:N1843,N1843)</f>
        <v>PR/P-ID/H-CE-8</v>
      </c>
      <c r="C1843" s="148" t="str">
        <f>VLOOKUP(E1843,'(참고)재직자'!$A$2:$F$2761,3,0)</f>
        <v>인프라</v>
      </c>
      <c r="D1843" s="80" t="str">
        <f>VLOOKUP(E1843,'(참고)재직자'!$A$2:$F$2761,5,0)</f>
        <v>현장</v>
      </c>
      <c r="E1843" s="27" t="s">
        <v>8557</v>
      </c>
      <c r="F1843" s="80" t="str">
        <f>VLOOKUP(E1843,'(참고)재직자'!$A$2:$F$2761,6,0)</f>
        <v>대리</v>
      </c>
      <c r="G1843" s="81" t="str">
        <f>VLOOKUP(E1843,'(참고)재직자'!$A$2:$F$2761,4,0)</f>
        <v>H-테크노밸리 부지조성공사</v>
      </c>
      <c r="H1843" s="80" t="str">
        <f>VLOOKUP(E1843,'(참고)재직자'!$A$2:$F$2761,2,0)</f>
        <v>조성민</v>
      </c>
      <c r="I1843" s="295">
        <v>46072</v>
      </c>
      <c r="J1843" s="80" t="str">
        <f>VLOOKUP('1.아이디어LIST'!L1843,Code!$A$21:$D$40,3,FALSE)&amp;", "&amp;VLOOKUP('1.아이디어LIST'!M1843,Code!$E$21:$H$45,3,FALSE)&amp;", "&amp;VLOOKUP('1.아이디어LIST'!M1843,Code!$E$21:$H$45,4,FALSE)</f>
        <v xml:space="preserve">박재보, 박재보, </v>
      </c>
      <c r="K1843" s="219" t="s">
        <v>69</v>
      </c>
      <c r="L1843" s="84" t="s">
        <v>70</v>
      </c>
      <c r="M1843" s="84" t="s">
        <v>601</v>
      </c>
      <c r="N1843" s="201" t="s">
        <v>72</v>
      </c>
      <c r="O1843" s="312" t="s">
        <v>8569</v>
      </c>
      <c r="P1843" s="217" t="s">
        <v>8570</v>
      </c>
      <c r="Q1843" s="49" t="s">
        <v>75</v>
      </c>
      <c r="R1843" s="25" t="s">
        <v>91</v>
      </c>
      <c r="S1843" s="55"/>
      <c r="T1843" s="26"/>
      <c r="U1843" s="28" t="s">
        <v>8571</v>
      </c>
      <c r="V1843" s="66"/>
      <c r="W1843" s="138"/>
      <c r="X1843" s="106"/>
      <c r="Y1843" s="209"/>
      <c r="Z1843" s="210"/>
      <c r="AA1843" s="207"/>
      <c r="AC1843" s="217" t="s">
        <v>8211</v>
      </c>
    </row>
    <row r="1844" spans="1:29" ht="81" hidden="1" customHeight="1">
      <c r="A1844" s="288">
        <f t="shared" si="14"/>
        <v>1834</v>
      </c>
      <c r="B1844" s="79" t="str">
        <f>+VLOOKUP(L1844,Code!$A$3:$B$17,2,FALSE)&amp;"-"&amp;VLOOKUP('1.아이디어LIST'!M1844,Code!$C$3:$D$17,2,FALSE)&amp;"-"&amp;VLOOKUP('1.아이디어LIST'!N1844,Code!$E$3:$F$8,2,FALSE)&amp;"-"&amp;COUNTIFS($L$11:L1844,L1844,$M$11:M1844,M1844,$N$11:N1844,N1844)</f>
        <v>EN/I-A/F-CE-108</v>
      </c>
      <c r="C1844" s="148" t="str">
        <f>VLOOKUP(E1844,'(참고)재직자'!$A$2:$F$2761,3,0)</f>
        <v>건축</v>
      </c>
      <c r="D1844" s="80" t="str">
        <f>VLOOKUP(E1844,'(참고)재직자'!$A$2:$F$2761,5,0)</f>
        <v>현장</v>
      </c>
      <c r="E1844" s="27" t="s">
        <v>1418</v>
      </c>
      <c r="F1844" s="80" t="str">
        <f>VLOOKUP(E1844,'(참고)재직자'!$A$2:$F$2761,6,0)</f>
        <v>대리</v>
      </c>
      <c r="G1844" s="81" t="str">
        <f>VLOOKUP(E1844,'(참고)재직자'!$A$2:$F$2761,4,0)</f>
        <v>청주 매봉공원</v>
      </c>
      <c r="H1844" s="80" t="str">
        <f>VLOOKUP(E1844,'(참고)재직자'!$A$2:$F$2761,2,0)</f>
        <v>이경보</v>
      </c>
      <c r="I1844" s="295">
        <v>46072</v>
      </c>
      <c r="J1844" s="80" t="str">
        <f>VLOOKUP('1.아이디어LIST'!L1844,Code!$A$21:$D$40,3,FALSE)&amp;", "&amp;VLOOKUP('1.아이디어LIST'!M1844,Code!$E$21:$H$45,3,FALSE)&amp;", "&amp;VLOOKUP('1.아이디어LIST'!M1844,Code!$E$21:$H$45,4,FALSE)</f>
        <v>김태용, 고한울, 김태용</v>
      </c>
      <c r="K1844" s="219" t="str">
        <f>VLOOKUP(L1844,Code!$A$21:$C$40,3,0)</f>
        <v>김태용</v>
      </c>
      <c r="L1844" s="84" t="s">
        <v>122</v>
      </c>
      <c r="M1844" s="84" t="s">
        <v>114</v>
      </c>
      <c r="N1844" s="201" t="s">
        <v>72</v>
      </c>
      <c r="O1844" s="297" t="s">
        <v>8377</v>
      </c>
      <c r="P1844" s="217" t="s">
        <v>8572</v>
      </c>
      <c r="Q1844" s="49" t="s">
        <v>91</v>
      </c>
      <c r="R1844" s="25"/>
      <c r="S1844" s="55"/>
      <c r="T1844" s="26"/>
      <c r="U1844" s="28" t="s">
        <v>8573</v>
      </c>
      <c r="V1844" s="66"/>
      <c r="W1844" s="138"/>
      <c r="X1844" s="106"/>
      <c r="Y1844" s="209"/>
      <c r="Z1844" s="210"/>
      <c r="AA1844" s="207"/>
      <c r="AC1844" s="217"/>
    </row>
    <row r="1845" spans="1:29" ht="98.25" hidden="1" customHeight="1">
      <c r="A1845" s="288">
        <f t="shared" si="14"/>
        <v>1835</v>
      </c>
      <c r="B1845" s="79" t="str">
        <f>+VLOOKUP(L1845,Code!$A$3:$B$17,2,FALSE)&amp;"-"&amp;VLOOKUP('1.아이디어LIST'!M1845,Code!$C$3:$D$17,2,FALSE)&amp;"-"&amp;VLOOKUP('1.아이디어LIST'!N1845,Code!$E$3:$F$8,2,FALSE)&amp;"-"&amp;COUNTIFS($L$11:L1845,L1845,$M$11:M1845,M1845,$N$11:N1845,N1845)</f>
        <v>CO/I-YY-CE-28</v>
      </c>
      <c r="C1845" s="148" t="str">
        <f>VLOOKUP(E1845,'(참고)재직자'!$A$2:$F$2761,3,0)</f>
        <v>건축</v>
      </c>
      <c r="D1845" s="80" t="str">
        <f>VLOOKUP(E1845,'(참고)재직자'!$A$2:$F$2761,5,0)</f>
        <v>현장</v>
      </c>
      <c r="E1845" s="27" t="s">
        <v>8574</v>
      </c>
      <c r="F1845" s="80" t="str">
        <f>VLOOKUP(E1845,'(참고)재직자'!$A$2:$F$2761,6,0)</f>
        <v>대리</v>
      </c>
      <c r="G1845" s="81" t="str">
        <f>VLOOKUP(E1845,'(참고)재직자'!$A$2:$F$2761,4,0)</f>
        <v>상인천초교주변 재개발</v>
      </c>
      <c r="H1845" s="80" t="str">
        <f>VLOOKUP(E1845,'(참고)재직자'!$A$2:$F$2761,2,0)</f>
        <v>강은진</v>
      </c>
      <c r="I1845" s="295">
        <v>46072</v>
      </c>
      <c r="J1845" s="80" t="str">
        <f>VLOOKUP('1.아이디어LIST'!L1845,Code!$A$21:$D$40,3,FALSE)&amp;", "&amp;VLOOKUP('1.아이디어LIST'!M1845,Code!$E$21:$H$45,3,FALSE)&amp;", "&amp;VLOOKUP('1.아이디어LIST'!M1845,Code!$E$21:$H$45,4,FALSE)</f>
        <v xml:space="preserve">박재보, 박재보, </v>
      </c>
      <c r="K1845" s="219" t="str">
        <f>VLOOKUP(L1845,Code!$A$21:$C$40,3,0)</f>
        <v>박재보</v>
      </c>
      <c r="L1845" s="84" t="s">
        <v>100</v>
      </c>
      <c r="M1845" s="84" t="s">
        <v>595</v>
      </c>
      <c r="N1845" s="201" t="s">
        <v>72</v>
      </c>
      <c r="O1845" s="297" t="s">
        <v>8575</v>
      </c>
      <c r="P1845" s="217" t="s">
        <v>8576</v>
      </c>
      <c r="Q1845" s="49" t="s">
        <v>91</v>
      </c>
      <c r="R1845" s="25"/>
      <c r="S1845" s="55"/>
      <c r="T1845" s="26"/>
      <c r="U1845" s="28" t="s">
        <v>8577</v>
      </c>
      <c r="V1845" s="66"/>
      <c r="W1845" s="138"/>
      <c r="X1845" s="106"/>
      <c r="Y1845" s="209"/>
      <c r="Z1845" s="210"/>
      <c r="AA1845" s="207"/>
      <c r="AC1845" s="217" t="s">
        <v>8211</v>
      </c>
    </row>
    <row r="1846" spans="1:29" ht="126.75" hidden="1" customHeight="1">
      <c r="A1846" s="288">
        <f t="shared" si="14"/>
        <v>1836</v>
      </c>
      <c r="B1846" s="79" t="str">
        <f>+VLOOKUP(L1846,Code!$A$3:$B$17,2,FALSE)&amp;"-"&amp;VLOOKUP('1.아이디어LIST'!M1846,Code!$C$3:$D$17,2,FALSE)&amp;"-"&amp;VLOOKUP('1.아이디어LIST'!N1846,Code!$E$3:$F$8,2,FALSE)&amp;"-"&amp;COUNTIFS($L$11:L1846,L1846,$M$11:M1846,M1846,$N$11:N1846,N1846)</f>
        <v>CO/D-ID/H-CE-75</v>
      </c>
      <c r="C1846" s="148" t="str">
        <f>VLOOKUP(E1846,'(참고)재직자'!$A$2:$F$2761,3,0)</f>
        <v>건축</v>
      </c>
      <c r="D1846" s="80" t="str">
        <f>VLOOKUP(E1846,'(참고)재직자'!$A$2:$F$2761,5,0)</f>
        <v>현장</v>
      </c>
      <c r="E1846" s="27" t="s">
        <v>3555</v>
      </c>
      <c r="F1846" s="80" t="str">
        <f>VLOOKUP(E1846,'(참고)재직자'!$A$2:$F$2761,6,0)</f>
        <v>대리</v>
      </c>
      <c r="G1846" s="81" t="str">
        <f>VLOOKUP(E1846,'(참고)재직자'!$A$2:$F$2761,4,0)</f>
        <v>용산주공 재건축</v>
      </c>
      <c r="H1846" s="80" t="str">
        <f>VLOOKUP(E1846,'(참고)재직자'!$A$2:$F$2761,2,0)</f>
        <v>정상혁</v>
      </c>
      <c r="I1846" s="295">
        <v>46072</v>
      </c>
      <c r="J1846" s="80" t="str">
        <f>VLOOKUP('1.아이디어LIST'!L1846,Code!$A$21:$D$40,3,FALSE)&amp;", "&amp;VLOOKUP('1.아이디어LIST'!M1846,Code!$E$21:$H$45,3,FALSE)&amp;", "&amp;VLOOKUP('1.아이디어LIST'!M1846,Code!$E$21:$H$45,4,FALSE)</f>
        <v xml:space="preserve">고한울, 박재보, </v>
      </c>
      <c r="K1846" s="219" t="str">
        <f>VLOOKUP(L1846,Code!$A$21:$C$40,3,0)</f>
        <v>고한울</v>
      </c>
      <c r="L1846" s="84" t="s">
        <v>189</v>
      </c>
      <c r="M1846" s="84" t="s">
        <v>601</v>
      </c>
      <c r="N1846" s="201" t="s">
        <v>72</v>
      </c>
      <c r="O1846" s="297" t="s">
        <v>8578</v>
      </c>
      <c r="P1846" s="217" t="s">
        <v>8579</v>
      </c>
      <c r="Q1846" s="49"/>
      <c r="R1846" s="25"/>
      <c r="S1846" s="55"/>
      <c r="T1846" s="26"/>
      <c r="U1846" s="28"/>
      <c r="V1846" s="66"/>
      <c r="W1846" s="138"/>
      <c r="X1846" s="106"/>
      <c r="Y1846" s="209"/>
      <c r="Z1846" s="210"/>
      <c r="AA1846" s="207"/>
      <c r="AC1846" s="217" t="s">
        <v>8211</v>
      </c>
    </row>
    <row r="1847" spans="1:29" ht="96.75" hidden="1" customHeight="1">
      <c r="A1847" s="288">
        <f t="shared" si="14"/>
        <v>1837</v>
      </c>
      <c r="B1847" s="79" t="str">
        <f>+VLOOKUP(L1847,Code!$A$3:$B$17,2,FALSE)&amp;"-"&amp;VLOOKUP('1.아이디어LIST'!M1847,Code!$C$3:$D$17,2,FALSE)&amp;"-"&amp;VLOOKUP('1.아이디어LIST'!N1847,Code!$E$3:$F$8,2,FALSE)&amp;"-"&amp;COUNTIFS($L$11:L1847,L1847,$M$11:M1847,M1847,$N$11:N1847,N1847)</f>
        <v>CO/D-A/S-CE-97</v>
      </c>
      <c r="C1847" s="148" t="str">
        <f>VLOOKUP(E1847,'(참고)재직자'!$A$2:$F$2761,3,0)</f>
        <v>건축</v>
      </c>
      <c r="D1847" s="80" t="str">
        <f>VLOOKUP(E1847,'(참고)재직자'!$A$2:$F$2761,5,0)</f>
        <v>현장</v>
      </c>
      <c r="E1847" s="27" t="s">
        <v>8580</v>
      </c>
      <c r="F1847" s="80" t="str">
        <f>VLOOKUP(E1847,'(참고)재직자'!$A$2:$F$2761,6,0)</f>
        <v>차장</v>
      </c>
      <c r="G1847" s="81" t="str">
        <f>VLOOKUP(E1847,'(참고)재직자'!$A$2:$F$2761,4,0)</f>
        <v>춘천 프리미엄 빌리지 건설공사</v>
      </c>
      <c r="H1847" s="80" t="str">
        <f>VLOOKUP(E1847,'(참고)재직자'!$A$2:$F$2761,2,0)</f>
        <v>정상석</v>
      </c>
      <c r="I1847" s="295">
        <v>46072</v>
      </c>
      <c r="J1847" s="80" t="str">
        <f>VLOOKUP('1.아이디어LIST'!L1847,Code!$A$21:$D$40,3,FALSE)&amp;", "&amp;VLOOKUP('1.아이디어LIST'!M1847,Code!$E$21:$H$45,3,FALSE)&amp;", "&amp;VLOOKUP('1.아이디어LIST'!M1847,Code!$E$21:$H$45,4,FALSE)</f>
        <v>고한울, 고한울, 박준용</v>
      </c>
      <c r="K1847" s="219" t="str">
        <f>VLOOKUP(L1847,Code!$A$21:$C$40,3,0)</f>
        <v>고한울</v>
      </c>
      <c r="L1847" s="84" t="s">
        <v>189</v>
      </c>
      <c r="M1847" s="84" t="s">
        <v>221</v>
      </c>
      <c r="N1847" s="201" t="s">
        <v>72</v>
      </c>
      <c r="O1847" s="297" t="s">
        <v>8581</v>
      </c>
      <c r="P1847" s="217" t="s">
        <v>8582</v>
      </c>
      <c r="Q1847" s="49"/>
      <c r="R1847" s="25"/>
      <c r="S1847" s="55"/>
      <c r="T1847" s="26"/>
      <c r="U1847" s="28"/>
      <c r="V1847" s="66"/>
      <c r="W1847" s="138"/>
      <c r="X1847" s="106"/>
      <c r="Y1847" s="209"/>
      <c r="Z1847" s="210"/>
      <c r="AA1847" s="207"/>
      <c r="AC1847" s="217"/>
    </row>
    <row r="1848" spans="1:29" ht="159" hidden="1" customHeight="1">
      <c r="A1848" s="288">
        <f t="shared" si="14"/>
        <v>1838</v>
      </c>
      <c r="B1848" s="79" t="str">
        <f>+VLOOKUP(L1848,Code!$A$3:$B$17,2,FALSE)&amp;"-"&amp;VLOOKUP('1.아이디어LIST'!M1848,Code!$C$3:$D$17,2,FALSE)&amp;"-"&amp;VLOOKUP('1.아이디어LIST'!N1848,Code!$E$3:$F$8,2,FALSE)&amp;"-"&amp;COUNTIFS($L$11:L1848,L1848,$M$11:M1848,M1848,$N$11:N1848,N1848)</f>
        <v>EN/EX-A/S-CE-17</v>
      </c>
      <c r="C1848" s="148" t="str">
        <f>VLOOKUP(E1848,'(참고)재직자'!$A$2:$F$2761,3,0)</f>
        <v>건축</v>
      </c>
      <c r="D1848" s="80" t="str">
        <f>VLOOKUP(E1848,'(참고)재직자'!$A$2:$F$2761,5,0)</f>
        <v>본사</v>
      </c>
      <c r="E1848" s="27" t="s">
        <v>7105</v>
      </c>
      <c r="F1848" s="80" t="str">
        <f>VLOOKUP(E1848,'(참고)재직자'!$A$2:$F$2761,6,0)</f>
        <v>대리</v>
      </c>
      <c r="G1848" s="81" t="str">
        <f>VLOOKUP(E1848,'(참고)재직자'!$A$2:$F$2761,4,0)</f>
        <v>기술혁신팀</v>
      </c>
      <c r="H1848" s="80" t="str">
        <f>VLOOKUP(E1848,'(참고)재직자'!$A$2:$F$2761,2,0)</f>
        <v>안병찬</v>
      </c>
      <c r="I1848" s="295">
        <v>46072</v>
      </c>
      <c r="J1848" s="80" t="str">
        <f>VLOOKUP('1.아이디어LIST'!L1848,Code!$A$21:$D$40,3,FALSE)&amp;", "&amp;VLOOKUP('1.아이디어LIST'!M1848,Code!$E$21:$H$45,3,FALSE)&amp;", "&amp;VLOOKUP('1.아이디어LIST'!M1848,Code!$E$21:$H$45,4,FALSE)</f>
        <v>김태용, 고한울, 박준용</v>
      </c>
      <c r="K1848" s="219" t="s">
        <v>198</v>
      </c>
      <c r="L1848" s="84" t="s">
        <v>113</v>
      </c>
      <c r="M1848" s="84" t="s">
        <v>221</v>
      </c>
      <c r="N1848" s="201" t="s">
        <v>72</v>
      </c>
      <c r="O1848" s="297" t="s">
        <v>8583</v>
      </c>
      <c r="P1848" s="217" t="s">
        <v>8584</v>
      </c>
      <c r="Q1848" s="49" t="s">
        <v>75</v>
      </c>
      <c r="R1848" s="25" t="s">
        <v>504</v>
      </c>
      <c r="S1848" s="55"/>
      <c r="T1848" s="26"/>
      <c r="U1848" s="28" t="s">
        <v>8585</v>
      </c>
      <c r="V1848" s="66"/>
      <c r="W1848" s="138"/>
      <c r="X1848" s="106"/>
      <c r="Y1848" s="209"/>
      <c r="Z1848" s="210"/>
      <c r="AA1848" s="207"/>
      <c r="AC1848" s="217"/>
    </row>
    <row r="1849" spans="1:29" ht="192" hidden="1" customHeight="1">
      <c r="A1849" s="288">
        <f t="shared" si="14"/>
        <v>1839</v>
      </c>
      <c r="B1849" s="79" t="str">
        <f>+VLOOKUP(L1849,Code!$A$3:$B$17,2,FALSE)&amp;"-"&amp;VLOOKUP('1.아이디어LIST'!M1849,Code!$C$3:$D$17,2,FALSE)&amp;"-"&amp;VLOOKUP('1.아이디어LIST'!N1849,Code!$E$3:$F$8,2,FALSE)&amp;"-"&amp;COUNTIFS($L$11:L1849,L1849,$M$11:M1849,M1849,$N$11:N1849,N1849)</f>
        <v>CO/Z-PI-BE-1</v>
      </c>
      <c r="C1849" s="148" t="str">
        <f>VLOOKUP(E1849,'(참고)재직자'!$A$2:$F$2761,3,0)</f>
        <v>건축</v>
      </c>
      <c r="D1849" s="80" t="str">
        <f>VLOOKUP(E1849,'(참고)재직자'!$A$2:$F$2761,5,0)</f>
        <v>본사</v>
      </c>
      <c r="E1849" s="27" t="s">
        <v>420</v>
      </c>
      <c r="F1849" s="80" t="str">
        <f>VLOOKUP(E1849,'(참고)재직자'!$A$2:$F$2761,6,0)</f>
        <v>차장</v>
      </c>
      <c r="G1849" s="81" t="str">
        <f>VLOOKUP(E1849,'(참고)재직자'!$A$2:$F$2761,4,0)</f>
        <v>기술혁신팀</v>
      </c>
      <c r="H1849" s="80" t="str">
        <f>VLOOKUP(E1849,'(참고)재직자'!$A$2:$F$2761,2,0)</f>
        <v>정성호</v>
      </c>
      <c r="I1849" s="295">
        <v>46077</v>
      </c>
      <c r="J1849" s="80" t="str">
        <f>VLOOKUP('1.아이디어LIST'!L1849,Code!$A$21:$D$40,3,FALSE)&amp;", "&amp;VLOOKUP('1.아이디어LIST'!M1849,Code!$E$21:$H$45,3,FALSE)&amp;", "&amp;VLOOKUP('1.아이디어LIST'!M1849,Code!$E$21:$H$45,4,FALSE)</f>
        <v xml:space="preserve">박재보, 박재보, </v>
      </c>
      <c r="K1849" s="219" t="s">
        <v>198</v>
      </c>
      <c r="L1849" s="84" t="s">
        <v>251</v>
      </c>
      <c r="M1849" s="84" t="s">
        <v>252</v>
      </c>
      <c r="N1849" s="201" t="s">
        <v>1191</v>
      </c>
      <c r="O1849" s="297" t="s">
        <v>8586</v>
      </c>
      <c r="P1849" s="217" t="s">
        <v>8587</v>
      </c>
      <c r="Q1849" s="49" t="s">
        <v>75</v>
      </c>
      <c r="R1849" s="25" t="s">
        <v>504</v>
      </c>
      <c r="S1849" s="55"/>
      <c r="T1849" s="26"/>
      <c r="U1849" s="28" t="s">
        <v>8588</v>
      </c>
      <c r="V1849" s="66"/>
      <c r="W1849" s="138"/>
      <c r="X1849" s="106"/>
      <c r="Y1849" s="209"/>
      <c r="Z1849" s="210"/>
      <c r="AA1849" s="207"/>
      <c r="AC1849" s="217"/>
    </row>
    <row r="1850" spans="1:29" ht="111.75" hidden="1" customHeight="1">
      <c r="A1850" s="288">
        <f t="shared" si="14"/>
        <v>1840</v>
      </c>
      <c r="B1850" s="79" t="str">
        <f>+VLOOKUP(L1850,Code!$A$3:$B$17,2,FALSE)&amp;"-"&amp;VLOOKUP('1.아이디어LIST'!M1850,Code!$C$3:$D$17,2,FALSE)&amp;"-"&amp;VLOOKUP('1.아이디어LIST'!N1850,Code!$E$3:$F$8,2,FALSE)&amp;"-"&amp;COUNTIFS($L$11:L1850,L1850,$M$11:M1850,M1850,$N$11:N1850,N1850)</f>
        <v>EN/S-E-CE-1</v>
      </c>
      <c r="C1850" s="148" t="str">
        <f>VLOOKUP(E1850,'(참고)재직자'!$A$2:$F$2761,3,0)</f>
        <v>건축</v>
      </c>
      <c r="D1850" s="80" t="str">
        <f>VLOOKUP(E1850,'(참고)재직자'!$A$2:$F$2761,5,0)</f>
        <v>현장</v>
      </c>
      <c r="E1850" s="27" t="s">
        <v>1418</v>
      </c>
      <c r="F1850" s="80" t="str">
        <f>VLOOKUP(E1850,'(참고)재직자'!$A$2:$F$2761,6,0)</f>
        <v>대리</v>
      </c>
      <c r="G1850" s="81" t="str">
        <f>VLOOKUP(E1850,'(참고)재직자'!$A$2:$F$2761,4,0)</f>
        <v>청주 매봉공원</v>
      </c>
      <c r="H1850" s="80" t="str">
        <f>VLOOKUP(E1850,'(참고)재직자'!$A$2:$F$2761,2,0)</f>
        <v>이경보</v>
      </c>
      <c r="I1850" s="295">
        <v>46079</v>
      </c>
      <c r="J1850" s="80" t="str">
        <f>VLOOKUP('1.아이디어LIST'!L1850,Code!$A$21:$D$40,3,FALSE)&amp;", "&amp;VLOOKUP('1.아이디어LIST'!M1850,Code!$E$21:$H$45,3,FALSE)&amp;", "&amp;VLOOKUP('1.아이디어LIST'!M1850,Code!$E$21:$H$45,4,FALSE)</f>
        <v xml:space="preserve">박준용, 오정화, </v>
      </c>
      <c r="K1850" s="219" t="str">
        <f>VLOOKUP(L1850,Code!$A$21:$C$40,3,0)</f>
        <v>박준용</v>
      </c>
      <c r="L1850" s="84" t="s">
        <v>199</v>
      </c>
      <c r="M1850" s="84" t="s">
        <v>148</v>
      </c>
      <c r="N1850" s="201" t="s">
        <v>72</v>
      </c>
      <c r="O1850" s="297" t="s">
        <v>8589</v>
      </c>
      <c r="P1850" s="217" t="s">
        <v>8590</v>
      </c>
      <c r="Q1850" s="49" t="s">
        <v>75</v>
      </c>
      <c r="R1850" s="25" t="s">
        <v>91</v>
      </c>
      <c r="S1850" s="55"/>
      <c r="T1850" s="26"/>
      <c r="U1850" s="28" t="s">
        <v>8591</v>
      </c>
      <c r="V1850" s="66"/>
      <c r="W1850" s="138"/>
      <c r="X1850" s="106"/>
      <c r="Y1850" s="209"/>
      <c r="Z1850" s="210"/>
      <c r="AA1850" s="207"/>
      <c r="AC1850" s="217"/>
    </row>
    <row r="1851" spans="1:29" ht="109.5" hidden="1" customHeight="1">
      <c r="A1851" s="288">
        <f t="shared" si="14"/>
        <v>1841</v>
      </c>
      <c r="B1851" s="79" t="str">
        <f>+VLOOKUP(L1851,Code!$A$3:$B$17,2,FALSE)&amp;"-"&amp;VLOOKUP('1.아이디어LIST'!M1851,Code!$C$3:$D$17,2,FALSE)&amp;"-"&amp;VLOOKUP('1.아이디어LIST'!N1851,Code!$E$3:$F$8,2,FALSE)&amp;"-"&amp;COUNTIFS($L$11:L1851,L1851,$M$11:M1851,M1851,$N$11:N1851,N1851)</f>
        <v>EN/M-PI-CE-1</v>
      </c>
      <c r="C1851" s="148" t="str">
        <f>VLOOKUP(E1851,'(참고)재직자'!$A$2:$F$2761,3,0)</f>
        <v>건축</v>
      </c>
      <c r="D1851" s="80" t="str">
        <f>VLOOKUP(E1851,'(참고)재직자'!$A$2:$F$2761,5,0)</f>
        <v>본사</v>
      </c>
      <c r="E1851" s="27" t="s">
        <v>8592</v>
      </c>
      <c r="F1851" s="80" t="str">
        <f>VLOOKUP(E1851,'(참고)재직자'!$A$2:$F$2761,6,0)</f>
        <v>대리</v>
      </c>
      <c r="G1851" s="81" t="str">
        <f>VLOOKUP(E1851,'(참고)재직자'!$A$2:$F$2761,4,0)</f>
        <v>기술혁신팀</v>
      </c>
      <c r="H1851" s="80" t="str">
        <f>VLOOKUP(E1851,'(참고)재직자'!$A$2:$F$2761,2,0)</f>
        <v>장선웅</v>
      </c>
      <c r="I1851" s="295">
        <v>46079</v>
      </c>
      <c r="J1851" s="80" t="str">
        <f>VLOOKUP('1.아이디어LIST'!L1851,Code!$A$21:$D$40,3,FALSE)&amp;", "&amp;VLOOKUP('1.아이디어LIST'!M1851,Code!$E$21:$H$45,3,FALSE)&amp;", "&amp;VLOOKUP('1.아이디어LIST'!M1851,Code!$E$21:$H$45,4,FALSE)</f>
        <v xml:space="preserve">박병규, 박재보, </v>
      </c>
      <c r="K1851" s="219" t="str">
        <f>VLOOKUP(L1851,Code!$A$21:$C$40,3,0)</f>
        <v>박병규</v>
      </c>
      <c r="L1851" s="84" t="s">
        <v>171</v>
      </c>
      <c r="M1851" s="84" t="s">
        <v>252</v>
      </c>
      <c r="N1851" s="201" t="s">
        <v>72</v>
      </c>
      <c r="O1851" s="297" t="s">
        <v>8593</v>
      </c>
      <c r="P1851" s="217" t="s">
        <v>8594</v>
      </c>
      <c r="Q1851" s="49" t="s">
        <v>75</v>
      </c>
      <c r="R1851" s="25" t="s">
        <v>504</v>
      </c>
      <c r="S1851" s="55"/>
      <c r="T1851" s="26"/>
      <c r="U1851" s="28" t="s">
        <v>8595</v>
      </c>
      <c r="V1851" s="66"/>
      <c r="W1851" s="138"/>
      <c r="X1851" s="106"/>
      <c r="Y1851" s="209"/>
      <c r="Z1851" s="210"/>
      <c r="AA1851" s="207"/>
      <c r="AC1851" s="217"/>
    </row>
    <row r="1852" spans="1:29" ht="152.25" hidden="1" customHeight="1">
      <c r="A1852" s="288">
        <f t="shared" si="14"/>
        <v>1842</v>
      </c>
      <c r="B1852" s="79" t="str">
        <f>+VLOOKUP(L1852,Code!$A$3:$B$17,2,FALSE)&amp;"-"&amp;VLOOKUP('1.아이디어LIST'!M1852,Code!$C$3:$D$17,2,FALSE)&amp;"-"&amp;VLOOKUP('1.아이디어LIST'!N1852,Code!$E$3:$F$8,2,FALSE)&amp;"-"&amp;COUNTIFS($L$11:L1852,L1852,$M$11:M1852,M1852,$N$11:N1852,N1852)</f>
        <v>EN/S-A/S-CE-81</v>
      </c>
      <c r="C1852" s="148" t="str">
        <f>VLOOKUP(E1852,'(참고)재직자'!$A$2:$F$2761,3,0)</f>
        <v>건축</v>
      </c>
      <c r="D1852" s="80" t="str">
        <f>VLOOKUP(E1852,'(참고)재직자'!$A$2:$F$2761,5,0)</f>
        <v>본사</v>
      </c>
      <c r="E1852" s="27" t="s">
        <v>432</v>
      </c>
      <c r="F1852" s="80" t="str">
        <f>VLOOKUP(E1852,'(참고)재직자'!$A$2:$F$2761,6,0)</f>
        <v>과장</v>
      </c>
      <c r="G1852" s="81" t="str">
        <f>VLOOKUP(E1852,'(참고)재직자'!$A$2:$F$2761,4,0)</f>
        <v>기술혁신팀</v>
      </c>
      <c r="H1852" s="80" t="str">
        <f>VLOOKUP(E1852,'(참고)재직자'!$A$2:$F$2761,2,0)</f>
        <v>구경모</v>
      </c>
      <c r="I1852" s="295">
        <v>46079</v>
      </c>
      <c r="J1852" s="80" t="str">
        <f>VLOOKUP('1.아이디어LIST'!L1852,Code!$A$21:$D$40,3,FALSE)&amp;", "&amp;VLOOKUP('1.아이디어LIST'!M1852,Code!$E$21:$H$45,3,FALSE)&amp;", "&amp;VLOOKUP('1.아이디어LIST'!M1852,Code!$E$21:$H$45,4,FALSE)</f>
        <v>박준용, 고한울, 박준용</v>
      </c>
      <c r="K1852" s="219" t="str">
        <f>VLOOKUP(L1852,Code!$A$21:$C$40,3,0)</f>
        <v>박준용</v>
      </c>
      <c r="L1852" s="84" t="s">
        <v>199</v>
      </c>
      <c r="M1852" s="84" t="s">
        <v>221</v>
      </c>
      <c r="N1852" s="201" t="s">
        <v>72</v>
      </c>
      <c r="O1852" s="297" t="s">
        <v>8596</v>
      </c>
      <c r="P1852" s="217" t="s">
        <v>8597</v>
      </c>
      <c r="Q1852" s="49" t="s">
        <v>75</v>
      </c>
      <c r="R1852" s="25" t="s">
        <v>504</v>
      </c>
      <c r="S1852" s="55"/>
      <c r="T1852" s="26"/>
      <c r="U1852" s="28" t="s">
        <v>8598</v>
      </c>
      <c r="V1852" s="66"/>
      <c r="W1852" s="138"/>
      <c r="X1852" s="106"/>
      <c r="Y1852" s="209"/>
      <c r="Z1852" s="210"/>
      <c r="AA1852" s="207"/>
      <c r="AC1852" s="217"/>
    </row>
    <row r="1853" spans="1:29" ht="44.25" hidden="1" customHeight="1">
      <c r="A1853" s="288">
        <f t="shared" si="14"/>
        <v>1843</v>
      </c>
      <c r="B1853" s="79" t="str">
        <f>+VLOOKUP(L1853,Code!$A$3:$B$17,2,FALSE)&amp;"-"&amp;VLOOKUP('1.아이디어LIST'!M1853,Code!$C$3:$D$17,2,FALSE)&amp;"-"&amp;VLOOKUP('1.아이디어LIST'!N1853,Code!$E$3:$F$8,2,FALSE)&amp;"-"&amp;COUNTIFS($L$11:L1853,L1853,$M$11:M1853,M1853,$N$11:N1853,N1853)</f>
        <v>EN/I-A/F-CE-109</v>
      </c>
      <c r="C1853" s="148" t="str">
        <f>VLOOKUP(E1853,'(참고)재직자'!$A$2:$F$2761,3,0)</f>
        <v>건축</v>
      </c>
      <c r="D1853" s="80" t="str">
        <f>VLOOKUP(E1853,'(참고)재직자'!$A$2:$F$2761,5,0)</f>
        <v>현장</v>
      </c>
      <c r="E1853" s="27" t="s">
        <v>8599</v>
      </c>
      <c r="F1853" s="80" t="str">
        <f>VLOOKUP(E1853,'(참고)재직자'!$A$2:$F$2761,6,0)</f>
        <v>차장</v>
      </c>
      <c r="G1853" s="81" t="str">
        <f>VLOOKUP(E1853,'(참고)재직자'!$A$2:$F$2761,4,0)</f>
        <v>상인천초교주변 재개발</v>
      </c>
      <c r="H1853" s="80" t="str">
        <f>VLOOKUP(E1853,'(참고)재직자'!$A$2:$F$2761,2,0)</f>
        <v>이영규</v>
      </c>
      <c r="I1853" s="295">
        <v>46080</v>
      </c>
      <c r="J1853" s="80" t="str">
        <f>VLOOKUP('1.아이디어LIST'!L1853,Code!$A$21:$D$40,3,FALSE)&amp;", "&amp;VLOOKUP('1.아이디어LIST'!M1853,Code!$E$21:$H$45,3,FALSE)&amp;", "&amp;VLOOKUP('1.아이디어LIST'!M1853,Code!$E$21:$H$45,4,FALSE)</f>
        <v>김태용, 고한울, 김태용</v>
      </c>
      <c r="K1853" s="219" t="str">
        <f>VLOOKUP(L1853,Code!$A$21:$C$40,3,0)</f>
        <v>김태용</v>
      </c>
      <c r="L1853" s="84" t="s">
        <v>122</v>
      </c>
      <c r="M1853" s="84" t="s">
        <v>114</v>
      </c>
      <c r="N1853" s="201" t="s">
        <v>72</v>
      </c>
      <c r="O1853" s="297" t="s">
        <v>8600</v>
      </c>
      <c r="P1853" s="217" t="s">
        <v>8601</v>
      </c>
      <c r="Q1853" s="49" t="s">
        <v>91</v>
      </c>
      <c r="R1853" s="25"/>
      <c r="S1853" s="55"/>
      <c r="T1853" s="26"/>
      <c r="U1853" s="28" t="s">
        <v>8602</v>
      </c>
      <c r="V1853" s="66"/>
      <c r="W1853" s="138"/>
      <c r="X1853" s="106"/>
      <c r="Y1853" s="209"/>
      <c r="Z1853" s="210"/>
      <c r="AA1853" s="207"/>
      <c r="AC1853" s="217"/>
    </row>
    <row r="1854" spans="1:29" ht="44.25" hidden="1" customHeight="1">
      <c r="A1854" s="288">
        <f t="shared" si="14"/>
        <v>1844</v>
      </c>
      <c r="B1854" s="79" t="str">
        <f>+VLOOKUP(L1854,Code!$A$3:$B$17,2,FALSE)&amp;"-"&amp;VLOOKUP('1.아이디어LIST'!M1854,Code!$C$3:$D$17,2,FALSE)&amp;"-"&amp;VLOOKUP('1.아이디어LIST'!N1854,Code!$E$3:$F$8,2,FALSE)&amp;"-"&amp;COUNTIFS($L$11:L1854,L1854,$M$11:M1854,M1854,$N$11:N1854,N1854)</f>
        <v>CO/D-ID/H-CE-76</v>
      </c>
      <c r="C1854" s="148" t="str">
        <f>VLOOKUP(E1854,'(참고)재직자'!$A$2:$F$2761,3,0)</f>
        <v>건축</v>
      </c>
      <c r="D1854" s="80" t="str">
        <f>VLOOKUP(E1854,'(참고)재직자'!$A$2:$F$2761,5,0)</f>
        <v>현장</v>
      </c>
      <c r="E1854" s="27" t="s">
        <v>8414</v>
      </c>
      <c r="F1854" s="80" t="str">
        <f>VLOOKUP(E1854,'(참고)재직자'!$A$2:$F$2761,6,0)</f>
        <v>대리</v>
      </c>
      <c r="G1854" s="81" t="str">
        <f>VLOOKUP(E1854,'(참고)재직자'!$A$2:$F$2761,4,0)</f>
        <v>울산 무거동 공동주택</v>
      </c>
      <c r="H1854" s="80" t="str">
        <f>VLOOKUP(E1854,'(참고)재직자'!$A$2:$F$2761,2,0)</f>
        <v>장슬기</v>
      </c>
      <c r="I1854" s="295">
        <v>46084</v>
      </c>
      <c r="J1854" s="80" t="str">
        <f>VLOOKUP('1.아이디어LIST'!L1854,Code!$A$21:$D$40,3,FALSE)&amp;", "&amp;VLOOKUP('1.아이디어LIST'!M1854,Code!$E$21:$H$45,3,FALSE)&amp;", "&amp;VLOOKUP('1.아이디어LIST'!M1854,Code!$E$21:$H$45,4,FALSE)</f>
        <v xml:space="preserve">고한울, 박재보, </v>
      </c>
      <c r="K1854" s="219" t="str">
        <f>VLOOKUP(L1854,Code!$A$21:$C$40,3,0)</f>
        <v>고한울</v>
      </c>
      <c r="L1854" s="84" t="s">
        <v>189</v>
      </c>
      <c r="M1854" s="84" t="s">
        <v>601</v>
      </c>
      <c r="N1854" s="201" t="s">
        <v>72</v>
      </c>
      <c r="O1854" s="297" t="s">
        <v>8603</v>
      </c>
      <c r="P1854" s="217" t="s">
        <v>8604</v>
      </c>
      <c r="Q1854" s="49"/>
      <c r="R1854" s="25"/>
      <c r="S1854" s="55"/>
      <c r="T1854" s="26"/>
      <c r="U1854" s="28"/>
      <c r="V1854" s="66"/>
      <c r="W1854" s="138"/>
      <c r="X1854" s="106"/>
      <c r="Y1854" s="209"/>
      <c r="Z1854" s="210"/>
      <c r="AA1854" s="207"/>
      <c r="AC1854" s="217" t="s">
        <v>8211</v>
      </c>
    </row>
    <row r="1855" spans="1:29" ht="44.25" hidden="1" customHeight="1">
      <c r="A1855" s="288">
        <f t="shared" si="14"/>
        <v>1845</v>
      </c>
      <c r="B1855" s="79" t="str">
        <f>+VLOOKUP(L1855,Code!$A$3:$B$17,2,FALSE)&amp;"-"&amp;VLOOKUP('1.아이디어LIST'!M1855,Code!$C$3:$D$17,2,FALSE)&amp;"-"&amp;VLOOKUP('1.아이디어LIST'!N1855,Code!$E$3:$F$8,2,FALSE)&amp;"-"&amp;COUNTIFS($L$11:L1855,L1855,$M$11:M1855,M1855,$N$11:N1855,N1855)</f>
        <v>CO/Z-PI-SNA-71</v>
      </c>
      <c r="C1855" s="148" t="str">
        <f>VLOOKUP(E1855,'(참고)재직자'!$A$2:$F$2761,3,0)</f>
        <v>인프라</v>
      </c>
      <c r="D1855" s="80" t="str">
        <f>VLOOKUP(E1855,'(참고)재직자'!$A$2:$F$2761,5,0)</f>
        <v>현장</v>
      </c>
      <c r="E1855" s="27" t="s">
        <v>3854</v>
      </c>
      <c r="F1855" s="80" t="str">
        <f>VLOOKUP(E1855,'(참고)재직자'!$A$2:$F$2761,6,0)</f>
        <v>과장</v>
      </c>
      <c r="G1855" s="81" t="str">
        <f>VLOOKUP(E1855,'(참고)재직자'!$A$2:$F$2761,4,0)</f>
        <v>광양항 율촌 물류단지 조성공사</v>
      </c>
      <c r="H1855" s="80" t="str">
        <f>VLOOKUP(E1855,'(참고)재직자'!$A$2:$F$2761,2,0)</f>
        <v>강달호</v>
      </c>
      <c r="I1855" s="295">
        <v>46084</v>
      </c>
      <c r="J1855" s="80" t="str">
        <f>VLOOKUP('1.아이디어LIST'!L1855,Code!$A$21:$D$40,3,FALSE)&amp;", "&amp;VLOOKUP('1.아이디어LIST'!M1855,Code!$E$21:$H$45,3,FALSE)&amp;", "&amp;VLOOKUP('1.아이디어LIST'!M1855,Code!$E$21:$H$45,4,FALSE)</f>
        <v xml:space="preserve">박재보, 박재보, </v>
      </c>
      <c r="K1855" s="219" t="str">
        <f>VLOOKUP(L1855,Code!$A$21:$C$40,3,0)</f>
        <v>박재보</v>
      </c>
      <c r="L1855" s="84" t="s">
        <v>251</v>
      </c>
      <c r="M1855" s="84" t="s">
        <v>252</v>
      </c>
      <c r="N1855" s="201" t="s">
        <v>920</v>
      </c>
      <c r="O1855" s="312" t="s">
        <v>8605</v>
      </c>
      <c r="P1855" s="217" t="s">
        <v>8606</v>
      </c>
      <c r="Q1855" s="49" t="s">
        <v>91</v>
      </c>
      <c r="R1855" s="25"/>
      <c r="S1855" s="55"/>
      <c r="T1855" s="26"/>
      <c r="U1855" s="28" t="s">
        <v>8607</v>
      </c>
      <c r="V1855" s="66"/>
      <c r="W1855" s="138"/>
      <c r="X1855" s="106"/>
      <c r="Y1855" s="209"/>
      <c r="Z1855" s="210"/>
      <c r="AA1855" s="207"/>
      <c r="AC1855" s="217"/>
    </row>
    <row r="1856" spans="1:29" ht="44.25" hidden="1" customHeight="1">
      <c r="A1856" s="288">
        <f t="shared" si="14"/>
        <v>1846</v>
      </c>
      <c r="B1856" s="79" t="str">
        <f>+VLOOKUP(L1856,Code!$A$3:$B$17,2,FALSE)&amp;"-"&amp;VLOOKUP('1.아이디어LIST'!M1856,Code!$C$3:$D$17,2,FALSE)&amp;"-"&amp;VLOOKUP('1.아이디어LIST'!N1856,Code!$E$3:$F$8,2,FALSE)&amp;"-"&amp;COUNTIFS($L$11:L1856,L1856,$M$11:M1856,M1856,$N$11:N1856,N1856)</f>
        <v>PR/P-YY-CE-3</v>
      </c>
      <c r="C1856" s="148" t="str">
        <f>VLOOKUP(E1856,'(참고)재직자'!$A$2:$F$2761,3,0)</f>
        <v>인프라</v>
      </c>
      <c r="D1856" s="80" t="str">
        <f>VLOOKUP(E1856,'(참고)재직자'!$A$2:$F$2761,5,0)</f>
        <v>현장</v>
      </c>
      <c r="E1856" s="27" t="s">
        <v>3854</v>
      </c>
      <c r="F1856" s="80" t="str">
        <f>VLOOKUP(E1856,'(참고)재직자'!$A$2:$F$2761,6,0)</f>
        <v>과장</v>
      </c>
      <c r="G1856" s="81" t="str">
        <f>VLOOKUP(E1856,'(참고)재직자'!$A$2:$F$2761,4,0)</f>
        <v>광양항 율촌 물류단지 조성공사</v>
      </c>
      <c r="H1856" s="80" t="str">
        <f>VLOOKUP(E1856,'(참고)재직자'!$A$2:$F$2761,2,0)</f>
        <v>강달호</v>
      </c>
      <c r="I1856" s="295">
        <v>46085</v>
      </c>
      <c r="J1856" s="80" t="str">
        <f>VLOOKUP('1.아이디어LIST'!L1856,Code!$A$21:$D$40,3,FALSE)&amp;", "&amp;VLOOKUP('1.아이디어LIST'!M1856,Code!$E$21:$H$45,3,FALSE)&amp;", "&amp;VLOOKUP('1.아이디어LIST'!M1856,Code!$E$21:$H$45,4,FALSE)</f>
        <v xml:space="preserve">박재보, 박재보, </v>
      </c>
      <c r="K1856" s="219" t="str">
        <f>VLOOKUP(L1856,Code!$A$21:$C$40,3,0)</f>
        <v>박재보</v>
      </c>
      <c r="L1856" s="84" t="s">
        <v>70</v>
      </c>
      <c r="M1856" s="84" t="s">
        <v>595</v>
      </c>
      <c r="N1856" s="201" t="s">
        <v>72</v>
      </c>
      <c r="O1856" s="312" t="s">
        <v>8608</v>
      </c>
      <c r="P1856" s="217" t="s">
        <v>8609</v>
      </c>
      <c r="Q1856" s="49" t="s">
        <v>75</v>
      </c>
      <c r="R1856" s="25" t="s">
        <v>91</v>
      </c>
      <c r="S1856" s="55"/>
      <c r="T1856" s="26"/>
      <c r="U1856" s="28" t="s">
        <v>8610</v>
      </c>
      <c r="V1856" s="66"/>
      <c r="W1856" s="138"/>
      <c r="X1856" s="106"/>
      <c r="Y1856" s="209"/>
      <c r="Z1856" s="210"/>
      <c r="AA1856" s="207"/>
      <c r="AC1856" s="217"/>
    </row>
    <row r="1857" spans="1:29" ht="44.25" hidden="1" customHeight="1">
      <c r="A1857" s="288">
        <f t="shared" si="14"/>
        <v>1847</v>
      </c>
      <c r="B1857" s="79" t="str">
        <f>+VLOOKUP(L1857,Code!$A$3:$B$17,2,FALSE)&amp;"-"&amp;VLOOKUP('1.아이디어LIST'!M1857,Code!$C$3:$D$17,2,FALSE)&amp;"-"&amp;VLOOKUP('1.아이디어LIST'!N1857,Code!$E$3:$F$8,2,FALSE)&amp;"-"&amp;COUNTIFS($L$11:L1857,L1857,$M$11:M1857,M1857,$N$11:N1857,N1857)</f>
        <v>PR/C-A/S-CE-10</v>
      </c>
      <c r="C1857" s="148" t="str">
        <f>VLOOKUP(E1857,'(참고)재직자'!$A$2:$F$2761,3,0)</f>
        <v>건축</v>
      </c>
      <c r="D1857" s="80" t="str">
        <f>VLOOKUP(E1857,'(참고)재직자'!$A$2:$F$2761,5,0)</f>
        <v>현장</v>
      </c>
      <c r="E1857" s="27" t="s">
        <v>2756</v>
      </c>
      <c r="F1857" s="80" t="str">
        <f>VLOOKUP(E1857,'(참고)재직자'!$A$2:$F$2761,6,0)</f>
        <v>대리</v>
      </c>
      <c r="G1857" s="81" t="str">
        <f>VLOOKUP(E1857,'(참고)재직자'!$A$2:$F$2761,4,0)</f>
        <v>춘천 프리미엄 빌리지 건설공사</v>
      </c>
      <c r="H1857" s="80" t="str">
        <f>VLOOKUP(E1857,'(참고)재직자'!$A$2:$F$2761,2,0)</f>
        <v>이제준</v>
      </c>
      <c r="I1857" s="295">
        <v>46085</v>
      </c>
      <c r="J1857" s="80" t="str">
        <f>VLOOKUP('1.아이디어LIST'!L1857,Code!$A$21:$D$40,3,FALSE)&amp;", "&amp;VLOOKUP('1.아이디어LIST'!M1857,Code!$E$21:$H$45,3,FALSE)&amp;", "&amp;VLOOKUP('1.아이디어LIST'!M1857,Code!$E$21:$H$45,4,FALSE)</f>
        <v>고한울, 고한울, 박준용</v>
      </c>
      <c r="K1857" s="219" t="str">
        <f>VLOOKUP(L1857,Code!$A$21:$C$40,3,0)</f>
        <v>고한울</v>
      </c>
      <c r="L1857" s="84" t="s">
        <v>300</v>
      </c>
      <c r="M1857" s="84" t="s">
        <v>221</v>
      </c>
      <c r="N1857" s="201" t="s">
        <v>72</v>
      </c>
      <c r="O1857" s="297" t="s">
        <v>8611</v>
      </c>
      <c r="P1857" s="217" t="s">
        <v>8612</v>
      </c>
      <c r="Q1857" s="49"/>
      <c r="R1857" s="25"/>
      <c r="S1857" s="55"/>
      <c r="T1857" s="26"/>
      <c r="U1857" s="28"/>
      <c r="V1857" s="66"/>
      <c r="W1857" s="138"/>
      <c r="X1857" s="106"/>
      <c r="Y1857" s="209"/>
      <c r="Z1857" s="210"/>
      <c r="AA1857" s="207"/>
      <c r="AC1857" s="217"/>
    </row>
    <row r="1858" spans="1:29" ht="131.25" customHeight="1">
      <c r="A1858" s="288">
        <f t="shared" si="14"/>
        <v>1848</v>
      </c>
      <c r="B1858" s="79" t="str">
        <f>+VLOOKUP(L1858,Code!$A$3:$B$17,2,FALSE)&amp;"-"&amp;VLOOKUP('1.아이디어LIST'!M1858,Code!$C$3:$D$17,2,FALSE)&amp;"-"&amp;VLOOKUP('1.아이디어LIST'!N1858,Code!$E$3:$F$8,2,FALSE)&amp;"-"&amp;COUNTIFS($L$11:L1858,L1858,$M$11:M1858,M1858,$N$11:N1858,N1858)</f>
        <v>D/PM-PI-BE-7</v>
      </c>
      <c r="C1858" s="148" t="str">
        <f>VLOOKUP(E1858,'(참고)재직자'!$A$2:$F$2761,3,0)</f>
        <v>건축</v>
      </c>
      <c r="D1858" s="80" t="str">
        <f>VLOOKUP(E1858,'(참고)재직자'!$A$2:$F$2761,5,0)</f>
        <v>현장</v>
      </c>
      <c r="E1858" s="27" t="s">
        <v>8613</v>
      </c>
      <c r="F1858" s="80" t="str">
        <f>VLOOKUP(E1858,'(참고)재직자'!$A$2:$F$2761,6,0)</f>
        <v>사원</v>
      </c>
      <c r="G1858" s="81" t="str">
        <f>VLOOKUP(E1858,'(참고)재직자'!$A$2:$F$2761,4,0)</f>
        <v>충주 용산주공 재건축</v>
      </c>
      <c r="H1858" s="80" t="str">
        <f>VLOOKUP(E1858,'(참고)재직자'!$A$2:$F$2761,2,0)</f>
        <v>문정웅</v>
      </c>
      <c r="I1858" s="295">
        <v>46085</v>
      </c>
      <c r="J1858" s="80" t="str">
        <f>VLOOKUP('1.아이디어LIST'!L1858,Code!$A$21:$D$40,3,FALSE)&amp;", "&amp;VLOOKUP('1.아이디어LIST'!M1858,Code!$E$21:$H$45,3,FALSE)&amp;", "&amp;VLOOKUP('1.아이디어LIST'!M1858,Code!$E$21:$H$45,4,FALSE)</f>
        <v xml:space="preserve">박명진, 박재보, </v>
      </c>
      <c r="K1858" s="219" t="str">
        <f>VLOOKUP(L1858,Code!$A$21:$C$40,3,0)</f>
        <v>박명진</v>
      </c>
      <c r="L1858" s="84" t="s">
        <v>4387</v>
      </c>
      <c r="M1858" s="84" t="s">
        <v>252</v>
      </c>
      <c r="N1858" s="201" t="s">
        <v>1191</v>
      </c>
      <c r="O1858" s="297" t="s">
        <v>8614</v>
      </c>
      <c r="P1858" s="217" t="s">
        <v>8615</v>
      </c>
      <c r="Q1858" s="298" t="s">
        <v>75</v>
      </c>
      <c r="R1858" s="147" t="s">
        <v>504</v>
      </c>
      <c r="S1858" s="55"/>
      <c r="T1858" s="26"/>
      <c r="U1858" s="28" t="s">
        <v>8616</v>
      </c>
      <c r="V1858" s="66"/>
      <c r="W1858" s="138"/>
      <c r="X1858" s="106"/>
      <c r="Y1858" s="209"/>
      <c r="Z1858" s="210"/>
      <c r="AA1858" s="207"/>
      <c r="AC1858" s="217"/>
    </row>
    <row r="1859" spans="1:29" ht="240" hidden="1" customHeight="1">
      <c r="A1859" s="288">
        <f t="shared" si="14"/>
        <v>1849</v>
      </c>
      <c r="B1859" s="79" t="str">
        <f>+VLOOKUP(L1859,Code!$A$3:$B$17,2,FALSE)&amp;"-"&amp;VLOOKUP('1.아이디어LIST'!M1859,Code!$C$3:$D$17,2,FALSE)&amp;"-"&amp;VLOOKUP('1.아이디어LIST'!N1859,Code!$E$3:$F$8,2,FALSE)&amp;"-"&amp;COUNTIFS($L$11:L1859,L1859,$M$11:M1859,M1859,$N$11:N1859,N1859)</f>
        <v>PR/C-ID/Z-CE-2</v>
      </c>
      <c r="C1859" s="148" t="str">
        <f>VLOOKUP(E1859,'(참고)재직자'!$A$2:$F$2761,3,0)</f>
        <v>건축</v>
      </c>
      <c r="D1859" s="80" t="str">
        <f>VLOOKUP(E1859,'(참고)재직자'!$A$2:$F$2761,5,0)</f>
        <v>본사</v>
      </c>
      <c r="E1859" s="27" t="s">
        <v>8617</v>
      </c>
      <c r="F1859" s="80" t="str">
        <f>VLOOKUP(E1859,'(참고)재직자'!$A$2:$F$2761,6,0)</f>
        <v>과장</v>
      </c>
      <c r="G1859" s="81" t="str">
        <f>VLOOKUP(E1859,'(참고)재직자'!$A$2:$F$2761,4,0)</f>
        <v>건축지원팀</v>
      </c>
      <c r="H1859" s="80" t="str">
        <f>VLOOKUP(E1859,'(참고)재직자'!$A$2:$F$2761,2,0)</f>
        <v>문원형</v>
      </c>
      <c r="I1859" s="295">
        <v>46085</v>
      </c>
      <c r="J1859" s="80" t="str">
        <f>VLOOKUP('1.아이디어LIST'!L1859,Code!$A$21:$D$40,3,FALSE)&amp;", "&amp;VLOOKUP('1.아이디어LIST'!M1859,Code!$E$21:$H$45,3,FALSE)&amp;", "&amp;VLOOKUP('1.아이디어LIST'!M1859,Code!$E$21:$H$45,4,FALSE)</f>
        <v xml:space="preserve">고한울, 박재보, </v>
      </c>
      <c r="K1859" s="219" t="str">
        <f>VLOOKUP(L1859,Code!$A$21:$C$40,3,0)</f>
        <v>고한울</v>
      </c>
      <c r="L1859" s="84" t="s">
        <v>300</v>
      </c>
      <c r="M1859" s="84" t="s">
        <v>904</v>
      </c>
      <c r="N1859" s="201" t="s">
        <v>72</v>
      </c>
      <c r="O1859" s="297" t="s">
        <v>8618</v>
      </c>
      <c r="P1859" s="217" t="s">
        <v>8619</v>
      </c>
      <c r="Q1859" s="49"/>
      <c r="R1859" s="25"/>
      <c r="S1859" s="55"/>
      <c r="T1859" s="26"/>
      <c r="U1859" s="28"/>
      <c r="V1859" s="66"/>
      <c r="W1859" s="138"/>
      <c r="X1859" s="106"/>
      <c r="Y1859" s="209"/>
      <c r="Z1859" s="210"/>
      <c r="AA1859" s="207"/>
      <c r="AC1859" s="217"/>
    </row>
    <row r="1860" spans="1:29" ht="48" hidden="1" customHeight="1">
      <c r="A1860" s="288">
        <f t="shared" si="14"/>
        <v>1850</v>
      </c>
      <c r="B1860" s="79" t="str">
        <f>+VLOOKUP(L1860,Code!$A$3:$B$17,2,FALSE)&amp;"-"&amp;VLOOKUP('1.아이디어LIST'!M1860,Code!$C$3:$D$17,2,FALSE)&amp;"-"&amp;VLOOKUP('1.아이디어LIST'!N1860,Code!$E$3:$F$8,2,FALSE)&amp;"-"&amp;COUNTIFS($L$11:L1860,L1860,$M$11:M1860,M1860,$N$11:N1860,N1860)</f>
        <v>PR/C-ID/Z-CE-3</v>
      </c>
      <c r="C1860" s="148" t="str">
        <f>VLOOKUP(E1860,'(참고)재직자'!$A$2:$F$2761,3,0)</f>
        <v>건축</v>
      </c>
      <c r="D1860" s="80" t="str">
        <f>VLOOKUP(E1860,'(참고)재직자'!$A$2:$F$2761,5,0)</f>
        <v>본사</v>
      </c>
      <c r="E1860" s="27" t="s">
        <v>925</v>
      </c>
      <c r="F1860" s="80" t="str">
        <f>VLOOKUP(E1860,'(참고)재직자'!$A$2:$F$2761,6,0)</f>
        <v>과장</v>
      </c>
      <c r="G1860" s="81" t="str">
        <f>VLOOKUP(E1860,'(참고)재직자'!$A$2:$F$2761,4,0)</f>
        <v>건축지원팀</v>
      </c>
      <c r="H1860" s="80" t="str">
        <f>VLOOKUP(E1860,'(참고)재직자'!$A$2:$F$2761,2,0)</f>
        <v>강한승</v>
      </c>
      <c r="I1860" s="295">
        <v>46085</v>
      </c>
      <c r="J1860" s="80" t="str">
        <f>VLOOKUP('1.아이디어LIST'!L1860,Code!$A$21:$D$40,3,FALSE)&amp;", "&amp;VLOOKUP('1.아이디어LIST'!M1860,Code!$E$21:$H$45,3,FALSE)&amp;", "&amp;VLOOKUP('1.아이디어LIST'!M1860,Code!$E$21:$H$45,4,FALSE)</f>
        <v xml:space="preserve">고한울, 박재보, </v>
      </c>
      <c r="K1860" s="219" t="str">
        <f>VLOOKUP(L1860,Code!$A$21:$C$40,3,0)</f>
        <v>고한울</v>
      </c>
      <c r="L1860" s="84" t="s">
        <v>300</v>
      </c>
      <c r="M1860" s="84" t="s">
        <v>904</v>
      </c>
      <c r="N1860" s="201" t="s">
        <v>72</v>
      </c>
      <c r="O1860" s="297" t="s">
        <v>8620</v>
      </c>
      <c r="P1860" s="217" t="s">
        <v>8621</v>
      </c>
      <c r="Q1860" s="49"/>
      <c r="R1860" s="25"/>
      <c r="S1860" s="55"/>
      <c r="T1860" s="26"/>
      <c r="U1860" s="28"/>
      <c r="V1860" s="66"/>
      <c r="W1860" s="138"/>
      <c r="X1860" s="106"/>
      <c r="Y1860" s="209"/>
      <c r="Z1860" s="210"/>
      <c r="AA1860" s="207"/>
      <c r="AC1860" s="217"/>
    </row>
    <row r="1861" spans="1:29" ht="164.25" hidden="1" customHeight="1">
      <c r="A1861" s="288">
        <f t="shared" si="14"/>
        <v>1851</v>
      </c>
      <c r="B1861" s="79" t="str">
        <f>+VLOOKUP(L1861,Code!$A$3:$B$17,2,FALSE)&amp;"-"&amp;VLOOKUP('1.아이디어LIST'!M1861,Code!$C$3:$D$17,2,FALSE)&amp;"-"&amp;VLOOKUP('1.아이디어LIST'!N1861,Code!$E$3:$F$8,2,FALSE)&amp;"-"&amp;COUNTIFS($L$11:L1861,L1861,$M$11:M1861,M1861,$N$11:N1861,N1861)</f>
        <v>CO/Z-PI-SNA-72</v>
      </c>
      <c r="C1861" s="148" t="str">
        <f>VLOOKUP(E1861,'(참고)재직자'!$A$2:$F$2761,3,0)</f>
        <v>인프라</v>
      </c>
      <c r="D1861" s="80" t="str">
        <f>VLOOKUP(E1861,'(참고)재직자'!$A$2:$F$2761,5,0)</f>
        <v>현장</v>
      </c>
      <c r="E1861" s="27" t="s">
        <v>3854</v>
      </c>
      <c r="F1861" s="80" t="str">
        <f>VLOOKUP(E1861,'(참고)재직자'!$A$2:$F$2761,6,0)</f>
        <v>과장</v>
      </c>
      <c r="G1861" s="81" t="str">
        <f>VLOOKUP(E1861,'(참고)재직자'!$A$2:$F$2761,4,0)</f>
        <v>광양항 율촌 물류단지 조성공사</v>
      </c>
      <c r="H1861" s="80" t="str">
        <f>VLOOKUP(E1861,'(참고)재직자'!$A$2:$F$2761,2,0)</f>
        <v>강달호</v>
      </c>
      <c r="I1861" s="295">
        <v>46085</v>
      </c>
      <c r="J1861" s="80" t="str">
        <f>VLOOKUP('1.아이디어LIST'!L1861,Code!$A$21:$D$40,3,FALSE)&amp;", "&amp;VLOOKUP('1.아이디어LIST'!M1861,Code!$E$21:$H$45,3,FALSE)&amp;", "&amp;VLOOKUP('1.아이디어LIST'!M1861,Code!$E$21:$H$45,4,FALSE)</f>
        <v xml:space="preserve">박재보, 박재보, </v>
      </c>
      <c r="K1861" s="219" t="str">
        <f>VLOOKUP(L1861,Code!$A$21:$C$40,3,0)</f>
        <v>박재보</v>
      </c>
      <c r="L1861" s="84" t="s">
        <v>251</v>
      </c>
      <c r="M1861" s="84" t="s">
        <v>252</v>
      </c>
      <c r="N1861" s="201" t="s">
        <v>920</v>
      </c>
      <c r="O1861" s="312" t="s">
        <v>8622</v>
      </c>
      <c r="P1861" s="217" t="s">
        <v>8623</v>
      </c>
      <c r="Q1861" s="49" t="s">
        <v>91</v>
      </c>
      <c r="R1861" s="25"/>
      <c r="S1861" s="55"/>
      <c r="T1861" s="26"/>
      <c r="U1861" s="28" t="s">
        <v>8624</v>
      </c>
      <c r="V1861" s="66"/>
      <c r="W1861" s="138"/>
      <c r="X1861" s="106"/>
      <c r="Y1861" s="209"/>
      <c r="Z1861" s="210"/>
      <c r="AA1861" s="207"/>
      <c r="AC1861" s="217"/>
    </row>
    <row r="1862" spans="1:29" ht="145.5" hidden="1" customHeight="1">
      <c r="A1862" s="288">
        <f t="shared" si="14"/>
        <v>1852</v>
      </c>
      <c r="B1862" s="79" t="str">
        <f>+VLOOKUP(L1862,Code!$A$3:$B$17,2,FALSE)&amp;"-"&amp;VLOOKUP('1.아이디어LIST'!M1862,Code!$C$3:$D$17,2,FALSE)&amp;"-"&amp;VLOOKUP('1.아이디어LIST'!N1862,Code!$E$3:$F$8,2,FALSE)&amp;"-"&amp;COUNTIFS($L$11:L1862,L1862,$M$11:M1862,M1862,$N$11:N1862,N1862)</f>
        <v>EN/S-Z-CE-2</v>
      </c>
      <c r="C1862" s="148" t="str">
        <f>VLOOKUP(E1862,'(참고)재직자'!$A$2:$F$2761,3,0)</f>
        <v>건축</v>
      </c>
      <c r="D1862" s="80" t="str">
        <f>VLOOKUP(E1862,'(참고)재직자'!$A$2:$F$2761,5,0)</f>
        <v>현장</v>
      </c>
      <c r="E1862" s="27" t="s">
        <v>1418</v>
      </c>
      <c r="F1862" s="80" t="str">
        <f>VLOOKUP(E1862,'(참고)재직자'!$A$2:$F$2761,6,0)</f>
        <v>대리</v>
      </c>
      <c r="G1862" s="81" t="str">
        <f>VLOOKUP(E1862,'(참고)재직자'!$A$2:$F$2761,4,0)</f>
        <v>청주 매봉공원</v>
      </c>
      <c r="H1862" s="80" t="str">
        <f>VLOOKUP(E1862,'(참고)재직자'!$A$2:$F$2761,2,0)</f>
        <v>이경보</v>
      </c>
      <c r="I1862" s="295">
        <v>46085</v>
      </c>
      <c r="J1862" s="80" t="str">
        <f>VLOOKUP('1.아이디어LIST'!L1862,Code!$A$21:$D$40,3,FALSE)&amp;", "&amp;VLOOKUP('1.아이디어LIST'!M1862,Code!$E$21:$H$45,3,FALSE)&amp;", "&amp;VLOOKUP('1.아이디어LIST'!M1862,Code!$E$21:$H$45,4,FALSE)</f>
        <v xml:space="preserve">박준용, 박준용, </v>
      </c>
      <c r="K1862" s="219" t="str">
        <f>VLOOKUP(L1862,Code!$A$21:$C$40,3,0)</f>
        <v>박준용</v>
      </c>
      <c r="L1862" s="84" t="s">
        <v>199</v>
      </c>
      <c r="M1862" s="84" t="s">
        <v>784</v>
      </c>
      <c r="N1862" s="201" t="s">
        <v>72</v>
      </c>
      <c r="O1862" s="297" t="s">
        <v>8625</v>
      </c>
      <c r="P1862" s="217" t="s">
        <v>8626</v>
      </c>
      <c r="Q1862" s="49" t="s">
        <v>75</v>
      </c>
      <c r="R1862" s="25" t="s">
        <v>91</v>
      </c>
      <c r="S1862" s="55"/>
      <c r="T1862" s="26"/>
      <c r="U1862" s="28" t="s">
        <v>8627</v>
      </c>
      <c r="V1862" s="66"/>
      <c r="W1862" s="138"/>
      <c r="X1862" s="106"/>
      <c r="Y1862" s="209"/>
      <c r="Z1862" s="210"/>
      <c r="AA1862" s="207"/>
      <c r="AC1862" s="217"/>
    </row>
    <row r="1863" spans="1:29" ht="84" hidden="1" customHeight="1">
      <c r="A1863" s="288">
        <f t="shared" si="14"/>
        <v>1853</v>
      </c>
      <c r="B1863" s="79" t="str">
        <f>+VLOOKUP(L1863,Code!$A$3:$B$17,2,FALSE)&amp;"-"&amp;VLOOKUP('1.아이디어LIST'!M1863,Code!$C$3:$D$17,2,FALSE)&amp;"-"&amp;VLOOKUP('1.아이디어LIST'!N1863,Code!$E$3:$F$8,2,FALSE)&amp;"-"&amp;COUNTIFS($L$11:L1863,L1863,$M$11:M1863,M1863,$N$11:N1863,N1863)</f>
        <v>CO/I-PI-EXP-4</v>
      </c>
      <c r="C1863" s="148" t="str">
        <f>VLOOKUP(E1863,'(참고)재직자'!$A$2:$F$2761,3,0)</f>
        <v>건축</v>
      </c>
      <c r="D1863" s="80" t="str">
        <f>VLOOKUP(E1863,'(참고)재직자'!$A$2:$F$2761,5,0)</f>
        <v>현장</v>
      </c>
      <c r="E1863" s="27" t="s">
        <v>3831</v>
      </c>
      <c r="F1863" s="80" t="str">
        <f>VLOOKUP(E1863,'(참고)재직자'!$A$2:$F$2761,6,0)</f>
        <v>차장</v>
      </c>
      <c r="G1863" s="81" t="str">
        <f>VLOOKUP(E1863,'(참고)재직자'!$A$2:$F$2761,4,0)</f>
        <v>횡성 병영시설 신축공사</v>
      </c>
      <c r="H1863" s="80" t="str">
        <f>VLOOKUP(E1863,'(참고)재직자'!$A$2:$F$2761,2,0)</f>
        <v>박승산</v>
      </c>
      <c r="I1863" s="295">
        <v>46085</v>
      </c>
      <c r="J1863" s="80" t="str">
        <f>VLOOKUP('1.아이디어LIST'!L1863,Code!$A$21:$D$40,3,FALSE)&amp;", "&amp;VLOOKUP('1.아이디어LIST'!M1863,Code!$E$21:$H$45,3,FALSE)&amp;", "&amp;VLOOKUP('1.아이디어LIST'!M1863,Code!$E$21:$H$45,4,FALSE)</f>
        <v xml:space="preserve">박재보, 박재보, </v>
      </c>
      <c r="K1863" s="219" t="str">
        <f>VLOOKUP(L1863,Code!$A$21:$C$40,3,0)</f>
        <v>박재보</v>
      </c>
      <c r="L1863" s="84" t="s">
        <v>100</v>
      </c>
      <c r="M1863" s="84" t="s">
        <v>252</v>
      </c>
      <c r="N1863" s="201" t="s">
        <v>253</v>
      </c>
      <c r="O1863" s="297" t="s">
        <v>8628</v>
      </c>
      <c r="P1863" s="217" t="s">
        <v>8629</v>
      </c>
      <c r="Q1863" s="49" t="s">
        <v>75</v>
      </c>
      <c r="R1863" s="25"/>
      <c r="S1863" s="55"/>
      <c r="T1863" s="26"/>
      <c r="U1863" s="28"/>
      <c r="V1863" s="66"/>
      <c r="W1863" s="138"/>
      <c r="X1863" s="106"/>
      <c r="Y1863" s="209"/>
      <c r="Z1863" s="210"/>
      <c r="AA1863" s="207"/>
      <c r="AC1863" s="217" t="s">
        <v>8211</v>
      </c>
    </row>
    <row r="1864" spans="1:29" ht="90.75" hidden="1" customHeight="1">
      <c r="A1864" s="288">
        <f t="shared" si="14"/>
        <v>1854</v>
      </c>
      <c r="B1864" s="79" t="str">
        <f>+VLOOKUP(L1864,Code!$A$3:$B$17,2,FALSE)&amp;"-"&amp;VLOOKUP('1.아이디어LIST'!M1864,Code!$C$3:$D$17,2,FALSE)&amp;"-"&amp;VLOOKUP('1.아이디어LIST'!N1864,Code!$E$3:$F$8,2,FALSE)&amp;"-"&amp;COUNTIFS($L$11:L1864,L1864,$M$11:M1864,M1864,$N$11:N1864,N1864)</f>
        <v>EN/E-E-CE-79</v>
      </c>
      <c r="C1864" s="148" t="str">
        <f>VLOOKUP(E1864,'(참고)재직자'!$A$2:$F$2761,3,0)</f>
        <v>건축</v>
      </c>
      <c r="D1864" s="80" t="str">
        <f>VLOOKUP(E1864,'(참고)재직자'!$A$2:$F$2761,5,0)</f>
        <v>현장</v>
      </c>
      <c r="E1864" s="27" t="s">
        <v>3362</v>
      </c>
      <c r="F1864" s="80" t="str">
        <f>VLOOKUP(E1864,'(참고)재직자'!$A$2:$F$2761,6,0)</f>
        <v>부장</v>
      </c>
      <c r="G1864" s="81" t="str">
        <f>VLOOKUP(E1864,'(참고)재직자'!$A$2:$F$2761,4,0)</f>
        <v>충주 용산주공 재건축</v>
      </c>
      <c r="H1864" s="80" t="str">
        <f>VLOOKUP(E1864,'(참고)재직자'!$A$2:$F$2761,2,0)</f>
        <v>고춘욱</v>
      </c>
      <c r="I1864" s="295">
        <v>46085</v>
      </c>
      <c r="J1864" s="80" t="str">
        <f>VLOOKUP('1.아이디어LIST'!L1864,Code!$A$21:$D$40,3,FALSE)&amp;", "&amp;VLOOKUP('1.아이디어LIST'!M1864,Code!$E$21:$H$45,3,FALSE)&amp;", "&amp;VLOOKUP('1.아이디어LIST'!M1864,Code!$E$21:$H$45,4,FALSE)</f>
        <v xml:space="preserve">오정화, 오정화, </v>
      </c>
      <c r="K1864" s="219" t="str">
        <f>VLOOKUP(L1864,Code!$A$21:$C$40,3,0)</f>
        <v>오정화</v>
      </c>
      <c r="L1864" s="84" t="s">
        <v>147</v>
      </c>
      <c r="M1864" s="84" t="s">
        <v>148</v>
      </c>
      <c r="N1864" s="201" t="s">
        <v>72</v>
      </c>
      <c r="O1864" s="297" t="s">
        <v>8630</v>
      </c>
      <c r="P1864" s="217" t="s">
        <v>8631</v>
      </c>
      <c r="Q1864" s="49"/>
      <c r="R1864" s="25"/>
      <c r="S1864" s="55"/>
      <c r="T1864" s="26"/>
      <c r="U1864" s="28"/>
      <c r="V1864" s="66"/>
      <c r="W1864" s="138"/>
      <c r="X1864" s="106"/>
      <c r="Y1864" s="209"/>
      <c r="Z1864" s="210"/>
      <c r="AA1864" s="207"/>
      <c r="AC1864" s="217"/>
    </row>
    <row r="1865" spans="1:29" ht="69.75" hidden="1" customHeight="1">
      <c r="A1865" s="288">
        <f t="shared" si="14"/>
        <v>1855</v>
      </c>
      <c r="B1865" s="79" t="str">
        <f>+VLOOKUP(L1865,Code!$A$3:$B$17,2,FALSE)&amp;"-"&amp;VLOOKUP('1.아이디어LIST'!M1865,Code!$C$3:$D$17,2,FALSE)&amp;"-"&amp;VLOOKUP('1.아이디어LIST'!N1865,Code!$E$3:$F$8,2,FALSE)&amp;"-"&amp;COUNTIFS($L$11:L1865,L1865,$M$11:M1865,M1865,$N$11:N1865,N1865)</f>
        <v>CO/D-ID/H-CE-77</v>
      </c>
      <c r="C1865" s="148" t="str">
        <f>VLOOKUP(E1865,'(참고)재직자'!$A$2:$F$2761,3,0)</f>
        <v>건축</v>
      </c>
      <c r="D1865" s="80" t="str">
        <f>VLOOKUP(E1865,'(참고)재직자'!$A$2:$F$2761,5,0)</f>
        <v>현장</v>
      </c>
      <c r="E1865" s="27" t="s">
        <v>2631</v>
      </c>
      <c r="F1865" s="80" t="str">
        <f>VLOOKUP(E1865,'(참고)재직자'!$A$2:$F$2761,6,0)</f>
        <v>차장</v>
      </c>
      <c r="G1865" s="81" t="str">
        <f>VLOOKUP(E1865,'(참고)재직자'!$A$2:$F$2761,4,0)</f>
        <v>충주 용산주공 재건축</v>
      </c>
      <c r="H1865" s="80" t="str">
        <f>VLOOKUP(E1865,'(참고)재직자'!$A$2:$F$2761,2,0)</f>
        <v>윤희준</v>
      </c>
      <c r="I1865" s="295">
        <v>46085</v>
      </c>
      <c r="J1865" s="80" t="str">
        <f>VLOOKUP('1.아이디어LIST'!L1865,Code!$A$21:$D$40,3,FALSE)&amp;", "&amp;VLOOKUP('1.아이디어LIST'!M1865,Code!$E$21:$H$45,3,FALSE)&amp;", "&amp;VLOOKUP('1.아이디어LIST'!M1865,Code!$E$21:$H$45,4,FALSE)</f>
        <v xml:space="preserve">고한울, 박재보, </v>
      </c>
      <c r="K1865" s="219" t="str">
        <f>VLOOKUP(L1865,Code!$A$21:$C$40,3,0)</f>
        <v>고한울</v>
      </c>
      <c r="L1865" s="84" t="s">
        <v>189</v>
      </c>
      <c r="M1865" s="84" t="s">
        <v>601</v>
      </c>
      <c r="N1865" s="201" t="s">
        <v>72</v>
      </c>
      <c r="O1865" s="297" t="s">
        <v>8632</v>
      </c>
      <c r="P1865" s="217" t="s">
        <v>8633</v>
      </c>
      <c r="Q1865" s="49"/>
      <c r="R1865" s="25"/>
      <c r="S1865" s="55"/>
      <c r="T1865" s="26"/>
      <c r="U1865" s="28"/>
      <c r="V1865" s="66"/>
      <c r="W1865" s="138"/>
      <c r="X1865" s="106"/>
      <c r="Y1865" s="209"/>
      <c r="Z1865" s="210"/>
      <c r="AA1865" s="207"/>
      <c r="AC1865" s="217" t="s">
        <v>8211</v>
      </c>
    </row>
    <row r="1866" spans="1:29" ht="72" hidden="1" customHeight="1">
      <c r="A1866" s="288">
        <f t="shared" si="14"/>
        <v>1856</v>
      </c>
      <c r="B1866" s="79" t="str">
        <f>+VLOOKUP(L1866,Code!$A$3:$B$17,2,FALSE)&amp;"-"&amp;VLOOKUP('1.아이디어LIST'!M1866,Code!$C$3:$D$17,2,FALSE)&amp;"-"&amp;VLOOKUP('1.아이디어LIST'!N1866,Code!$E$3:$F$8,2,FALSE)&amp;"-"&amp;COUNTIFS($L$11:L1866,L1866,$M$11:M1866,M1866,$N$11:N1866,N1866)</f>
        <v>CO/D-ID/P-CE-6</v>
      </c>
      <c r="C1866" s="148" t="str">
        <f>VLOOKUP(E1866,'(참고)재직자'!$A$2:$F$2761,3,0)</f>
        <v>건축</v>
      </c>
      <c r="D1866" s="80" t="str">
        <f>VLOOKUP(E1866,'(참고)재직자'!$A$2:$F$2761,5,0)</f>
        <v>현장</v>
      </c>
      <c r="E1866" s="27" t="s">
        <v>3362</v>
      </c>
      <c r="F1866" s="80" t="str">
        <f>VLOOKUP(E1866,'(참고)재직자'!$A$2:$F$2761,6,0)</f>
        <v>부장</v>
      </c>
      <c r="G1866" s="81" t="str">
        <f>VLOOKUP(E1866,'(참고)재직자'!$A$2:$F$2761,4,0)</f>
        <v>충주 용산주공 재건축</v>
      </c>
      <c r="H1866" s="80" t="str">
        <f>VLOOKUP(E1866,'(참고)재직자'!$A$2:$F$2761,2,0)</f>
        <v>고춘욱</v>
      </c>
      <c r="I1866" s="295">
        <v>46085</v>
      </c>
      <c r="J1866" s="80" t="str">
        <f>VLOOKUP('1.아이디어LIST'!L1866,Code!$A$21:$D$40,3,FALSE)&amp;", "&amp;VLOOKUP('1.아이디어LIST'!M1866,Code!$E$21:$H$45,3,FALSE)&amp;", "&amp;VLOOKUP('1.아이디어LIST'!M1866,Code!$E$21:$H$45,4,FALSE)</f>
        <v xml:space="preserve">고한울, 최재형, </v>
      </c>
      <c r="K1866" s="219" t="str">
        <f>VLOOKUP(L1866,Code!$A$21:$C$40,3,0)</f>
        <v>고한울</v>
      </c>
      <c r="L1866" s="84" t="s">
        <v>189</v>
      </c>
      <c r="M1866" s="84" t="s">
        <v>2640</v>
      </c>
      <c r="N1866" s="201" t="s">
        <v>72</v>
      </c>
      <c r="O1866" s="297" t="s">
        <v>8634</v>
      </c>
      <c r="P1866" s="217" t="s">
        <v>8635</v>
      </c>
      <c r="Q1866" s="49"/>
      <c r="R1866" s="25"/>
      <c r="S1866" s="55"/>
      <c r="T1866" s="26"/>
      <c r="U1866" s="28"/>
      <c r="V1866" s="66"/>
      <c r="W1866" s="138"/>
      <c r="X1866" s="106"/>
      <c r="Y1866" s="209"/>
      <c r="Z1866" s="210"/>
      <c r="AA1866" s="207"/>
      <c r="AC1866" s="217"/>
    </row>
    <row r="1867" spans="1:29" ht="66.75" hidden="1" customHeight="1">
      <c r="A1867" s="288">
        <f t="shared" si="14"/>
        <v>1857</v>
      </c>
      <c r="B1867" s="79" t="str">
        <f>+VLOOKUP(L1867,Code!$A$3:$B$17,2,FALSE)&amp;"-"&amp;VLOOKUP('1.아이디어LIST'!M1867,Code!$C$3:$D$17,2,FALSE)&amp;"-"&amp;VLOOKUP('1.아이디어LIST'!N1867,Code!$E$3:$F$8,2,FALSE)&amp;"-"&amp;COUNTIFS($L$11:L1867,L1867,$M$11:M1867,M1867,$N$11:N1867,N1867)</f>
        <v>EN/S-A/S-CE-82</v>
      </c>
      <c r="C1867" s="148" t="str">
        <f>VLOOKUP(E1867,'(참고)재직자'!$A$2:$F$2761,3,0)</f>
        <v>건축</v>
      </c>
      <c r="D1867" s="80" t="str">
        <f>VLOOKUP(E1867,'(참고)재직자'!$A$2:$F$2761,5,0)</f>
        <v>현장</v>
      </c>
      <c r="E1867" s="27" t="s">
        <v>8599</v>
      </c>
      <c r="F1867" s="80" t="str">
        <f>VLOOKUP(E1867,'(참고)재직자'!$A$2:$F$2761,6,0)</f>
        <v>차장</v>
      </c>
      <c r="G1867" s="81" t="str">
        <f>VLOOKUP(E1867,'(참고)재직자'!$A$2:$F$2761,4,0)</f>
        <v>상인천초교주변 재개발</v>
      </c>
      <c r="H1867" s="80" t="str">
        <f>VLOOKUP(E1867,'(참고)재직자'!$A$2:$F$2761,2,0)</f>
        <v>이영규</v>
      </c>
      <c r="I1867" s="295">
        <v>46085</v>
      </c>
      <c r="J1867" s="80" t="str">
        <f>VLOOKUP('1.아이디어LIST'!L1867,Code!$A$21:$D$40,3,FALSE)&amp;", "&amp;VLOOKUP('1.아이디어LIST'!M1867,Code!$E$21:$H$45,3,FALSE)&amp;", "&amp;VLOOKUP('1.아이디어LIST'!M1867,Code!$E$21:$H$45,4,FALSE)</f>
        <v>박준용, 고한울, 박준용</v>
      </c>
      <c r="K1867" s="219" t="str">
        <f>VLOOKUP(L1867,Code!$A$21:$C$40,3,0)</f>
        <v>박준용</v>
      </c>
      <c r="L1867" s="84" t="s">
        <v>199</v>
      </c>
      <c r="M1867" s="84" t="s">
        <v>221</v>
      </c>
      <c r="N1867" s="201" t="s">
        <v>72</v>
      </c>
      <c r="O1867" s="297" t="s">
        <v>8636</v>
      </c>
      <c r="P1867" s="217" t="s">
        <v>8637</v>
      </c>
      <c r="Q1867" s="49"/>
      <c r="R1867" s="25"/>
      <c r="S1867" s="55"/>
      <c r="T1867" s="26"/>
      <c r="U1867" s="28"/>
      <c r="V1867" s="66"/>
      <c r="W1867" s="138"/>
      <c r="X1867" s="106"/>
      <c r="Y1867" s="209"/>
      <c r="Z1867" s="210"/>
      <c r="AA1867" s="207"/>
      <c r="AC1867" s="217"/>
    </row>
    <row r="1868" spans="1:29" ht="81.75" hidden="1" customHeight="1">
      <c r="A1868" s="288">
        <f t="shared" si="14"/>
        <v>1858</v>
      </c>
      <c r="B1868" s="79" t="str">
        <f>+VLOOKUP(L1868,Code!$A$3:$B$17,2,FALSE)&amp;"-"&amp;VLOOKUP('1.아이디어LIST'!M1868,Code!$C$3:$D$17,2,FALSE)&amp;"-"&amp;VLOOKUP('1.아이디어LIST'!N1868,Code!$E$3:$F$8,2,FALSE)&amp;"-"&amp;COUNTIFS($L$11:L1868,L1868,$M$11:M1868,M1868,$N$11:N1868,N1868)</f>
        <v>EN/I-Z-CE-14</v>
      </c>
      <c r="C1868" s="148" t="str">
        <f>VLOOKUP(E1868,'(참고)재직자'!$A$2:$F$2761,3,0)</f>
        <v>건축</v>
      </c>
      <c r="D1868" s="80" t="str">
        <f>VLOOKUP(E1868,'(참고)재직자'!$A$2:$F$2761,5,0)</f>
        <v>현장</v>
      </c>
      <c r="E1868" s="27" t="s">
        <v>2527</v>
      </c>
      <c r="F1868" s="80" t="str">
        <f>VLOOKUP(E1868,'(참고)재직자'!$A$2:$F$2761,6,0)</f>
        <v>대리</v>
      </c>
      <c r="G1868" s="81" t="str">
        <f>VLOOKUP(E1868,'(참고)재직자'!$A$2:$F$2761,4,0)</f>
        <v>고잔연립9구역 재건축</v>
      </c>
      <c r="H1868" s="80" t="str">
        <f>VLOOKUP(E1868,'(참고)재직자'!$A$2:$F$2761,2,0)</f>
        <v>조영재</v>
      </c>
      <c r="I1868" s="295">
        <v>46085</v>
      </c>
      <c r="J1868" s="80" t="str">
        <f>VLOOKUP('1.아이디어LIST'!L1868,Code!$A$21:$D$40,3,FALSE)&amp;", "&amp;VLOOKUP('1.아이디어LIST'!M1868,Code!$E$21:$H$45,3,FALSE)&amp;", "&amp;VLOOKUP('1.아이디어LIST'!M1868,Code!$E$21:$H$45,4,FALSE)</f>
        <v xml:space="preserve">김태용, 박준용, </v>
      </c>
      <c r="K1868" s="219" t="str">
        <f>VLOOKUP(L1868,Code!$A$21:$C$40,3,0)</f>
        <v>김태용</v>
      </c>
      <c r="L1868" s="84" t="s">
        <v>122</v>
      </c>
      <c r="M1868" s="84" t="s">
        <v>784</v>
      </c>
      <c r="N1868" s="201" t="s">
        <v>72</v>
      </c>
      <c r="O1868" s="297" t="s">
        <v>8638</v>
      </c>
      <c r="P1868" s="217" t="s">
        <v>8639</v>
      </c>
      <c r="Q1868" s="49"/>
      <c r="R1868" s="25"/>
      <c r="S1868" s="55"/>
      <c r="T1868" s="26"/>
      <c r="U1868" s="28"/>
      <c r="V1868" s="66"/>
      <c r="W1868" s="138"/>
      <c r="X1868" s="106"/>
      <c r="Y1868" s="209"/>
      <c r="Z1868" s="210"/>
      <c r="AA1868" s="207"/>
      <c r="AC1868" s="217"/>
    </row>
    <row r="1869" spans="1:29" ht="76.5" hidden="1" customHeight="1">
      <c r="A1869" s="288">
        <f t="shared" si="14"/>
        <v>1859</v>
      </c>
      <c r="B1869" s="79" t="str">
        <f>+VLOOKUP(L1869,Code!$A$3:$B$17,2,FALSE)&amp;"-"&amp;VLOOKUP('1.아이디어LIST'!M1869,Code!$C$3:$D$17,2,FALSE)&amp;"-"&amp;VLOOKUP('1.아이디어LIST'!N1869,Code!$E$3:$F$8,2,FALSE)&amp;"-"&amp;COUNTIFS($L$11:L1869,L1869,$M$11:M1869,M1869,$N$11:N1869,N1869)</f>
        <v>PR/P-Z-CE-4</v>
      </c>
      <c r="C1869" s="148" t="str">
        <f>VLOOKUP(E1869,'(참고)재직자'!$A$2:$F$2761,3,0)</f>
        <v>건축</v>
      </c>
      <c r="D1869" s="80" t="str">
        <f>VLOOKUP(E1869,'(참고)재직자'!$A$2:$F$2761,5,0)</f>
        <v>현장</v>
      </c>
      <c r="E1869" s="27" t="s">
        <v>3208</v>
      </c>
      <c r="F1869" s="80" t="str">
        <f>VLOOKUP(E1869,'(참고)재직자'!$A$2:$F$2761,6,0)</f>
        <v>대리</v>
      </c>
      <c r="G1869" s="81" t="str">
        <f>VLOOKUP(E1869,'(참고)재직자'!$A$2:$F$2761,4,0)</f>
        <v>용산주공 재건축</v>
      </c>
      <c r="H1869" s="80" t="str">
        <f>VLOOKUP(E1869,'(참고)재직자'!$A$2:$F$2761,2,0)</f>
        <v>이용복</v>
      </c>
      <c r="I1869" s="295">
        <v>46085</v>
      </c>
      <c r="J1869" s="80" t="str">
        <f>VLOOKUP('1.아이디어LIST'!L1869,Code!$A$21:$D$40,3,FALSE)&amp;", "&amp;VLOOKUP('1.아이디어LIST'!M1869,Code!$E$21:$H$45,3,FALSE)&amp;", "&amp;VLOOKUP('1.아이디어LIST'!M1869,Code!$E$21:$H$45,4,FALSE)</f>
        <v xml:space="preserve">박재보, 박준용, </v>
      </c>
      <c r="K1869" s="219" t="s">
        <v>198</v>
      </c>
      <c r="L1869" s="84" t="s">
        <v>70</v>
      </c>
      <c r="M1869" s="84" t="s">
        <v>784</v>
      </c>
      <c r="N1869" s="201" t="s">
        <v>72</v>
      </c>
      <c r="O1869" s="297" t="s">
        <v>8640</v>
      </c>
      <c r="P1869" s="217" t="s">
        <v>8641</v>
      </c>
      <c r="Q1869" s="49" t="s">
        <v>91</v>
      </c>
      <c r="R1869" s="25"/>
      <c r="S1869" s="55"/>
      <c r="T1869" s="26"/>
      <c r="U1869" s="28" t="s">
        <v>8642</v>
      </c>
      <c r="V1869" s="66"/>
      <c r="W1869" s="138"/>
      <c r="X1869" s="106"/>
      <c r="Y1869" s="209"/>
      <c r="Z1869" s="210"/>
      <c r="AA1869" s="207"/>
      <c r="AC1869" s="217"/>
    </row>
    <row r="1870" spans="1:29" ht="129" hidden="1" customHeight="1">
      <c r="A1870" s="288">
        <f t="shared" si="14"/>
        <v>1860</v>
      </c>
      <c r="B1870" s="79" t="str">
        <f>+VLOOKUP(L1870,Code!$A$3:$B$17,2,FALSE)&amp;"-"&amp;VLOOKUP('1.아이디어LIST'!M1870,Code!$C$3:$D$17,2,FALSE)&amp;"-"&amp;VLOOKUP('1.아이디어LIST'!N1870,Code!$E$3:$F$8,2,FALSE)&amp;"-"&amp;COUNTIFS($L$11:L1870,L1870,$M$11:M1870,M1870,$N$11:N1870,N1870)</f>
        <v>CO/I-PI-EXP-5</v>
      </c>
      <c r="C1870" s="148" t="str">
        <f>VLOOKUP(E1870,'(참고)재직자'!$A$2:$F$2761,3,0)</f>
        <v>건축</v>
      </c>
      <c r="D1870" s="80" t="str">
        <f>VLOOKUP(E1870,'(참고)재직자'!$A$2:$F$2761,5,0)</f>
        <v>본사</v>
      </c>
      <c r="E1870" s="27" t="s">
        <v>315</v>
      </c>
      <c r="F1870" s="80" t="str">
        <f>VLOOKUP(E1870,'(참고)재직자'!$A$2:$F$2761,6,0)</f>
        <v>차장</v>
      </c>
      <c r="G1870" s="81" t="str">
        <f>VLOOKUP(E1870,'(참고)재직자'!$A$2:$F$2761,4,0)</f>
        <v>건축지원팀</v>
      </c>
      <c r="H1870" s="80" t="str">
        <f>VLOOKUP(E1870,'(참고)재직자'!$A$2:$F$2761,2,0)</f>
        <v>정성훈</v>
      </c>
      <c r="I1870" s="295">
        <v>46085</v>
      </c>
      <c r="J1870" s="80" t="str">
        <f>VLOOKUP('1.아이디어LIST'!L1870,Code!$A$21:$D$40,3,FALSE)&amp;", "&amp;VLOOKUP('1.아이디어LIST'!M1870,Code!$E$21:$H$45,3,FALSE)&amp;", "&amp;VLOOKUP('1.아이디어LIST'!M1870,Code!$E$21:$H$45,4,FALSE)</f>
        <v xml:space="preserve">박재보, 박재보, </v>
      </c>
      <c r="K1870" s="219" t="str">
        <f>VLOOKUP(L1870,Code!$A$21:$C$40,3,0)</f>
        <v>박재보</v>
      </c>
      <c r="L1870" s="84" t="s">
        <v>100</v>
      </c>
      <c r="M1870" s="84" t="s">
        <v>252</v>
      </c>
      <c r="N1870" s="201" t="s">
        <v>253</v>
      </c>
      <c r="O1870" s="299" t="s">
        <v>8643</v>
      </c>
      <c r="P1870" s="217" t="s">
        <v>8644</v>
      </c>
      <c r="Q1870" s="49" t="s">
        <v>75</v>
      </c>
      <c r="R1870" s="25" t="s">
        <v>504</v>
      </c>
      <c r="S1870" s="55"/>
      <c r="T1870" s="26"/>
      <c r="U1870" s="28" t="s">
        <v>8645</v>
      </c>
      <c r="V1870" s="66"/>
      <c r="W1870" s="138"/>
      <c r="X1870" s="106"/>
      <c r="Y1870" s="209"/>
      <c r="Z1870" s="210"/>
      <c r="AA1870" s="207"/>
      <c r="AC1870" s="217"/>
    </row>
    <row r="1871" spans="1:29" ht="104.25" hidden="1" customHeight="1">
      <c r="A1871" s="288">
        <f t="shared" si="14"/>
        <v>1861</v>
      </c>
      <c r="B1871" s="79" t="str">
        <f>+VLOOKUP(L1871,Code!$A$3:$B$17,2,FALSE)&amp;"-"&amp;VLOOKUP('1.아이디어LIST'!M1871,Code!$C$3:$D$17,2,FALSE)&amp;"-"&amp;VLOOKUP('1.아이디어LIST'!N1871,Code!$E$3:$F$8,2,FALSE)&amp;"-"&amp;COUNTIFS($L$11:L1871,L1871,$M$11:M1871,M1871,$N$11:N1871,N1871)</f>
        <v>CO/I-ID/H-CE-27</v>
      </c>
      <c r="C1871" s="148" t="str">
        <f>VLOOKUP(E1871,'(참고)재직자'!$A$2:$F$2761,3,0)</f>
        <v>건축</v>
      </c>
      <c r="D1871" s="80" t="str">
        <f>VLOOKUP(E1871,'(참고)재직자'!$A$2:$F$2761,5,0)</f>
        <v>본사</v>
      </c>
      <c r="E1871" s="27" t="s">
        <v>263</v>
      </c>
      <c r="F1871" s="80" t="str">
        <f>VLOOKUP(E1871,'(참고)재직자'!$A$2:$F$2761,6,0)</f>
        <v>과장</v>
      </c>
      <c r="G1871" s="81" t="str">
        <f>VLOOKUP(E1871,'(참고)재직자'!$A$2:$F$2761,4,0)</f>
        <v>건축지원팀</v>
      </c>
      <c r="H1871" s="80" t="str">
        <f>VLOOKUP(E1871,'(참고)재직자'!$A$2:$F$2761,2,0)</f>
        <v>문성호</v>
      </c>
      <c r="I1871" s="295">
        <v>46085</v>
      </c>
      <c r="J1871" s="80" t="str">
        <f>VLOOKUP('1.아이디어LIST'!L1871,Code!$A$21:$D$40,3,FALSE)&amp;", "&amp;VLOOKUP('1.아이디어LIST'!M1871,Code!$E$21:$H$45,3,FALSE)&amp;", "&amp;VLOOKUP('1.아이디어LIST'!M1871,Code!$E$21:$H$45,4,FALSE)</f>
        <v xml:space="preserve">박재보, 박재보, </v>
      </c>
      <c r="K1871" s="303" t="s">
        <v>146</v>
      </c>
      <c r="L1871" s="84" t="s">
        <v>100</v>
      </c>
      <c r="M1871" s="84" t="s">
        <v>601</v>
      </c>
      <c r="N1871" s="201" t="s">
        <v>72</v>
      </c>
      <c r="O1871" s="300" t="s">
        <v>8646</v>
      </c>
      <c r="P1871" s="217" t="s">
        <v>8647</v>
      </c>
      <c r="Q1871" s="304" t="s">
        <v>91</v>
      </c>
      <c r="R1871" s="25"/>
      <c r="S1871" s="55"/>
      <c r="T1871" s="26"/>
      <c r="U1871" s="149" t="s">
        <v>8648</v>
      </c>
      <c r="V1871" s="66"/>
      <c r="W1871" s="138"/>
      <c r="X1871" s="106"/>
      <c r="Y1871" s="209"/>
      <c r="Z1871" s="210"/>
      <c r="AA1871" s="207"/>
      <c r="AC1871" s="217" t="s">
        <v>8211</v>
      </c>
    </row>
    <row r="1872" spans="1:29" ht="66.75" hidden="1" customHeight="1">
      <c r="A1872" s="288">
        <f t="shared" si="14"/>
        <v>1862</v>
      </c>
      <c r="B1872" s="79" t="str">
        <f>+VLOOKUP(L1872,Code!$A$3:$B$17,2,FALSE)&amp;"-"&amp;VLOOKUP('1.아이디어LIST'!M1872,Code!$C$3:$D$17,2,FALSE)&amp;"-"&amp;VLOOKUP('1.아이디어LIST'!N1872,Code!$E$3:$F$8,2,FALSE)&amp;"-"&amp;COUNTIFS($L$11:L1872,L1872,$M$11:M1872,M1872,$N$11:N1872,N1872)</f>
        <v>EN/E-E-CE-80</v>
      </c>
      <c r="C1872" s="148" t="str">
        <f>VLOOKUP(E1872,'(참고)재직자'!$A$2:$F$2761,3,0)</f>
        <v>건축</v>
      </c>
      <c r="D1872" s="80" t="str">
        <f>VLOOKUP(E1872,'(참고)재직자'!$A$2:$F$2761,5,0)</f>
        <v>본사</v>
      </c>
      <c r="E1872" s="27" t="s">
        <v>263</v>
      </c>
      <c r="F1872" s="80" t="str">
        <f>VLOOKUP(E1872,'(참고)재직자'!$A$2:$F$2761,6,0)</f>
        <v>과장</v>
      </c>
      <c r="G1872" s="81" t="str">
        <f>VLOOKUP(E1872,'(참고)재직자'!$A$2:$F$2761,4,0)</f>
        <v>건축지원팀</v>
      </c>
      <c r="H1872" s="80" t="str">
        <f>VLOOKUP(E1872,'(참고)재직자'!$A$2:$F$2761,2,0)</f>
        <v>문성호</v>
      </c>
      <c r="I1872" s="295">
        <v>46085</v>
      </c>
      <c r="J1872" s="80" t="str">
        <f>VLOOKUP('1.아이디어LIST'!L1872,Code!$A$21:$D$40,3,FALSE)&amp;", "&amp;VLOOKUP('1.아이디어LIST'!M1872,Code!$E$21:$H$45,3,FALSE)&amp;", "&amp;VLOOKUP('1.아이디어LIST'!M1872,Code!$E$21:$H$45,4,FALSE)</f>
        <v xml:space="preserve">오정화, 오정화, </v>
      </c>
      <c r="K1872" s="219" t="str">
        <f>VLOOKUP(L1872,Code!$A$21:$C$40,3,0)</f>
        <v>오정화</v>
      </c>
      <c r="L1872" s="84" t="s">
        <v>147</v>
      </c>
      <c r="M1872" s="84" t="s">
        <v>148</v>
      </c>
      <c r="N1872" s="201" t="s">
        <v>72</v>
      </c>
      <c r="O1872" s="299" t="s">
        <v>8649</v>
      </c>
      <c r="P1872" s="217" t="s">
        <v>8650</v>
      </c>
      <c r="Q1872" s="49" t="s">
        <v>75</v>
      </c>
      <c r="R1872" s="25" t="s">
        <v>504</v>
      </c>
      <c r="S1872" s="55"/>
      <c r="T1872" s="26"/>
      <c r="U1872" s="28"/>
      <c r="V1872" s="66"/>
      <c r="W1872" s="138"/>
      <c r="X1872" s="106"/>
      <c r="Y1872" s="209"/>
      <c r="Z1872" s="210"/>
      <c r="AA1872" s="207"/>
      <c r="AC1872" s="217"/>
    </row>
    <row r="1873" spans="1:29" ht="75" hidden="1" customHeight="1">
      <c r="A1873" s="288">
        <f t="shared" si="14"/>
        <v>1863</v>
      </c>
      <c r="B1873" s="79" t="str">
        <f>+VLOOKUP(L1873,Code!$A$3:$B$17,2,FALSE)&amp;"-"&amp;VLOOKUP('1.아이디어LIST'!M1873,Code!$C$3:$D$17,2,FALSE)&amp;"-"&amp;VLOOKUP('1.아이디어LIST'!N1873,Code!$E$3:$F$8,2,FALSE)&amp;"-"&amp;COUNTIFS($L$11:L1873,L1873,$M$11:M1873,M1873,$N$11:N1873,N1873)</f>
        <v>CO/D-PI-CE-111</v>
      </c>
      <c r="C1873" s="148" t="str">
        <f>VLOOKUP(E1873,'(참고)재직자'!$A$2:$F$2761,3,0)</f>
        <v>건축</v>
      </c>
      <c r="D1873" s="80" t="str">
        <f>VLOOKUP(E1873,'(참고)재직자'!$A$2:$F$2761,5,0)</f>
        <v>본사</v>
      </c>
      <c r="E1873" s="27" t="s">
        <v>8651</v>
      </c>
      <c r="F1873" s="80" t="str">
        <f>VLOOKUP(E1873,'(참고)재직자'!$A$2:$F$2761,6,0)</f>
        <v>과장</v>
      </c>
      <c r="G1873" s="81" t="str">
        <f>VLOOKUP(E1873,'(참고)재직자'!$A$2:$F$2761,4,0)</f>
        <v>건축지원팀</v>
      </c>
      <c r="H1873" s="80" t="str">
        <f>VLOOKUP(E1873,'(참고)재직자'!$A$2:$F$2761,2,0)</f>
        <v>한상현</v>
      </c>
      <c r="I1873" s="295">
        <v>46085</v>
      </c>
      <c r="J1873" s="80" t="str">
        <f>VLOOKUP('1.아이디어LIST'!L1873,Code!$A$21:$D$40,3,FALSE)&amp;", "&amp;VLOOKUP('1.아이디어LIST'!M1873,Code!$E$21:$H$45,3,FALSE)&amp;", "&amp;VLOOKUP('1.아이디어LIST'!M1873,Code!$E$21:$H$45,4,FALSE)</f>
        <v xml:space="preserve">고한울, 박재보, </v>
      </c>
      <c r="K1873" s="219" t="str">
        <f>VLOOKUP(L1873,Code!$A$21:$C$40,3,0)</f>
        <v>고한울</v>
      </c>
      <c r="L1873" s="84" t="s">
        <v>189</v>
      </c>
      <c r="M1873" s="84" t="s">
        <v>252</v>
      </c>
      <c r="N1873" s="201" t="s">
        <v>72</v>
      </c>
      <c r="O1873" s="299" t="s">
        <v>8652</v>
      </c>
      <c r="P1873" s="217" t="s">
        <v>8653</v>
      </c>
      <c r="Q1873" s="49"/>
      <c r="R1873" s="25"/>
      <c r="S1873" s="55"/>
      <c r="T1873" s="26"/>
      <c r="U1873" s="28"/>
      <c r="V1873" s="66"/>
      <c r="W1873" s="138"/>
      <c r="X1873" s="106"/>
      <c r="Y1873" s="209"/>
      <c r="Z1873" s="210"/>
      <c r="AA1873" s="207"/>
      <c r="AC1873" s="217"/>
    </row>
    <row r="1874" spans="1:29" ht="179.25" hidden="1" customHeight="1">
      <c r="A1874" s="288">
        <f t="shared" si="14"/>
        <v>1864</v>
      </c>
      <c r="B1874" s="79" t="str">
        <f>+VLOOKUP(L1874,Code!$A$3:$B$17,2,FALSE)&amp;"-"&amp;VLOOKUP('1.아이디어LIST'!M1874,Code!$C$3:$D$17,2,FALSE)&amp;"-"&amp;VLOOKUP('1.아이디어LIST'!N1874,Code!$E$3:$F$8,2,FALSE)&amp;"-"&amp;COUNTIFS($L$11:L1874,L1874,$M$11:M1874,M1874,$N$11:N1874,N1874)</f>
        <v>CO/I-PI-CE-83</v>
      </c>
      <c r="C1874" s="148" t="str">
        <f>VLOOKUP(E1874,'(참고)재직자'!$A$2:$F$2761,3,0)</f>
        <v>인프라</v>
      </c>
      <c r="D1874" s="80" t="str">
        <f>VLOOKUP(E1874,'(참고)재직자'!$A$2:$F$2761,5,0)</f>
        <v>현장</v>
      </c>
      <c r="E1874" s="27" t="s">
        <v>6239</v>
      </c>
      <c r="F1874" s="80" t="str">
        <f>VLOOKUP(E1874,'(참고)재직자'!$A$2:$F$2761,6,0)</f>
        <v>대리</v>
      </c>
      <c r="G1874" s="81" t="str">
        <f>VLOOKUP(E1874,'(참고)재직자'!$A$2:$F$2761,4,0)</f>
        <v>세종안성고속도로 2공구</v>
      </c>
      <c r="H1874" s="80" t="str">
        <f>VLOOKUP(E1874,'(참고)재직자'!$A$2:$F$2761,2,0)</f>
        <v>장영훈</v>
      </c>
      <c r="I1874" s="295">
        <v>46085</v>
      </c>
      <c r="J1874" s="80" t="str">
        <f>VLOOKUP('1.아이디어LIST'!L1874,Code!$A$21:$D$40,3,FALSE)&amp;", "&amp;VLOOKUP('1.아이디어LIST'!M1874,Code!$E$21:$H$45,3,FALSE)&amp;", "&amp;VLOOKUP('1.아이디어LIST'!M1874,Code!$E$21:$H$45,4,FALSE)</f>
        <v xml:space="preserve">박재보, 박재보, </v>
      </c>
      <c r="K1874" s="219" t="str">
        <f>VLOOKUP(L1874,Code!$A$21:$C$40,3,0)</f>
        <v>박재보</v>
      </c>
      <c r="L1874" s="84" t="s">
        <v>100</v>
      </c>
      <c r="M1874" s="84" t="s">
        <v>252</v>
      </c>
      <c r="N1874" s="201" t="s">
        <v>72</v>
      </c>
      <c r="O1874" s="313" t="s">
        <v>8654</v>
      </c>
      <c r="P1874" s="217" t="s">
        <v>8655</v>
      </c>
      <c r="Q1874" s="49" t="s">
        <v>75</v>
      </c>
      <c r="R1874" s="25" t="s">
        <v>91</v>
      </c>
      <c r="S1874" s="55"/>
      <c r="T1874" s="26"/>
      <c r="U1874" s="149" t="s">
        <v>8656</v>
      </c>
      <c r="V1874" s="66"/>
      <c r="W1874" s="138"/>
      <c r="X1874" s="106"/>
      <c r="Y1874" s="209"/>
      <c r="Z1874" s="210"/>
      <c r="AA1874" s="207"/>
      <c r="AC1874" s="217" t="s">
        <v>8211</v>
      </c>
    </row>
    <row r="1875" spans="1:29" ht="91.5" hidden="1" customHeight="1">
      <c r="A1875" s="288">
        <f t="shared" si="14"/>
        <v>1865</v>
      </c>
      <c r="B1875" s="79" t="str">
        <f>+VLOOKUP(L1875,Code!$A$3:$B$17,2,FALSE)&amp;"-"&amp;VLOOKUP('1.아이디어LIST'!M1875,Code!$C$3:$D$17,2,FALSE)&amp;"-"&amp;VLOOKUP('1.아이디어LIST'!N1875,Code!$E$3:$F$8,2,FALSE)&amp;"-"&amp;COUNTIFS($L$11:L1875,L1875,$M$11:M1875,M1875,$N$11:N1875,N1875)</f>
        <v>IN/C-Z-CE-1</v>
      </c>
      <c r="C1875" s="148" t="str">
        <f>VLOOKUP(E1875,'(참고)재직자'!$A$2:$F$2761,3,0)</f>
        <v>인프라</v>
      </c>
      <c r="D1875" s="80" t="str">
        <f>VLOOKUP(E1875,'(참고)재직자'!$A$2:$F$2761,5,0)</f>
        <v>현장</v>
      </c>
      <c r="E1875" s="27" t="s">
        <v>7383</v>
      </c>
      <c r="F1875" s="80" t="str">
        <f>VLOOKUP(E1875,'(참고)재직자'!$A$2:$F$2761,6,0)</f>
        <v>과장</v>
      </c>
      <c r="G1875" s="81" t="str">
        <f>VLOOKUP(E1875,'(참고)재직자'!$A$2:$F$2761,4,0)</f>
        <v>세종안성고속도로 2공구</v>
      </c>
      <c r="H1875" s="80" t="str">
        <f>VLOOKUP(E1875,'(참고)재직자'!$A$2:$F$2761,2,0)</f>
        <v>김준형</v>
      </c>
      <c r="I1875" s="295">
        <v>46085</v>
      </c>
      <c r="J1875" s="80" t="str">
        <f>VLOOKUP('1.아이디어LIST'!L1875,Code!$A$21:$D$40,3,FALSE)&amp;", "&amp;VLOOKUP('1.아이디어LIST'!M1875,Code!$E$21:$H$45,3,FALSE)&amp;", "&amp;VLOOKUP('1.아이디어LIST'!M1875,Code!$E$21:$H$45,4,FALSE)</f>
        <v xml:space="preserve">김태영, 박준용, </v>
      </c>
      <c r="K1875" s="219" t="s">
        <v>3373</v>
      </c>
      <c r="L1875" s="84" t="s">
        <v>10</v>
      </c>
      <c r="M1875" s="84" t="s">
        <v>784</v>
      </c>
      <c r="N1875" s="201" t="s">
        <v>72</v>
      </c>
      <c r="O1875" s="314" t="s">
        <v>8657</v>
      </c>
      <c r="P1875" s="217" t="s">
        <v>8658</v>
      </c>
      <c r="Q1875" s="49" t="s">
        <v>75</v>
      </c>
      <c r="R1875" s="25" t="s">
        <v>504</v>
      </c>
      <c r="S1875" s="55">
        <v>20</v>
      </c>
      <c r="T1875" s="26"/>
      <c r="U1875" s="28" t="s">
        <v>8659</v>
      </c>
      <c r="V1875" s="66"/>
      <c r="W1875" s="138"/>
      <c r="X1875" s="106"/>
      <c r="Y1875" s="209"/>
      <c r="Z1875" s="210"/>
      <c r="AA1875" s="207"/>
      <c r="AC1875" s="217"/>
    </row>
    <row r="1876" spans="1:29" ht="91.5" hidden="1" customHeight="1">
      <c r="A1876" s="288">
        <f t="shared" si="14"/>
        <v>1866</v>
      </c>
      <c r="B1876" s="79" t="str">
        <f>+VLOOKUP(L1876,Code!$A$3:$B$17,2,FALSE)&amp;"-"&amp;VLOOKUP('1.아이디어LIST'!M1876,Code!$C$3:$D$17,2,FALSE)&amp;"-"&amp;VLOOKUP('1.아이디어LIST'!N1876,Code!$E$3:$F$8,2,FALSE)&amp;"-"&amp;COUNTIFS($L$11:L1876,L1876,$M$11:M1876,M1876,$N$11:N1876,N1876)</f>
        <v>IN/C-ID/Z-CE-1</v>
      </c>
      <c r="C1876" s="148" t="str">
        <f>VLOOKUP(E1876,'(참고)재직자'!$A$2:$F$2761,3,0)</f>
        <v>인프라</v>
      </c>
      <c r="D1876" s="80" t="str">
        <f>VLOOKUP(E1876,'(참고)재직자'!$A$2:$F$2761,5,0)</f>
        <v>현장</v>
      </c>
      <c r="E1876" s="27" t="s">
        <v>8660</v>
      </c>
      <c r="F1876" s="80" t="str">
        <f>VLOOKUP(E1876,'(참고)재직자'!$A$2:$F$2761,6,0)</f>
        <v>대리</v>
      </c>
      <c r="G1876" s="81" t="str">
        <f>VLOOKUP(E1876,'(참고)재직자'!$A$2:$F$2761,4,0)</f>
        <v>세종안성고속도로 2공구</v>
      </c>
      <c r="H1876" s="80" t="str">
        <f>VLOOKUP(E1876,'(참고)재직자'!$A$2:$F$2761,2,0)</f>
        <v>김민재</v>
      </c>
      <c r="I1876" s="295">
        <v>46085</v>
      </c>
      <c r="J1876" s="80" t="str">
        <f>VLOOKUP('1.아이디어LIST'!L1876,Code!$A$21:$D$40,3,FALSE)&amp;", "&amp;VLOOKUP('1.아이디어LIST'!M1876,Code!$E$21:$H$45,3,FALSE)&amp;", "&amp;VLOOKUP('1.아이디어LIST'!M1876,Code!$E$21:$H$45,4,FALSE)</f>
        <v xml:space="preserve">김태영, 박재보, </v>
      </c>
      <c r="K1876" s="219" t="str">
        <f>VLOOKUP(L1876,Code!$A$21:$C$40,3,0)</f>
        <v>김태영</v>
      </c>
      <c r="L1876" s="84" t="s">
        <v>10</v>
      </c>
      <c r="M1876" s="84" t="s">
        <v>904</v>
      </c>
      <c r="N1876" s="201" t="s">
        <v>72</v>
      </c>
      <c r="O1876" s="314" t="s">
        <v>8661</v>
      </c>
      <c r="P1876" s="217" t="s">
        <v>8662</v>
      </c>
      <c r="Q1876" s="49"/>
      <c r="R1876" s="25"/>
      <c r="S1876" s="55"/>
      <c r="T1876" s="26"/>
      <c r="U1876" s="28"/>
      <c r="V1876" s="66"/>
      <c r="W1876" s="138"/>
      <c r="X1876" s="106"/>
      <c r="Y1876" s="209"/>
      <c r="Z1876" s="210"/>
      <c r="AA1876" s="207"/>
      <c r="AC1876" s="217"/>
    </row>
    <row r="1877" spans="1:29" ht="126" hidden="1" customHeight="1">
      <c r="A1877" s="288">
        <f t="shared" si="14"/>
        <v>1867</v>
      </c>
      <c r="B1877" s="79" t="str">
        <f>+VLOOKUP(L1877,Code!$A$3:$B$17,2,FALSE)&amp;"-"&amp;VLOOKUP('1.아이디어LIST'!M1877,Code!$C$3:$D$17,2,FALSE)&amp;"-"&amp;VLOOKUP('1.아이디어LIST'!N1877,Code!$E$3:$F$8,2,FALSE)&amp;"-"&amp;COUNTIFS($L$11:L1877,L1877,$M$11:M1877,M1877,$N$11:N1877,N1877)</f>
        <v>IN/C-YY-CE-2</v>
      </c>
      <c r="C1877" s="148" t="str">
        <f>VLOOKUP(E1877,'(참고)재직자'!$A$2:$F$2761,3,0)</f>
        <v>인프라</v>
      </c>
      <c r="D1877" s="80" t="str">
        <f>VLOOKUP(E1877,'(참고)재직자'!$A$2:$F$2761,5,0)</f>
        <v>현장</v>
      </c>
      <c r="E1877" s="27" t="s">
        <v>7844</v>
      </c>
      <c r="F1877" s="80" t="str">
        <f>VLOOKUP(E1877,'(참고)재직자'!$A$2:$F$2761,6,0)</f>
        <v>대리</v>
      </c>
      <c r="G1877" s="81" t="str">
        <f>VLOOKUP(E1877,'(참고)재직자'!$A$2:$F$2761,4,0)</f>
        <v>세종안성고속도로 2공구</v>
      </c>
      <c r="H1877" s="80" t="str">
        <f>VLOOKUP(E1877,'(참고)재직자'!$A$2:$F$2761,2,0)</f>
        <v>김탁용</v>
      </c>
      <c r="I1877" s="295">
        <v>46085</v>
      </c>
      <c r="J1877" s="80" t="str">
        <f>VLOOKUP('1.아이디어LIST'!L1877,Code!$A$21:$D$40,3,FALSE)&amp;", "&amp;VLOOKUP('1.아이디어LIST'!M1877,Code!$E$21:$H$45,3,FALSE)&amp;", "&amp;VLOOKUP('1.아이디어LIST'!M1877,Code!$E$21:$H$45,4,FALSE)</f>
        <v xml:space="preserve">김태영, 박재보, </v>
      </c>
      <c r="K1877" s="219" t="str">
        <f>VLOOKUP(L1877,Code!$A$21:$C$40,3,0)</f>
        <v>김태영</v>
      </c>
      <c r="L1877" s="84" t="s">
        <v>10</v>
      </c>
      <c r="M1877" s="84" t="s">
        <v>595</v>
      </c>
      <c r="N1877" s="201" t="s">
        <v>72</v>
      </c>
      <c r="O1877" s="314" t="s">
        <v>8663</v>
      </c>
      <c r="P1877" s="217" t="s">
        <v>8664</v>
      </c>
      <c r="Q1877" s="49"/>
      <c r="R1877" s="25"/>
      <c r="S1877" s="55"/>
      <c r="T1877" s="26"/>
      <c r="U1877" s="28"/>
      <c r="V1877" s="66"/>
      <c r="W1877" s="138"/>
      <c r="X1877" s="106"/>
      <c r="Y1877" s="209"/>
      <c r="Z1877" s="210"/>
      <c r="AA1877" s="207"/>
      <c r="AC1877" s="217" t="s">
        <v>8211</v>
      </c>
    </row>
    <row r="1878" spans="1:29" ht="69" hidden="1" customHeight="1">
      <c r="A1878" s="288">
        <f t="shared" si="14"/>
        <v>1868</v>
      </c>
      <c r="B1878" s="79" t="str">
        <f>+VLOOKUP(L1878,Code!$A$3:$B$17,2,FALSE)&amp;"-"&amp;VLOOKUP('1.아이디어LIST'!M1878,Code!$C$3:$D$17,2,FALSE)&amp;"-"&amp;VLOOKUP('1.아이디어LIST'!N1878,Code!$E$3:$F$8,2,FALSE)&amp;"-"&amp;COUNTIFS($L$11:L1878,L1878,$M$11:M1878,M1878,$N$11:N1878,N1878)</f>
        <v>IN/C-C-CE-14</v>
      </c>
      <c r="C1878" s="148" t="str">
        <f>VLOOKUP(E1878,'(참고)재직자'!$A$2:$F$2761,3,0)</f>
        <v>인프라</v>
      </c>
      <c r="D1878" s="80" t="str">
        <f>VLOOKUP(E1878,'(참고)재직자'!$A$2:$F$2761,5,0)</f>
        <v>현장</v>
      </c>
      <c r="E1878" s="27" t="s">
        <v>8665</v>
      </c>
      <c r="F1878" s="80" t="str">
        <f>VLOOKUP(E1878,'(참고)재직자'!$A$2:$F$2761,6,0)</f>
        <v>차장</v>
      </c>
      <c r="G1878" s="81" t="str">
        <f>VLOOKUP(E1878,'(참고)재직자'!$A$2:$F$2761,4,0)</f>
        <v>세종안성고속도로 2공구</v>
      </c>
      <c r="H1878" s="80" t="str">
        <f>VLOOKUP(E1878,'(참고)재직자'!$A$2:$F$2761,2,0)</f>
        <v>노상수</v>
      </c>
      <c r="I1878" s="295">
        <v>46085</v>
      </c>
      <c r="J1878" s="80" t="str">
        <f>VLOOKUP('1.아이디어LIST'!L1878,Code!$A$21:$D$40,3,FALSE)&amp;", "&amp;VLOOKUP('1.아이디어LIST'!M1878,Code!$E$21:$H$45,3,FALSE)&amp;", "&amp;VLOOKUP('1.아이디어LIST'!M1878,Code!$E$21:$H$45,4,FALSE)</f>
        <v xml:space="preserve">김태영, 박준용, </v>
      </c>
      <c r="K1878" s="219" t="s">
        <v>3373</v>
      </c>
      <c r="L1878" s="84" t="s">
        <v>10</v>
      </c>
      <c r="M1878" s="84" t="s">
        <v>200</v>
      </c>
      <c r="N1878" s="201" t="s">
        <v>72</v>
      </c>
      <c r="O1878" s="314" t="s">
        <v>8666</v>
      </c>
      <c r="P1878" s="217" t="s">
        <v>8667</v>
      </c>
      <c r="Q1878" s="49" t="s">
        <v>75</v>
      </c>
      <c r="R1878" s="25" t="s">
        <v>504</v>
      </c>
      <c r="S1878" s="55">
        <v>21</v>
      </c>
      <c r="T1878" s="26"/>
      <c r="U1878" s="28" t="s">
        <v>8668</v>
      </c>
      <c r="V1878" s="66"/>
      <c r="W1878" s="138"/>
      <c r="X1878" s="106"/>
      <c r="Y1878" s="209"/>
      <c r="Z1878" s="210"/>
      <c r="AA1878" s="207"/>
      <c r="AC1878" s="217"/>
    </row>
    <row r="1879" spans="1:29" ht="116.25" hidden="1" customHeight="1">
      <c r="A1879" s="288">
        <f t="shared" si="14"/>
        <v>1869</v>
      </c>
      <c r="B1879" s="79" t="str">
        <f>+VLOOKUP(L1879,Code!$A$3:$B$17,2,FALSE)&amp;"-"&amp;VLOOKUP('1.아이디어LIST'!M1879,Code!$C$3:$D$17,2,FALSE)&amp;"-"&amp;VLOOKUP('1.아이디어LIST'!N1879,Code!$E$3:$F$8,2,FALSE)&amp;"-"&amp;COUNTIFS($L$11:L1879,L1879,$M$11:M1879,M1879,$N$11:N1879,N1879)</f>
        <v>EN/S-A/S-CE-83</v>
      </c>
      <c r="C1879" s="148" t="str">
        <f>VLOOKUP(E1879,'(참고)재직자'!$A$2:$F$2761,3,0)</f>
        <v>건축</v>
      </c>
      <c r="D1879" s="80" t="str">
        <f>VLOOKUP(E1879,'(참고)재직자'!$A$2:$F$2761,5,0)</f>
        <v>현장</v>
      </c>
      <c r="E1879" s="27" t="s">
        <v>8669</v>
      </c>
      <c r="F1879" s="80" t="str">
        <f>VLOOKUP(E1879,'(참고)재직자'!$A$2:$F$2761,6,0)</f>
        <v>차장</v>
      </c>
      <c r="G1879" s="81" t="str">
        <f>VLOOKUP(E1879,'(참고)재직자'!$A$2:$F$2761,4,0)</f>
        <v>횡성 병영시설 신축공사</v>
      </c>
      <c r="H1879" s="80" t="str">
        <f>VLOOKUP(E1879,'(참고)재직자'!$A$2:$F$2761,2,0)</f>
        <v>권오삼</v>
      </c>
      <c r="I1879" s="295">
        <v>46093</v>
      </c>
      <c r="J1879" s="80" t="str">
        <f>VLOOKUP('1.아이디어LIST'!L1879,Code!$A$21:$D$40,3,FALSE)&amp;", "&amp;VLOOKUP('1.아이디어LIST'!M1879,Code!$E$21:$H$45,3,FALSE)&amp;", "&amp;VLOOKUP('1.아이디어LIST'!M1879,Code!$E$21:$H$45,4,FALSE)</f>
        <v>박준용, 고한울, 박준용</v>
      </c>
      <c r="K1879" s="219" t="str">
        <f>VLOOKUP(L1879,Code!$A$21:$C$40,3,0)</f>
        <v>박준용</v>
      </c>
      <c r="L1879" s="84" t="s">
        <v>199</v>
      </c>
      <c r="M1879" s="84" t="s">
        <v>221</v>
      </c>
      <c r="N1879" s="201" t="s">
        <v>72</v>
      </c>
      <c r="O1879" s="300" t="s">
        <v>8670</v>
      </c>
      <c r="P1879" s="217" t="s">
        <v>8671</v>
      </c>
      <c r="Q1879" s="49"/>
      <c r="R1879" s="25"/>
      <c r="S1879" s="55"/>
      <c r="T1879" s="26"/>
      <c r="U1879" s="28"/>
      <c r="V1879" s="66"/>
      <c r="W1879" s="138"/>
      <c r="X1879" s="106"/>
      <c r="Y1879" s="209"/>
      <c r="Z1879" s="210"/>
      <c r="AA1879" s="207"/>
      <c r="AC1879" s="217"/>
    </row>
    <row r="1880" spans="1:29" ht="72.75" hidden="1" customHeight="1">
      <c r="A1880" s="288">
        <f t="shared" si="14"/>
        <v>1870</v>
      </c>
      <c r="B1880" s="79" t="str">
        <f>+VLOOKUP(L1880,Code!$A$3:$B$17,2,FALSE)&amp;"-"&amp;VLOOKUP('1.아이디어LIST'!M1880,Code!$C$3:$D$17,2,FALSE)&amp;"-"&amp;VLOOKUP('1.아이디어LIST'!N1880,Code!$E$3:$F$8,2,FALSE)&amp;"-"&amp;COUNTIFS($L$11:L1880,L1880,$M$11:M1880,M1880,$N$11:N1880,N1880)</f>
        <v>EN/S-A/S-CE-84</v>
      </c>
      <c r="C1880" s="148" t="str">
        <f>VLOOKUP(E1880,'(참고)재직자'!$A$2:$F$2761,3,0)</f>
        <v>건축</v>
      </c>
      <c r="D1880" s="80" t="str">
        <f>VLOOKUP(E1880,'(참고)재직자'!$A$2:$F$2761,5,0)</f>
        <v>현장</v>
      </c>
      <c r="E1880" s="27" t="s">
        <v>8672</v>
      </c>
      <c r="F1880" s="80" t="str">
        <f>VLOOKUP(E1880,'(참고)재직자'!$A$2:$F$2761,6,0)</f>
        <v>과장</v>
      </c>
      <c r="G1880" s="81" t="str">
        <f>VLOOKUP(E1880,'(참고)재직자'!$A$2:$F$2761,4,0)</f>
        <v>미아 삼양 주상복합</v>
      </c>
      <c r="H1880" s="80" t="str">
        <f>VLOOKUP(E1880,'(참고)재직자'!$A$2:$F$2761,2,0)</f>
        <v>홍선택</v>
      </c>
      <c r="I1880" s="295">
        <v>46093</v>
      </c>
      <c r="J1880" s="80" t="str">
        <f>VLOOKUP('1.아이디어LIST'!L1880,Code!$A$21:$D$40,3,FALSE)&amp;", "&amp;VLOOKUP('1.아이디어LIST'!M1880,Code!$E$21:$H$45,3,FALSE)&amp;", "&amp;VLOOKUP('1.아이디어LIST'!M1880,Code!$E$21:$H$45,4,FALSE)</f>
        <v>박준용, 고한울, 박준용</v>
      </c>
      <c r="K1880" s="219" t="str">
        <f>VLOOKUP(L1880,Code!$A$21:$C$40,3,0)</f>
        <v>박준용</v>
      </c>
      <c r="L1880" s="84" t="s">
        <v>199</v>
      </c>
      <c r="M1880" s="84" t="s">
        <v>221</v>
      </c>
      <c r="N1880" s="201" t="s">
        <v>72</v>
      </c>
      <c r="O1880" s="300" t="s">
        <v>8673</v>
      </c>
      <c r="P1880" s="217" t="s">
        <v>8674</v>
      </c>
      <c r="Q1880" s="49"/>
      <c r="R1880" s="25"/>
      <c r="S1880" s="55"/>
      <c r="T1880" s="26"/>
      <c r="U1880" s="28"/>
      <c r="V1880" s="66"/>
      <c r="W1880" s="138"/>
      <c r="X1880" s="106"/>
      <c r="Y1880" s="209"/>
      <c r="Z1880" s="210"/>
      <c r="AA1880" s="207"/>
      <c r="AC1880" s="217"/>
    </row>
    <row r="1881" spans="1:29" ht="113.25" hidden="1" customHeight="1">
      <c r="A1881" s="288">
        <f t="shared" si="14"/>
        <v>1871</v>
      </c>
      <c r="B1881" s="79" t="str">
        <f>+VLOOKUP(L1881,Code!$A$3:$B$17,2,FALSE)&amp;"-"&amp;VLOOKUP('1.아이디어LIST'!M1881,Code!$C$3:$D$17,2,FALSE)&amp;"-"&amp;VLOOKUP('1.아이디어LIST'!N1881,Code!$E$3:$F$8,2,FALSE)&amp;"-"&amp;COUNTIFS($L$11:L1881,L1881,$M$11:M1881,M1881,$N$11:N1881,N1881)</f>
        <v>CO/I-YY-CE-29</v>
      </c>
      <c r="C1881" s="148" t="str">
        <f>VLOOKUP(E1881,'(참고)재직자'!$A$2:$F$2761,3,0)</f>
        <v>건축</v>
      </c>
      <c r="D1881" s="80" t="str">
        <f>VLOOKUP(E1881,'(참고)재직자'!$A$2:$F$2761,5,0)</f>
        <v>현장</v>
      </c>
      <c r="E1881" s="27" t="s">
        <v>5354</v>
      </c>
      <c r="F1881" s="80" t="str">
        <f>VLOOKUP(E1881,'(참고)재직자'!$A$2:$F$2761,6,0)</f>
        <v>대리</v>
      </c>
      <c r="G1881" s="81" t="str">
        <f>VLOOKUP(E1881,'(참고)재직자'!$A$2:$F$2761,4,0)</f>
        <v>평택 화양지구 7-2BL 공동주택</v>
      </c>
      <c r="H1881" s="80" t="str">
        <f>VLOOKUP(E1881,'(참고)재직자'!$A$2:$F$2761,2,0)</f>
        <v>민광호</v>
      </c>
      <c r="I1881" s="295">
        <v>46093</v>
      </c>
      <c r="J1881" s="80" t="str">
        <f>VLOOKUP('1.아이디어LIST'!L1881,Code!$A$21:$D$40,3,FALSE)&amp;", "&amp;VLOOKUP('1.아이디어LIST'!M1881,Code!$E$21:$H$45,3,FALSE)&amp;", "&amp;VLOOKUP('1.아이디어LIST'!M1881,Code!$E$21:$H$45,4,FALSE)</f>
        <v xml:space="preserve">박재보, 박재보, </v>
      </c>
      <c r="K1881" s="219" t="str">
        <f>VLOOKUP(L1881,Code!$A$21:$C$40,3,0)</f>
        <v>박재보</v>
      </c>
      <c r="L1881" s="84" t="s">
        <v>100</v>
      </c>
      <c r="M1881" s="84" t="s">
        <v>595</v>
      </c>
      <c r="N1881" s="201" t="s">
        <v>72</v>
      </c>
      <c r="O1881" s="300" t="s">
        <v>8675</v>
      </c>
      <c r="P1881" s="217" t="s">
        <v>8676</v>
      </c>
      <c r="Q1881" s="49"/>
      <c r="R1881" s="25"/>
      <c r="S1881" s="55"/>
      <c r="T1881" s="26"/>
      <c r="U1881" s="28"/>
      <c r="V1881" s="66"/>
      <c r="W1881" s="138"/>
      <c r="X1881" s="106"/>
      <c r="Y1881" s="209"/>
      <c r="Z1881" s="210"/>
      <c r="AA1881" s="207"/>
      <c r="AC1881" s="217"/>
    </row>
    <row r="1882" spans="1:29" ht="99.75" hidden="1" customHeight="1">
      <c r="A1882" s="288">
        <f t="shared" si="14"/>
        <v>1872</v>
      </c>
      <c r="B1882" s="79" t="str">
        <f>+VLOOKUP(L1882,Code!$A$3:$B$17,2,FALSE)&amp;"-"&amp;VLOOKUP('1.아이디어LIST'!M1882,Code!$C$3:$D$17,2,FALSE)&amp;"-"&amp;VLOOKUP('1.아이디어LIST'!N1882,Code!$E$3:$F$8,2,FALSE)&amp;"-"&amp;COUNTIFS($L$11:L1882,L1882,$M$11:M1882,M1882,$N$11:N1882,N1882)</f>
        <v>CO/I-YY-CE-30</v>
      </c>
      <c r="C1882" s="148" t="str">
        <f>VLOOKUP(E1882,'(참고)재직자'!$A$2:$F$2761,3,0)</f>
        <v>인프라</v>
      </c>
      <c r="D1882" s="80" t="str">
        <f>VLOOKUP(E1882,'(참고)재직자'!$A$2:$F$2761,5,0)</f>
        <v>현장</v>
      </c>
      <c r="E1882" s="27" t="s">
        <v>3197</v>
      </c>
      <c r="F1882" s="80" t="str">
        <f>VLOOKUP(E1882,'(참고)재직자'!$A$2:$F$2761,6,0)</f>
        <v>과장</v>
      </c>
      <c r="G1882" s="81" t="str">
        <f>VLOOKUP(E1882,'(참고)재직자'!$A$2:$F$2761,4,0)</f>
        <v>수원발 KTX 노반공사</v>
      </c>
      <c r="H1882" s="80" t="str">
        <f>VLOOKUP(E1882,'(참고)재직자'!$A$2:$F$2761,2,0)</f>
        <v>강희종</v>
      </c>
      <c r="I1882" s="295">
        <v>46093</v>
      </c>
      <c r="J1882" s="80" t="str">
        <f>VLOOKUP('1.아이디어LIST'!L1882,Code!$A$21:$D$40,3,FALSE)&amp;", "&amp;VLOOKUP('1.아이디어LIST'!M1882,Code!$E$21:$H$45,3,FALSE)&amp;", "&amp;VLOOKUP('1.아이디어LIST'!M1882,Code!$E$21:$H$45,4,FALSE)</f>
        <v xml:space="preserve">박재보, 박재보, </v>
      </c>
      <c r="K1882" s="219" t="str">
        <f>VLOOKUP(L1882,Code!$A$21:$C$40,3,0)</f>
        <v>박재보</v>
      </c>
      <c r="L1882" s="84" t="s">
        <v>100</v>
      </c>
      <c r="M1882" s="84" t="s">
        <v>595</v>
      </c>
      <c r="N1882" s="201" t="s">
        <v>72</v>
      </c>
      <c r="O1882" s="313" t="s">
        <v>8677</v>
      </c>
      <c r="P1882" s="217" t="s">
        <v>8678</v>
      </c>
      <c r="Q1882" s="49"/>
      <c r="R1882" s="25"/>
      <c r="S1882" s="55"/>
      <c r="T1882" s="26"/>
      <c r="U1882" s="28"/>
      <c r="V1882" s="66"/>
      <c r="W1882" s="138"/>
      <c r="X1882" s="106"/>
      <c r="Y1882" s="209"/>
      <c r="Z1882" s="210"/>
      <c r="AA1882" s="207"/>
      <c r="AC1882" s="217"/>
    </row>
    <row r="1883" spans="1:29" ht="99" hidden="1" customHeight="1">
      <c r="A1883" s="288">
        <f t="shared" si="14"/>
        <v>1873</v>
      </c>
      <c r="B1883" s="79" t="str">
        <f>+VLOOKUP(L1883,Code!$A$3:$B$17,2,FALSE)&amp;"-"&amp;VLOOKUP('1.아이디어LIST'!M1883,Code!$C$3:$D$17,2,FALSE)&amp;"-"&amp;VLOOKUP('1.아이디어LIST'!N1883,Code!$E$3:$F$8,2,FALSE)&amp;"-"&amp;COUNTIFS($L$11:L1883,L1883,$M$11:M1883,M1883,$N$11:N1883,N1883)</f>
        <v>CO/D-ID/H-CE-78</v>
      </c>
      <c r="C1883" s="148" t="str">
        <f>VLOOKUP(E1883,'(참고)재직자'!$A$2:$F$2761,3,0)</f>
        <v>인프라</v>
      </c>
      <c r="D1883" s="80" t="str">
        <f>VLOOKUP(E1883,'(참고)재직자'!$A$2:$F$2761,5,0)</f>
        <v>현장</v>
      </c>
      <c r="E1883" s="27" t="s">
        <v>6343</v>
      </c>
      <c r="F1883" s="80" t="str">
        <f>VLOOKUP(E1883,'(참고)재직자'!$A$2:$F$2761,6,0)</f>
        <v>사원</v>
      </c>
      <c r="G1883" s="81" t="str">
        <f>VLOOKUP(E1883,'(참고)재직자'!$A$2:$F$2761,4,0)</f>
        <v>제2용인테크노밸리</v>
      </c>
      <c r="H1883" s="80" t="str">
        <f>VLOOKUP(E1883,'(참고)재직자'!$A$2:$F$2761,2,0)</f>
        <v>송정호</v>
      </c>
      <c r="I1883" s="295">
        <v>46098</v>
      </c>
      <c r="J1883" s="80" t="str">
        <f>VLOOKUP('1.아이디어LIST'!L1883,Code!$A$21:$D$40,3,FALSE)&amp;", "&amp;VLOOKUP('1.아이디어LIST'!M1883,Code!$E$21:$H$45,3,FALSE)&amp;", "&amp;VLOOKUP('1.아이디어LIST'!M1883,Code!$E$21:$H$45,4,FALSE)</f>
        <v xml:space="preserve">고한울, 박재보, </v>
      </c>
      <c r="K1883" s="219" t="str">
        <f>VLOOKUP(L1883,Code!$A$21:$C$40,3,0)</f>
        <v>고한울</v>
      </c>
      <c r="L1883" s="84" t="s">
        <v>189</v>
      </c>
      <c r="M1883" s="84" t="s">
        <v>601</v>
      </c>
      <c r="N1883" s="201" t="s">
        <v>72</v>
      </c>
      <c r="O1883" s="313" t="s">
        <v>8679</v>
      </c>
      <c r="P1883" s="217" t="s">
        <v>8680</v>
      </c>
      <c r="Q1883" s="49"/>
      <c r="R1883" s="25"/>
      <c r="S1883" s="55"/>
      <c r="T1883" s="26"/>
      <c r="U1883" s="28"/>
      <c r="V1883" s="66"/>
      <c r="W1883" s="138"/>
      <c r="X1883" s="106"/>
      <c r="Y1883" s="209"/>
      <c r="Z1883" s="210"/>
      <c r="AA1883" s="207"/>
      <c r="AC1883" s="217" t="s">
        <v>8211</v>
      </c>
    </row>
    <row r="1884" spans="1:29" ht="79.5" hidden="1" customHeight="1">
      <c r="A1884" s="288">
        <f t="shared" si="14"/>
        <v>1874</v>
      </c>
      <c r="B1884" s="79" t="str">
        <f>+VLOOKUP(L1884,Code!$A$3:$B$17,2,FALSE)&amp;"-"&amp;VLOOKUP('1.아이디어LIST'!M1884,Code!$C$3:$D$17,2,FALSE)&amp;"-"&amp;VLOOKUP('1.아이디어LIST'!N1884,Code!$E$3:$F$8,2,FALSE)&amp;"-"&amp;COUNTIFS($L$11:L1884,L1884,$M$11:M1884,M1884,$N$11:N1884,N1884)</f>
        <v>CO/Z-PI-SNA-73</v>
      </c>
      <c r="C1884" s="148" t="str">
        <f>VLOOKUP(E1884,'(참고)재직자'!$A$2:$F$2761,3,0)</f>
        <v>건축</v>
      </c>
      <c r="D1884" s="80" t="str">
        <f>VLOOKUP(E1884,'(참고)재직자'!$A$2:$F$2761,5,0)</f>
        <v>현장</v>
      </c>
      <c r="E1884" s="27" t="s">
        <v>5354</v>
      </c>
      <c r="F1884" s="80" t="str">
        <f>VLOOKUP(E1884,'(참고)재직자'!$A$2:$F$2761,6,0)</f>
        <v>대리</v>
      </c>
      <c r="G1884" s="81" t="str">
        <f>VLOOKUP(E1884,'(참고)재직자'!$A$2:$F$2761,4,0)</f>
        <v>평택 화양지구 7-2BL 공동주택</v>
      </c>
      <c r="H1884" s="80" t="str">
        <f>VLOOKUP(E1884,'(참고)재직자'!$A$2:$F$2761,2,0)</f>
        <v>민광호</v>
      </c>
      <c r="I1884" s="295">
        <v>46098</v>
      </c>
      <c r="J1884" s="80" t="str">
        <f>VLOOKUP('1.아이디어LIST'!L1884,Code!$A$21:$D$40,3,FALSE)&amp;", "&amp;VLOOKUP('1.아이디어LIST'!M1884,Code!$E$21:$H$45,3,FALSE)&amp;", "&amp;VLOOKUP('1.아이디어LIST'!M1884,Code!$E$21:$H$45,4,FALSE)</f>
        <v xml:space="preserve">박재보, 박재보, </v>
      </c>
      <c r="K1884" s="219" t="str">
        <f>VLOOKUP(L1884,Code!$A$21:$C$40,3,0)</f>
        <v>박재보</v>
      </c>
      <c r="L1884" s="84" t="s">
        <v>251</v>
      </c>
      <c r="M1884" s="84" t="s">
        <v>252</v>
      </c>
      <c r="N1884" s="201" t="s">
        <v>920</v>
      </c>
      <c r="O1884" s="300" t="s">
        <v>8681</v>
      </c>
      <c r="P1884" s="217" t="s">
        <v>8682</v>
      </c>
      <c r="Q1884" s="49"/>
      <c r="R1884" s="25"/>
      <c r="S1884" s="55"/>
      <c r="T1884" s="26"/>
      <c r="U1884" s="28"/>
      <c r="V1884" s="66"/>
      <c r="W1884" s="138"/>
      <c r="X1884" s="106"/>
      <c r="Y1884" s="209"/>
      <c r="Z1884" s="210"/>
      <c r="AA1884" s="207"/>
      <c r="AC1884" s="217"/>
    </row>
    <row r="1885" spans="1:29" ht="104.25" hidden="1" customHeight="1">
      <c r="A1885" s="288">
        <f t="shared" si="14"/>
        <v>1875</v>
      </c>
      <c r="B1885" s="79" t="str">
        <f>+VLOOKUP(L1885,Code!$A$3:$B$17,2,FALSE)&amp;"-"&amp;VLOOKUP('1.아이디어LIST'!M1885,Code!$C$3:$D$17,2,FALSE)&amp;"-"&amp;VLOOKUP('1.아이디어LIST'!N1885,Code!$E$3:$F$8,2,FALSE)&amp;"-"&amp;COUNTIFS($L$11:L1885,L1885,$M$11:M1885,M1885,$N$11:N1885,N1885)</f>
        <v>CO/D-E-CE-13</v>
      </c>
      <c r="C1885" s="148" t="str">
        <f>VLOOKUP(E1885,'(참고)재직자'!$A$2:$F$2761,3,0)</f>
        <v>건축</v>
      </c>
      <c r="D1885" s="80" t="str">
        <f>VLOOKUP(E1885,'(참고)재직자'!$A$2:$F$2761,5,0)</f>
        <v>현장</v>
      </c>
      <c r="E1885" s="27" t="s">
        <v>8683</v>
      </c>
      <c r="F1885" s="80" t="str">
        <f>VLOOKUP(E1885,'(참고)재직자'!$A$2:$F$2761,6,0)</f>
        <v>과장</v>
      </c>
      <c r="G1885" s="81" t="str">
        <f>VLOOKUP(E1885,'(참고)재직자'!$A$2:$F$2761,4,0)</f>
        <v>미아 삼양 주상복합</v>
      </c>
      <c r="H1885" s="80" t="str">
        <f>VLOOKUP(E1885,'(참고)재직자'!$A$2:$F$2761,2,0)</f>
        <v>황지환</v>
      </c>
      <c r="I1885" s="295">
        <v>46105</v>
      </c>
      <c r="J1885" s="80" t="str">
        <f>VLOOKUP('1.아이디어LIST'!L1885,Code!$A$21:$D$40,3,FALSE)&amp;", "&amp;VLOOKUP('1.아이디어LIST'!M1885,Code!$E$21:$H$45,3,FALSE)&amp;", "&amp;VLOOKUP('1.아이디어LIST'!M1885,Code!$E$21:$H$45,4,FALSE)</f>
        <v xml:space="preserve">고한울, 오정화, </v>
      </c>
      <c r="K1885" s="219" t="s">
        <v>146</v>
      </c>
      <c r="L1885" s="84" t="s">
        <v>189</v>
      </c>
      <c r="M1885" s="84" t="s">
        <v>148</v>
      </c>
      <c r="N1885" s="201" t="s">
        <v>72</v>
      </c>
      <c r="O1885" s="300" t="s">
        <v>8684</v>
      </c>
      <c r="P1885" s="217" t="s">
        <v>8685</v>
      </c>
      <c r="Q1885" s="49" t="s">
        <v>75</v>
      </c>
      <c r="R1885" s="25" t="s">
        <v>91</v>
      </c>
      <c r="S1885" s="55"/>
      <c r="T1885" s="26"/>
      <c r="U1885" s="28"/>
      <c r="V1885" s="66"/>
      <c r="W1885" s="138"/>
      <c r="X1885" s="106"/>
      <c r="Y1885" s="209"/>
      <c r="Z1885" s="210"/>
      <c r="AA1885" s="207"/>
      <c r="AC1885" s="217"/>
    </row>
    <row r="1886" spans="1:29" ht="91.5" hidden="1" customHeight="1">
      <c r="A1886" s="288">
        <f t="shared" si="14"/>
        <v>1876</v>
      </c>
      <c r="B1886" s="79" t="str">
        <f>+VLOOKUP(L1886,Code!$A$3:$B$17,2,FALSE)&amp;"-"&amp;VLOOKUP('1.아이디어LIST'!M1886,Code!$C$3:$D$17,2,FALSE)&amp;"-"&amp;VLOOKUP('1.아이디어LIST'!N1886,Code!$E$3:$F$8,2,FALSE)&amp;"-"&amp;COUNTIFS($L$11:L1886,L1886,$M$11:M1886,M1886,$N$11:N1886,N1886)</f>
        <v>CO/D-Z-CE-46</v>
      </c>
      <c r="C1886" s="148" t="str">
        <f>VLOOKUP(E1886,'(참고)재직자'!$A$2:$F$2761,3,0)</f>
        <v>건축</v>
      </c>
      <c r="D1886" s="80" t="str">
        <f>VLOOKUP(E1886,'(참고)재직자'!$A$2:$F$2761,5,0)</f>
        <v>현장</v>
      </c>
      <c r="E1886" s="27" t="s">
        <v>2790</v>
      </c>
      <c r="F1886" s="80" t="str">
        <f>VLOOKUP(E1886,'(참고)재직자'!$A$2:$F$2761,6,0)</f>
        <v>부장</v>
      </c>
      <c r="G1886" s="81" t="str">
        <f>VLOOKUP(E1886,'(참고)재직자'!$A$2:$F$2761,4,0)</f>
        <v>충주 용산주공 재건축</v>
      </c>
      <c r="H1886" s="80" t="str">
        <f>VLOOKUP(E1886,'(참고)재직자'!$A$2:$F$2761,2,0)</f>
        <v>류하영</v>
      </c>
      <c r="I1886" s="295">
        <v>46106</v>
      </c>
      <c r="J1886" s="80" t="str">
        <f>VLOOKUP('1.아이디어LIST'!L1886,Code!$A$21:$D$40,3,FALSE)&amp;", "&amp;VLOOKUP('1.아이디어LIST'!M1886,Code!$E$21:$H$45,3,FALSE)&amp;", "&amp;VLOOKUP('1.아이디어LIST'!M1886,Code!$E$21:$H$45,4,FALSE)</f>
        <v xml:space="preserve">고한울, 박준용, </v>
      </c>
      <c r="K1886" s="219" t="str">
        <f>VLOOKUP(L1886,Code!$A$21:$C$40,3,0)</f>
        <v>고한울</v>
      </c>
      <c r="L1886" s="84" t="s">
        <v>189</v>
      </c>
      <c r="M1886" s="84" t="s">
        <v>784</v>
      </c>
      <c r="N1886" s="201" t="s">
        <v>72</v>
      </c>
      <c r="O1886" s="300" t="s">
        <v>8686</v>
      </c>
      <c r="P1886" s="217" t="s">
        <v>8687</v>
      </c>
      <c r="Q1886" s="49"/>
      <c r="R1886" s="25"/>
      <c r="S1886" s="55"/>
      <c r="T1886" s="26"/>
      <c r="U1886" s="28"/>
      <c r="V1886" s="66"/>
      <c r="W1886" s="138"/>
      <c r="X1886" s="106"/>
      <c r="Y1886" s="209"/>
      <c r="Z1886" s="210"/>
      <c r="AA1886" s="207"/>
      <c r="AC1886" s="217"/>
    </row>
    <row r="1887" spans="1:29" ht="93.75" hidden="1" customHeight="1">
      <c r="A1887" s="288">
        <f t="shared" si="14"/>
        <v>1877</v>
      </c>
      <c r="B1887" s="79" t="str">
        <f>+VLOOKUP(L1887,Code!$A$3:$B$17,2,FALSE)&amp;"-"&amp;VLOOKUP('1.아이디어LIST'!M1887,Code!$C$3:$D$17,2,FALSE)&amp;"-"&amp;VLOOKUP('1.아이디어LIST'!N1887,Code!$E$3:$F$8,2,FALSE)&amp;"-"&amp;COUNTIFS($L$11:L1887,L1887,$M$11:M1887,M1887,$N$11:N1887,N1887)</f>
        <v>EN/M-M-CE-59</v>
      </c>
      <c r="C1887" s="148" t="str">
        <f>VLOOKUP(E1887,'(참고)재직자'!$A$2:$F$2761,3,0)</f>
        <v>건축</v>
      </c>
      <c r="D1887" s="80" t="str">
        <f>VLOOKUP(E1887,'(참고)재직자'!$A$2:$F$2761,5,0)</f>
        <v>현장</v>
      </c>
      <c r="E1887" s="27" t="s">
        <v>2790</v>
      </c>
      <c r="F1887" s="80" t="str">
        <f>VLOOKUP(E1887,'(참고)재직자'!$A$2:$F$2761,6,0)</f>
        <v>부장</v>
      </c>
      <c r="G1887" s="81" t="str">
        <f>VLOOKUP(E1887,'(참고)재직자'!$A$2:$F$2761,4,0)</f>
        <v>충주 용산주공 재건축</v>
      </c>
      <c r="H1887" s="80" t="str">
        <f>VLOOKUP(E1887,'(참고)재직자'!$A$2:$F$2761,2,0)</f>
        <v>류하영</v>
      </c>
      <c r="I1887" s="295">
        <v>46106</v>
      </c>
      <c r="J1887" s="80" t="str">
        <f>VLOOKUP('1.아이디어LIST'!L1887,Code!$A$21:$D$40,3,FALSE)&amp;", "&amp;VLOOKUP('1.아이디어LIST'!M1887,Code!$E$21:$H$45,3,FALSE)&amp;", "&amp;VLOOKUP('1.아이디어LIST'!M1887,Code!$E$21:$H$45,4,FALSE)</f>
        <v xml:space="preserve">박병규, 박병규, </v>
      </c>
      <c r="K1887" s="219" t="str">
        <f>VLOOKUP(L1887,Code!$A$21:$C$40,3,0)</f>
        <v>박병규</v>
      </c>
      <c r="L1887" s="84" t="s">
        <v>171</v>
      </c>
      <c r="M1887" s="84" t="s">
        <v>71</v>
      </c>
      <c r="N1887" s="201" t="s">
        <v>72</v>
      </c>
      <c r="O1887" s="300" t="s">
        <v>8688</v>
      </c>
      <c r="P1887" s="217" t="s">
        <v>8689</v>
      </c>
      <c r="Q1887" s="49"/>
      <c r="R1887" s="25"/>
      <c r="S1887" s="55"/>
      <c r="T1887" s="26"/>
      <c r="U1887" s="28"/>
      <c r="V1887" s="66"/>
      <c r="W1887" s="138"/>
      <c r="X1887" s="106"/>
      <c r="Y1887" s="209"/>
      <c r="Z1887" s="210"/>
      <c r="AA1887" s="207"/>
      <c r="AC1887" s="217"/>
    </row>
    <row r="1888" spans="1:29" ht="151.5" hidden="1" customHeight="1">
      <c r="A1888" s="288">
        <f t="shared" si="14"/>
        <v>1878</v>
      </c>
      <c r="B1888" s="79" t="str">
        <f>+VLOOKUP(L1888,Code!$A$3:$B$17,2,FALSE)&amp;"-"&amp;VLOOKUP('1.아이디어LIST'!M1888,Code!$C$3:$D$17,2,FALSE)&amp;"-"&amp;VLOOKUP('1.아이디어LIST'!N1888,Code!$E$3:$F$8,2,FALSE)&amp;"-"&amp;COUNTIFS($L$11:L1888,L1888,$M$11:M1888,M1888,$N$11:N1888,N1888)</f>
        <v>CO/D-Z-CE-47</v>
      </c>
      <c r="C1888" s="148" t="str">
        <f>VLOOKUP(E1888,'(참고)재직자'!$A$2:$F$2761,3,0)</f>
        <v>건축</v>
      </c>
      <c r="D1888" s="80" t="str">
        <f>VLOOKUP(E1888,'(참고)재직자'!$A$2:$F$2761,5,0)</f>
        <v>현장</v>
      </c>
      <c r="E1888" s="27" t="s">
        <v>2305</v>
      </c>
      <c r="F1888" s="80" t="str">
        <f>VLOOKUP(E1888,'(참고)재직자'!$A$2:$F$2761,6,0)</f>
        <v>과장</v>
      </c>
      <c r="G1888" s="81" t="str">
        <f>VLOOKUP(E1888,'(참고)재직자'!$A$2:$F$2761,4,0)</f>
        <v>진주이현 재건축</v>
      </c>
      <c r="H1888" s="80" t="str">
        <f>VLOOKUP(E1888,'(참고)재직자'!$A$2:$F$2761,2,0)</f>
        <v>이봉은</v>
      </c>
      <c r="I1888" s="295">
        <v>46106</v>
      </c>
      <c r="J1888" s="80" t="str">
        <f>VLOOKUP('1.아이디어LIST'!L1888,Code!$A$21:$D$40,3,FALSE)&amp;", "&amp;VLOOKUP('1.아이디어LIST'!M1888,Code!$E$21:$H$45,3,FALSE)&amp;", "&amp;VLOOKUP('1.아이디어LIST'!M1888,Code!$E$21:$H$45,4,FALSE)</f>
        <v xml:space="preserve">고한울, 박준용, </v>
      </c>
      <c r="K1888" s="219" t="str">
        <f>VLOOKUP(L1888,Code!$A$21:$C$40,3,0)</f>
        <v>고한울</v>
      </c>
      <c r="L1888" s="84" t="s">
        <v>189</v>
      </c>
      <c r="M1888" s="84" t="s">
        <v>784</v>
      </c>
      <c r="N1888" s="201" t="s">
        <v>72</v>
      </c>
      <c r="O1888" s="300" t="s">
        <v>8690</v>
      </c>
      <c r="P1888" s="217" t="s">
        <v>8691</v>
      </c>
      <c r="Q1888" s="49"/>
      <c r="R1888" s="25"/>
      <c r="S1888" s="55"/>
      <c r="T1888" s="26"/>
      <c r="U1888" s="28"/>
      <c r="V1888" s="66"/>
      <c r="W1888" s="138"/>
      <c r="X1888" s="106"/>
      <c r="Y1888" s="209"/>
      <c r="Z1888" s="210"/>
      <c r="AA1888" s="207"/>
      <c r="AC1888" s="217"/>
    </row>
    <row r="1889" spans="1:29" ht="134.25" hidden="1" customHeight="1">
      <c r="A1889" s="288">
        <f t="shared" si="14"/>
        <v>1879</v>
      </c>
      <c r="B1889" s="79" t="str">
        <f>+VLOOKUP(L1889,Code!$A$3:$B$17,2,FALSE)&amp;"-"&amp;VLOOKUP('1.아이디어LIST'!M1889,Code!$C$3:$D$17,2,FALSE)&amp;"-"&amp;VLOOKUP('1.아이디어LIST'!N1889,Code!$E$3:$F$8,2,FALSE)&amp;"-"&amp;COUNTIFS($L$11:L1889,L1889,$M$11:M1889,M1889,$N$11:N1889,N1889)</f>
        <v>CO/I-ID/H-CE-28</v>
      </c>
      <c r="C1889" s="148" t="str">
        <f>VLOOKUP(E1889,'(참고)재직자'!$A$2:$F$2761,3,0)</f>
        <v>건축</v>
      </c>
      <c r="D1889" s="80" t="str">
        <f>VLOOKUP(E1889,'(참고)재직자'!$A$2:$F$2761,5,0)</f>
        <v>현장</v>
      </c>
      <c r="E1889" s="27" t="s">
        <v>650</v>
      </c>
      <c r="F1889" s="80" t="str">
        <f>VLOOKUP(E1889,'(참고)재직자'!$A$2:$F$2761,6,0)</f>
        <v>차장</v>
      </c>
      <c r="G1889" s="81" t="str">
        <f>VLOOKUP(E1889,'(참고)재직자'!$A$2:$F$2761,4,0)</f>
        <v>고객서비스팀(현장)</v>
      </c>
      <c r="H1889" s="80" t="str">
        <f>VLOOKUP(E1889,'(참고)재직자'!$A$2:$F$2761,2,0)</f>
        <v>노은식</v>
      </c>
      <c r="I1889" s="295">
        <v>46106</v>
      </c>
      <c r="J1889" s="80" t="str">
        <f>VLOOKUP('1.아이디어LIST'!L1889,Code!$A$21:$D$40,3,FALSE)&amp;", "&amp;VLOOKUP('1.아이디어LIST'!M1889,Code!$E$21:$H$45,3,FALSE)&amp;", "&amp;VLOOKUP('1.아이디어LIST'!M1889,Code!$E$21:$H$45,4,FALSE)</f>
        <v xml:space="preserve">박재보, 박재보, </v>
      </c>
      <c r="K1889" s="219" t="str">
        <f>VLOOKUP(L1889,Code!$A$21:$C$40,3,0)</f>
        <v>박재보</v>
      </c>
      <c r="L1889" s="84" t="s">
        <v>100</v>
      </c>
      <c r="M1889" s="84" t="s">
        <v>601</v>
      </c>
      <c r="N1889" s="201" t="s">
        <v>72</v>
      </c>
      <c r="O1889" s="300" t="s">
        <v>8692</v>
      </c>
      <c r="P1889" s="217" t="s">
        <v>8693</v>
      </c>
      <c r="Q1889" s="49"/>
      <c r="R1889" s="25"/>
      <c r="S1889" s="55"/>
      <c r="T1889" s="26"/>
      <c r="U1889" s="28"/>
      <c r="V1889" s="66"/>
      <c r="W1889" s="138"/>
      <c r="X1889" s="106"/>
      <c r="Y1889" s="209"/>
      <c r="Z1889" s="210"/>
      <c r="AA1889" s="207"/>
      <c r="AC1889" s="217" t="s">
        <v>8211</v>
      </c>
    </row>
    <row r="1890" spans="1:29" ht="118.5" hidden="1" customHeight="1">
      <c r="A1890" s="288">
        <f t="shared" si="14"/>
        <v>1880</v>
      </c>
      <c r="B1890" s="79" t="str">
        <f>+VLOOKUP(L1890,Code!$A$3:$B$17,2,FALSE)&amp;"-"&amp;VLOOKUP('1.아이디어LIST'!M1890,Code!$C$3:$D$17,2,FALSE)&amp;"-"&amp;VLOOKUP('1.아이디어LIST'!N1890,Code!$E$3:$F$8,2,FALSE)&amp;"-"&amp;COUNTIFS($L$11:L1890,L1890,$M$11:M1890,M1890,$N$11:N1890,N1890)</f>
        <v>CO/I-ID/H-CE-29</v>
      </c>
      <c r="C1890" s="148" t="str">
        <f>VLOOKUP(E1890,'(참고)재직자'!$A$2:$F$2761,3,0)</f>
        <v>인프라</v>
      </c>
      <c r="D1890" s="80" t="str">
        <f>VLOOKUP(E1890,'(참고)재직자'!$A$2:$F$2761,5,0)</f>
        <v>현장</v>
      </c>
      <c r="E1890" s="27" t="s">
        <v>8694</v>
      </c>
      <c r="F1890" s="80" t="str">
        <f>VLOOKUP(E1890,'(참고)재직자'!$A$2:$F$2761,6,0)</f>
        <v>과장</v>
      </c>
      <c r="G1890" s="81" t="str">
        <f>VLOOKUP(E1890,'(참고)재직자'!$A$2:$F$2761,4,0)</f>
        <v>사상하단도시철도</v>
      </c>
      <c r="H1890" s="80" t="str">
        <f>VLOOKUP(E1890,'(참고)재직자'!$A$2:$F$2761,2,0)</f>
        <v>김민준</v>
      </c>
      <c r="I1890" s="295">
        <v>46106</v>
      </c>
      <c r="J1890" s="80" t="str">
        <f>VLOOKUP('1.아이디어LIST'!L1890,Code!$A$21:$D$40,3,FALSE)&amp;", "&amp;VLOOKUP('1.아이디어LIST'!M1890,Code!$E$21:$H$45,3,FALSE)&amp;", "&amp;VLOOKUP('1.아이디어LIST'!M1890,Code!$E$21:$H$45,4,FALSE)</f>
        <v xml:space="preserve">박재보, 박재보, </v>
      </c>
      <c r="K1890" s="219" t="str">
        <f>VLOOKUP(L1890,Code!$A$21:$C$40,3,0)</f>
        <v>박재보</v>
      </c>
      <c r="L1890" s="84" t="s">
        <v>100</v>
      </c>
      <c r="M1890" s="84" t="s">
        <v>601</v>
      </c>
      <c r="N1890" s="201" t="s">
        <v>72</v>
      </c>
      <c r="O1890" s="313" t="s">
        <v>8695</v>
      </c>
      <c r="P1890" s="217" t="s">
        <v>8696</v>
      </c>
      <c r="Q1890" s="49"/>
      <c r="R1890" s="25"/>
      <c r="S1890" s="55"/>
      <c r="T1890" s="26"/>
      <c r="U1890" s="28"/>
      <c r="V1890" s="66"/>
      <c r="W1890" s="138"/>
      <c r="X1890" s="106"/>
      <c r="Y1890" s="209"/>
      <c r="Z1890" s="210"/>
      <c r="AA1890" s="207"/>
      <c r="AC1890" s="217" t="s">
        <v>8211</v>
      </c>
    </row>
    <row r="1891" spans="1:29" ht="97.5" hidden="1" customHeight="1">
      <c r="A1891" s="288">
        <f>A1890+1</f>
        <v>1881</v>
      </c>
      <c r="B1891" s="79" t="str">
        <f>+VLOOKUP(L1891,Code!$A$3:$B$17,2,FALSE)&amp;"-"&amp;VLOOKUP('1.아이디어LIST'!M1891,Code!$C$3:$D$17,2,FALSE)&amp;"-"&amp;VLOOKUP('1.아이디어LIST'!N1891,Code!$E$3:$F$8,2,FALSE)&amp;"-"&amp;COUNTIFS($L$11:L1891,L1891,$M$11:M1891,M1891,$N$11:N1891,N1891)</f>
        <v>EN/M-ID/H-CE-1</v>
      </c>
      <c r="C1891" s="148" t="str">
        <f>VLOOKUP(E1891,'(참고)재직자'!$A$2:$F$2761,3,0)</f>
        <v>건축</v>
      </c>
      <c r="D1891" s="80" t="str">
        <f>VLOOKUP(E1891,'(참고)재직자'!$A$2:$F$2761,5,0)</f>
        <v>현장</v>
      </c>
      <c r="E1891" s="27" t="s">
        <v>7501</v>
      </c>
      <c r="F1891" s="80" t="str">
        <f>VLOOKUP(E1891,'(참고)재직자'!$A$2:$F$2761,6,0)</f>
        <v>대리</v>
      </c>
      <c r="G1891" s="81" t="str">
        <f>VLOOKUP(E1891,'(참고)재직자'!$A$2:$F$2761,4,0)</f>
        <v>충주 용산주공 재건축</v>
      </c>
      <c r="H1891" s="80" t="str">
        <f>VLOOKUP(E1891,'(참고)재직자'!$A$2:$F$2761,2,0)</f>
        <v>이경민</v>
      </c>
      <c r="I1891" s="295">
        <v>46108</v>
      </c>
      <c r="J1891" s="80" t="str">
        <f>VLOOKUP('1.아이디어LIST'!L1891,Code!$A$21:$D$40,3,FALSE)&amp;", "&amp;VLOOKUP('1.아이디어LIST'!M1891,Code!$E$21:$H$45,3,FALSE)&amp;", "&amp;VLOOKUP('1.아이디어LIST'!M1891,Code!$E$21:$H$45,4,FALSE)</f>
        <v xml:space="preserve">박병규, 박재보, </v>
      </c>
      <c r="K1891" s="219" t="str">
        <f>VLOOKUP(L1891,Code!$A$21:$C$40,3,0)</f>
        <v>박병규</v>
      </c>
      <c r="L1891" s="84" t="s">
        <v>171</v>
      </c>
      <c r="M1891" s="84" t="s">
        <v>601</v>
      </c>
      <c r="N1891" s="201" t="s">
        <v>72</v>
      </c>
      <c r="O1891" s="300" t="s">
        <v>8697</v>
      </c>
      <c r="P1891" s="217" t="s">
        <v>8698</v>
      </c>
      <c r="Q1891" s="49"/>
      <c r="R1891" s="25"/>
      <c r="S1891" s="55"/>
      <c r="T1891" s="26"/>
      <c r="U1891" s="28"/>
      <c r="V1891" s="66"/>
      <c r="W1891" s="138"/>
      <c r="X1891" s="106"/>
      <c r="Y1891" s="209"/>
      <c r="Z1891" s="210"/>
      <c r="AA1891" s="207"/>
      <c r="AC1891" s="217" t="s">
        <v>8211</v>
      </c>
    </row>
    <row r="1892" spans="1:29" ht="99" hidden="1" customHeight="1">
      <c r="A1892" s="288">
        <f>A1891+1</f>
        <v>1882</v>
      </c>
      <c r="B1892" s="79" t="str">
        <f>+VLOOKUP(L1892,Code!$A$3:$B$17,2,FALSE)&amp;"-"&amp;VLOOKUP('1.아이디어LIST'!M1892,Code!$C$3:$D$17,2,FALSE)&amp;"-"&amp;VLOOKUP('1.아이디어LIST'!N1892,Code!$E$3:$F$8,2,FALSE)&amp;"-"&amp;COUNTIFS($L$11:L1892,L1892,$M$11:M1892,M1892,$N$11:N1892,N1892)</f>
        <v>CO/D-ID/H-CE-79</v>
      </c>
      <c r="C1892" s="148" t="str">
        <f>VLOOKUP(E1892,'(참고)재직자'!$A$2:$F$2761,3,0)</f>
        <v>건축</v>
      </c>
      <c r="D1892" s="80" t="str">
        <f>VLOOKUP(E1892,'(참고)재직자'!$A$2:$F$2761,5,0)</f>
        <v>현장</v>
      </c>
      <c r="E1892" s="27" t="s">
        <v>1992</v>
      </c>
      <c r="F1892" s="80" t="str">
        <f>VLOOKUP(E1892,'(참고)재직자'!$A$2:$F$2761,6,0)</f>
        <v>부장</v>
      </c>
      <c r="G1892" s="81" t="str">
        <f>VLOOKUP(E1892,'(참고)재직자'!$A$2:$F$2761,4,0)</f>
        <v>충주 용산주공 재건축</v>
      </c>
      <c r="H1892" s="80" t="str">
        <f>VLOOKUP(E1892,'(참고)재직자'!$A$2:$F$2761,2,0)</f>
        <v>남태인</v>
      </c>
      <c r="I1892" s="295">
        <v>46108</v>
      </c>
      <c r="J1892" s="80" t="str">
        <f>VLOOKUP('1.아이디어LIST'!L1892,Code!$A$21:$D$40,3,FALSE)&amp;", "&amp;VLOOKUP('1.아이디어LIST'!M1892,Code!$E$21:$H$45,3,FALSE)&amp;", "&amp;VLOOKUP('1.아이디어LIST'!M1892,Code!$E$21:$H$45,4,FALSE)</f>
        <v xml:space="preserve">고한울, 박재보, </v>
      </c>
      <c r="K1892" s="219" t="str">
        <f>VLOOKUP(L1892,Code!$A$21:$C$40,3,0)</f>
        <v>고한울</v>
      </c>
      <c r="L1892" s="84" t="s">
        <v>189</v>
      </c>
      <c r="M1892" s="84" t="s">
        <v>601</v>
      </c>
      <c r="N1892" s="201" t="s">
        <v>72</v>
      </c>
      <c r="O1892" s="300" t="s">
        <v>8699</v>
      </c>
      <c r="P1892" s="217" t="s">
        <v>8700</v>
      </c>
      <c r="Q1892" s="49"/>
      <c r="R1892" s="25"/>
      <c r="S1892" s="55"/>
      <c r="T1892" s="26"/>
      <c r="U1892" s="28"/>
      <c r="V1892" s="66"/>
      <c r="W1892" s="138"/>
      <c r="X1892" s="106"/>
      <c r="Y1892" s="209"/>
      <c r="Z1892" s="210"/>
      <c r="AA1892" s="207"/>
      <c r="AC1892" s="217" t="s">
        <v>8211</v>
      </c>
    </row>
    <row r="1893" spans="1:29" ht="83.25" hidden="1" customHeight="1">
      <c r="A1893" s="288">
        <f>A1892+1</f>
        <v>1883</v>
      </c>
      <c r="B1893" s="79" t="str">
        <f>+VLOOKUP(L1893,Code!$A$3:$B$17,2,FALSE)&amp;"-"&amp;VLOOKUP('1.아이디어LIST'!M1893,Code!$C$3:$D$17,2,FALSE)&amp;"-"&amp;VLOOKUP('1.아이디어LIST'!N1893,Code!$E$3:$F$8,2,FALSE)&amp;"-"&amp;COUNTIFS($L$11:L1893,L1893,$M$11:M1893,M1893,$N$11:N1893,N1893)</f>
        <v>EN/E-E-CE-81</v>
      </c>
      <c r="C1893" s="148" t="str">
        <f>VLOOKUP(E1893,'(참고)재직자'!$A$2:$F$2761,3,0)</f>
        <v>건축</v>
      </c>
      <c r="D1893" s="80" t="str">
        <f>VLOOKUP(E1893,'(참고)재직자'!$A$2:$F$2761,5,0)</f>
        <v>현장</v>
      </c>
      <c r="E1893" s="27" t="s">
        <v>7626</v>
      </c>
      <c r="F1893" s="80" t="str">
        <f>VLOOKUP(E1893,'(참고)재직자'!$A$2:$F$2761,6,0)</f>
        <v>대리</v>
      </c>
      <c r="G1893" s="81" t="str">
        <f>VLOOKUP(E1893,'(참고)재직자'!$A$2:$F$2761,4,0)</f>
        <v>용산주공 재건축</v>
      </c>
      <c r="H1893" s="80" t="str">
        <f>VLOOKUP(E1893,'(참고)재직자'!$A$2:$F$2761,2,0)</f>
        <v>조성래</v>
      </c>
      <c r="I1893" s="295">
        <v>46109</v>
      </c>
      <c r="J1893" s="80" t="str">
        <f>VLOOKUP('1.아이디어LIST'!L1893,Code!$A$21:$D$40,3,FALSE)&amp;", "&amp;VLOOKUP('1.아이디어LIST'!M1893,Code!$E$21:$H$45,3,FALSE)&amp;", "&amp;VLOOKUP('1.아이디어LIST'!M1893,Code!$E$21:$H$45,4,FALSE)</f>
        <v xml:space="preserve">오정화, 오정화, </v>
      </c>
      <c r="K1893" s="219" t="str">
        <f>VLOOKUP(L1893,Code!$A$21:$C$40,3,0)</f>
        <v>오정화</v>
      </c>
      <c r="L1893" s="84" t="s">
        <v>147</v>
      </c>
      <c r="M1893" s="84" t="s">
        <v>148</v>
      </c>
      <c r="N1893" s="201" t="s">
        <v>72</v>
      </c>
      <c r="O1893" s="300" t="s">
        <v>8701</v>
      </c>
      <c r="P1893" s="217" t="s">
        <v>8702</v>
      </c>
      <c r="Q1893" s="49" t="s">
        <v>75</v>
      </c>
      <c r="R1893" s="25" t="s">
        <v>91</v>
      </c>
      <c r="S1893" s="55"/>
      <c r="T1893" s="26"/>
      <c r="U1893" s="28"/>
      <c r="V1893" s="66"/>
      <c r="W1893" s="138"/>
      <c r="X1893" s="106"/>
      <c r="Y1893" s="209"/>
      <c r="Z1893" s="210"/>
      <c r="AA1893" s="207"/>
      <c r="AC1893" s="217"/>
    </row>
    <row r="1894" spans="1:29" ht="87" hidden="1" customHeight="1">
      <c r="A1894" s="288">
        <f>A1893+1</f>
        <v>1884</v>
      </c>
      <c r="B1894" s="79" t="str">
        <f>+VLOOKUP(L1894,Code!$A$3:$B$17,2,FALSE)&amp;"-"&amp;VLOOKUP('1.아이디어LIST'!M1894,Code!$C$3:$D$17,2,FALSE)&amp;"-"&amp;VLOOKUP('1.아이디어LIST'!N1894,Code!$E$3:$F$8,2,FALSE)&amp;"-"&amp;COUNTIFS($L$11:L1894,L1894,$M$11:M1894,M1894,$N$11:N1894,N1894)</f>
        <v>EN/M-M-CE-60</v>
      </c>
      <c r="C1894" s="148" t="str">
        <f>VLOOKUP(E1894,'(참고)재직자'!$A$2:$F$2761,3,0)</f>
        <v>건축</v>
      </c>
      <c r="D1894" s="80" t="str">
        <f>VLOOKUP(E1894,'(참고)재직자'!$A$2:$F$2761,5,0)</f>
        <v>현장</v>
      </c>
      <c r="E1894" s="27" t="s">
        <v>7626</v>
      </c>
      <c r="F1894" s="80" t="str">
        <f>VLOOKUP(E1894,'(참고)재직자'!$A$2:$F$2761,6,0)</f>
        <v>대리</v>
      </c>
      <c r="G1894" s="81" t="str">
        <f>VLOOKUP(E1894,'(참고)재직자'!$A$2:$F$2761,4,0)</f>
        <v>용산주공 재건축</v>
      </c>
      <c r="H1894" s="80" t="str">
        <f>VLOOKUP(E1894,'(참고)재직자'!$A$2:$F$2761,2,0)</f>
        <v>조성래</v>
      </c>
      <c r="I1894" s="295">
        <v>46109</v>
      </c>
      <c r="J1894" s="80" t="str">
        <f>VLOOKUP('1.아이디어LIST'!L1894,Code!$A$21:$D$40,3,FALSE)&amp;", "&amp;VLOOKUP('1.아이디어LIST'!M1894,Code!$E$21:$H$45,3,FALSE)&amp;", "&amp;VLOOKUP('1.아이디어LIST'!M1894,Code!$E$21:$H$45,4,FALSE)</f>
        <v xml:space="preserve">박병규, 박병규, </v>
      </c>
      <c r="K1894" s="219" t="str">
        <f>VLOOKUP(L1894,Code!$A$21:$C$40,3,0)</f>
        <v>박병규</v>
      </c>
      <c r="L1894" s="84" t="s">
        <v>171</v>
      </c>
      <c r="M1894" s="84" t="s">
        <v>71</v>
      </c>
      <c r="N1894" s="201" t="s">
        <v>72</v>
      </c>
      <c r="O1894" s="300" t="s">
        <v>8703</v>
      </c>
      <c r="P1894" s="217" t="s">
        <v>8704</v>
      </c>
      <c r="Q1894" s="49"/>
      <c r="R1894" s="25"/>
      <c r="S1894" s="55"/>
      <c r="T1894" s="26"/>
      <c r="U1894" s="28"/>
      <c r="V1894" s="66"/>
      <c r="W1894" s="138"/>
      <c r="X1894" s="106"/>
      <c r="Y1894" s="209"/>
      <c r="Z1894" s="210"/>
      <c r="AA1894" s="207"/>
      <c r="AC1894" s="217" t="s">
        <v>8211</v>
      </c>
    </row>
    <row r="1895" spans="1:29" ht="76.5" hidden="1" customHeight="1">
      <c r="A1895" s="288">
        <f>A1894+1</f>
        <v>1885</v>
      </c>
      <c r="B1895" s="79" t="str">
        <f>+VLOOKUP(L1895,Code!$A$3:$B$17,2,FALSE)&amp;"-"&amp;VLOOKUP('1.아이디어LIST'!M1895,Code!$C$3:$D$17,2,FALSE)&amp;"-"&amp;VLOOKUP('1.아이디어LIST'!N1895,Code!$E$3:$F$8,2,FALSE)&amp;"-"&amp;COUNTIFS($L$11:L1895,L1895,$M$11:M1895,M1895,$N$11:N1895,N1895)</f>
        <v>EN/M-M-CE-61</v>
      </c>
      <c r="C1895" s="148" t="str">
        <f>VLOOKUP(E1895,'(참고)재직자'!$A$2:$F$2761,3,0)</f>
        <v>건축</v>
      </c>
      <c r="D1895" s="80" t="str">
        <f>VLOOKUP(E1895,'(참고)재직자'!$A$2:$F$2761,5,0)</f>
        <v>현장</v>
      </c>
      <c r="E1895" s="27" t="s">
        <v>8613</v>
      </c>
      <c r="F1895" s="80" t="str">
        <f>VLOOKUP(E1895,'(참고)재직자'!$A$2:$F$2761,6,0)</f>
        <v>사원</v>
      </c>
      <c r="G1895" s="81" t="str">
        <f>VLOOKUP(E1895,'(참고)재직자'!$A$2:$F$2761,4,0)</f>
        <v>충주 용산주공 재건축</v>
      </c>
      <c r="H1895" s="80" t="str">
        <f>VLOOKUP(E1895,'(참고)재직자'!$A$2:$F$2761,2,0)</f>
        <v>문정웅</v>
      </c>
      <c r="I1895" s="295">
        <v>46109</v>
      </c>
      <c r="J1895" s="80" t="str">
        <f>VLOOKUP('1.아이디어LIST'!L1895,Code!$A$21:$D$40,3,FALSE)&amp;", "&amp;VLOOKUP('1.아이디어LIST'!M1895,Code!$E$21:$H$45,3,FALSE)&amp;", "&amp;VLOOKUP('1.아이디어LIST'!M1895,Code!$E$21:$H$45,4,FALSE)</f>
        <v xml:space="preserve">박병규, 박병규, </v>
      </c>
      <c r="K1895" s="219" t="str">
        <f>VLOOKUP(L1895,Code!$A$21:$C$40,3,0)</f>
        <v>박병규</v>
      </c>
      <c r="L1895" s="84" t="s">
        <v>171</v>
      </c>
      <c r="M1895" s="84" t="s">
        <v>71</v>
      </c>
      <c r="N1895" s="201" t="s">
        <v>72</v>
      </c>
      <c r="O1895" s="300" t="s">
        <v>8705</v>
      </c>
      <c r="P1895" s="217" t="s">
        <v>8706</v>
      </c>
      <c r="Q1895" s="49"/>
      <c r="R1895" s="25"/>
      <c r="S1895" s="55"/>
      <c r="T1895" s="26"/>
      <c r="U1895" s="28"/>
      <c r="V1895" s="66"/>
      <c r="W1895" s="138"/>
      <c r="X1895" s="106"/>
      <c r="Y1895" s="209"/>
      <c r="Z1895" s="210"/>
      <c r="AA1895" s="207"/>
      <c r="AC1895" s="217"/>
    </row>
    <row r="1896" spans="1:29" ht="108" hidden="1" customHeight="1">
      <c r="A1896" s="288">
        <f>A1895+1</f>
        <v>1886</v>
      </c>
      <c r="B1896" s="79" t="str">
        <f>+VLOOKUP(L1896,Code!$A$3:$B$17,2,FALSE)&amp;"-"&amp;VLOOKUP('1.아이디어LIST'!M1896,Code!$C$3:$D$17,2,FALSE)&amp;"-"&amp;VLOOKUP('1.아이디어LIST'!N1896,Code!$E$3:$F$8,2,FALSE)&amp;"-"&amp;COUNTIFS($L$11:L1896,L1896,$M$11:M1896,M1896,$N$11:N1896,N1896)</f>
        <v>EN/M-M-CE-62</v>
      </c>
      <c r="C1896" s="148" t="str">
        <f>VLOOKUP(E1896,'(참고)재직자'!$A$2:$F$2761,3,0)</f>
        <v>건축</v>
      </c>
      <c r="D1896" s="80" t="str">
        <f>VLOOKUP(E1896,'(참고)재직자'!$A$2:$F$2761,5,0)</f>
        <v>현장</v>
      </c>
      <c r="E1896" s="27" t="s">
        <v>2756</v>
      </c>
      <c r="F1896" s="80" t="str">
        <f>VLOOKUP(E1896,'(참고)재직자'!$A$2:$F$2761,6,0)</f>
        <v>대리</v>
      </c>
      <c r="G1896" s="81" t="str">
        <f>VLOOKUP(E1896,'(참고)재직자'!$A$2:$F$2761,4,0)</f>
        <v>춘천 프리미엄 빌리지 건설공사</v>
      </c>
      <c r="H1896" s="80" t="str">
        <f>VLOOKUP(E1896,'(참고)재직자'!$A$2:$F$2761,2,0)</f>
        <v>이제준</v>
      </c>
      <c r="I1896" s="295">
        <v>46109</v>
      </c>
      <c r="J1896" s="80" t="str">
        <f>VLOOKUP('1.아이디어LIST'!L1896,Code!$A$21:$D$40,3,FALSE)&amp;", "&amp;VLOOKUP('1.아이디어LIST'!M1896,Code!$E$21:$H$45,3,FALSE)&amp;", "&amp;VLOOKUP('1.아이디어LIST'!M1896,Code!$E$21:$H$45,4,FALSE)</f>
        <v xml:space="preserve">박병규, 박병규, </v>
      </c>
      <c r="K1896" s="219" t="str">
        <f>VLOOKUP(L1896,Code!$A$21:$C$40,3,0)</f>
        <v>박병규</v>
      </c>
      <c r="L1896" s="84" t="s">
        <v>171</v>
      </c>
      <c r="M1896" s="84" t="s">
        <v>71</v>
      </c>
      <c r="N1896" s="201" t="s">
        <v>72</v>
      </c>
      <c r="O1896" s="300" t="s">
        <v>8707</v>
      </c>
      <c r="P1896" s="217" t="s">
        <v>8708</v>
      </c>
      <c r="Q1896" s="49"/>
      <c r="R1896" s="25"/>
      <c r="S1896" s="55"/>
      <c r="T1896" s="26"/>
      <c r="U1896" s="28"/>
      <c r="V1896" s="66"/>
      <c r="W1896" s="138"/>
      <c r="X1896" s="106"/>
      <c r="Y1896" s="209"/>
      <c r="Z1896" s="210"/>
      <c r="AA1896" s="207"/>
      <c r="AC1896" s="217"/>
    </row>
    <row r="1897" spans="1:29" ht="108" hidden="1" customHeight="1">
      <c r="A1897" s="288">
        <f>A1896+1</f>
        <v>1887</v>
      </c>
      <c r="B1897" s="79" t="str">
        <f>+VLOOKUP(L1897,Code!$A$3:$B$17,2,FALSE)&amp;"-"&amp;VLOOKUP('1.아이디어LIST'!M1897,Code!$C$3:$D$17,2,FALSE)&amp;"-"&amp;VLOOKUP('1.아이디어LIST'!N1897,Code!$E$3:$F$8,2,FALSE)&amp;"-"&amp;COUNTIFS($L$11:L1897,L1897,$M$11:M1897,M1897,$N$11:N1897,N1897)</f>
        <v>CO/D-ID/P-CE-7</v>
      </c>
      <c r="C1897" s="148" t="str">
        <f>VLOOKUP(E1897,'(참고)재직자'!$A$2:$F$2761,3,0)</f>
        <v>건축</v>
      </c>
      <c r="D1897" s="80" t="str">
        <f>VLOOKUP(E1897,'(참고)재직자'!$A$2:$F$2761,5,0)</f>
        <v>현장</v>
      </c>
      <c r="E1897" s="27" t="s">
        <v>994</v>
      </c>
      <c r="F1897" s="80" t="str">
        <f>VLOOKUP(E1897,'(참고)재직자'!$A$2:$F$2761,6,0)</f>
        <v>차장</v>
      </c>
      <c r="G1897" s="81" t="str">
        <f>VLOOKUP(E1897,'(참고)재직자'!$A$2:$F$2761,4,0)</f>
        <v>충주 용산주공 재건축</v>
      </c>
      <c r="H1897" s="80" t="str">
        <f>VLOOKUP(E1897,'(참고)재직자'!$A$2:$F$2761,2,0)</f>
        <v>이무근</v>
      </c>
      <c r="I1897" s="295">
        <v>46109</v>
      </c>
      <c r="J1897" s="80" t="str">
        <f>VLOOKUP('1.아이디어LIST'!L1897,Code!$A$21:$D$40,3,FALSE)&amp;", "&amp;VLOOKUP('1.아이디어LIST'!M1897,Code!$E$21:$H$45,3,FALSE)&amp;", "&amp;VLOOKUP('1.아이디어LIST'!M1897,Code!$E$21:$H$45,4,FALSE)</f>
        <v xml:space="preserve">고한울, 최재형, </v>
      </c>
      <c r="K1897" s="219" t="str">
        <f>VLOOKUP(L1897,Code!$A$21:$C$40,3,0)</f>
        <v>고한울</v>
      </c>
      <c r="L1897" s="84" t="s">
        <v>189</v>
      </c>
      <c r="M1897" s="84" t="s">
        <v>2640</v>
      </c>
      <c r="N1897" s="201" t="s">
        <v>72</v>
      </c>
      <c r="O1897" s="300" t="s">
        <v>8709</v>
      </c>
      <c r="P1897" s="217" t="s">
        <v>8710</v>
      </c>
      <c r="Q1897" s="49"/>
      <c r="R1897" s="25"/>
      <c r="S1897" s="55"/>
      <c r="T1897" s="26"/>
      <c r="U1897" s="28"/>
      <c r="V1897" s="66"/>
      <c r="W1897" s="138"/>
      <c r="X1897" s="106"/>
      <c r="Y1897" s="209"/>
      <c r="Z1897" s="210"/>
      <c r="AA1897" s="207"/>
      <c r="AC1897" s="217"/>
    </row>
    <row r="1898" spans="1:29" ht="134.25" hidden="1" customHeight="1">
      <c r="A1898" s="288">
        <f>A1897+1</f>
        <v>1888</v>
      </c>
      <c r="B1898" s="79" t="str">
        <f>+VLOOKUP(L1898,Code!$A$3:$B$17,2,FALSE)&amp;"-"&amp;VLOOKUP('1.아이디어LIST'!M1898,Code!$C$3:$D$17,2,FALSE)&amp;"-"&amp;VLOOKUP('1.아이디어LIST'!N1898,Code!$E$3:$F$8,2,FALSE)&amp;"-"&amp;COUNTIFS($L$11:L1898,L1898,$M$11:M1898,M1898,$N$11:N1898,N1898)</f>
        <v>EN/S-A/S-CE-85</v>
      </c>
      <c r="C1898" s="148" t="str">
        <f>VLOOKUP(E1898,'(참고)재직자'!$A$2:$F$2761,3,0)</f>
        <v>건축</v>
      </c>
      <c r="D1898" s="80" t="str">
        <f>VLOOKUP(E1898,'(참고)재직자'!$A$2:$F$2761,5,0)</f>
        <v>현장</v>
      </c>
      <c r="E1898" s="27" t="s">
        <v>6028</v>
      </c>
      <c r="F1898" s="80" t="str">
        <f>VLOOKUP(E1898,'(참고)재직자'!$A$2:$F$2761,6,0)</f>
        <v>부장</v>
      </c>
      <c r="G1898" s="81" t="str">
        <f>VLOOKUP(E1898,'(참고)재직자'!$A$2:$F$2761,4,0)</f>
        <v>서울역 역세권 개발사업 호텔</v>
      </c>
      <c r="H1898" s="80" t="str">
        <f>VLOOKUP(E1898,'(참고)재직자'!$A$2:$F$2761,2,0)</f>
        <v>이형우</v>
      </c>
      <c r="I1898" s="295">
        <v>46111</v>
      </c>
      <c r="J1898" s="80" t="str">
        <f>VLOOKUP('1.아이디어LIST'!L1898,Code!$A$21:$D$40,3,FALSE)&amp;", "&amp;VLOOKUP('1.아이디어LIST'!M1898,Code!$E$21:$H$45,3,FALSE)&amp;", "&amp;VLOOKUP('1.아이디어LIST'!M1898,Code!$E$21:$H$45,4,FALSE)</f>
        <v>박준용, 고한울, 박준용</v>
      </c>
      <c r="K1898" s="219" t="str">
        <f>VLOOKUP(L1898,Code!$A$21:$C$40,3,0)</f>
        <v>박준용</v>
      </c>
      <c r="L1898" s="84" t="s">
        <v>199</v>
      </c>
      <c r="M1898" s="84" t="s">
        <v>221</v>
      </c>
      <c r="N1898" s="201" t="s">
        <v>72</v>
      </c>
      <c r="O1898" s="300" t="s">
        <v>8711</v>
      </c>
      <c r="P1898" s="217" t="s">
        <v>8712</v>
      </c>
      <c r="Q1898" s="49"/>
      <c r="R1898" s="25"/>
      <c r="S1898" s="55"/>
      <c r="T1898" s="26"/>
      <c r="U1898" s="28"/>
      <c r="V1898" s="66"/>
      <c r="W1898" s="138"/>
      <c r="X1898" s="106"/>
      <c r="Y1898" s="209"/>
      <c r="Z1898" s="210"/>
      <c r="AA1898" s="207"/>
      <c r="AC1898" s="217"/>
    </row>
    <row r="1899" spans="1:29" ht="129" hidden="1" customHeight="1">
      <c r="A1899" s="288">
        <f>A1898+1</f>
        <v>1889</v>
      </c>
      <c r="B1899" s="79" t="str">
        <f>+VLOOKUP(L1899,Code!$A$3:$B$17,2,FALSE)&amp;"-"&amp;VLOOKUP('1.아이디어LIST'!M1899,Code!$C$3:$D$17,2,FALSE)&amp;"-"&amp;VLOOKUP('1.아이디어LIST'!N1899,Code!$E$3:$F$8,2,FALSE)&amp;"-"&amp;COUNTIFS($L$11:L1899,L1899,$M$11:M1899,M1899,$N$11:N1899,N1899)</f>
        <v>CO/D-A/S-CE-98</v>
      </c>
      <c r="C1899" s="148" t="str">
        <f>VLOOKUP(E1899,'(참고)재직자'!$A$2:$F$2761,3,0)</f>
        <v>건축</v>
      </c>
      <c r="D1899" s="80" t="str">
        <f>VLOOKUP(E1899,'(참고)재직자'!$A$2:$F$2761,5,0)</f>
        <v>현장</v>
      </c>
      <c r="E1899" s="27" t="s">
        <v>3770</v>
      </c>
      <c r="F1899" s="80" t="str">
        <f>VLOOKUP(E1899,'(참고)재직자'!$A$2:$F$2761,6,0)</f>
        <v>과장</v>
      </c>
      <c r="G1899" s="81" t="str">
        <f>VLOOKUP(E1899,'(참고)재직자'!$A$2:$F$2761,4,0)</f>
        <v>충주 용산주공 재건축</v>
      </c>
      <c r="H1899" s="80" t="str">
        <f>VLOOKUP(E1899,'(참고)재직자'!$A$2:$F$2761,2,0)</f>
        <v>금기호</v>
      </c>
      <c r="I1899" s="295">
        <v>46111</v>
      </c>
      <c r="J1899" s="80" t="str">
        <f>VLOOKUP('1.아이디어LIST'!L1899,Code!$A$21:$D$40,3,FALSE)&amp;", "&amp;VLOOKUP('1.아이디어LIST'!M1899,Code!$E$21:$H$45,3,FALSE)&amp;", "&amp;VLOOKUP('1.아이디어LIST'!M1899,Code!$E$21:$H$45,4,FALSE)</f>
        <v>고한울, 고한울, 박준용</v>
      </c>
      <c r="K1899" s="219" t="str">
        <f>VLOOKUP(L1899,Code!$A$21:$C$40,3,0)</f>
        <v>고한울</v>
      </c>
      <c r="L1899" s="84" t="s">
        <v>189</v>
      </c>
      <c r="M1899" s="84" t="s">
        <v>221</v>
      </c>
      <c r="N1899" s="201" t="s">
        <v>72</v>
      </c>
      <c r="O1899" s="300" t="s">
        <v>8713</v>
      </c>
      <c r="P1899" s="217" t="s">
        <v>8714</v>
      </c>
      <c r="Q1899" s="49"/>
      <c r="R1899" s="25"/>
      <c r="S1899" s="55"/>
      <c r="T1899" s="26"/>
      <c r="U1899" s="28"/>
      <c r="V1899" s="66"/>
      <c r="W1899" s="138"/>
      <c r="X1899" s="106"/>
      <c r="Y1899" s="209"/>
      <c r="Z1899" s="210"/>
      <c r="AA1899" s="207"/>
      <c r="AC1899" s="217" t="s">
        <v>8211</v>
      </c>
    </row>
    <row r="1900" spans="1:29" ht="111" hidden="1" customHeight="1">
      <c r="A1900" s="288">
        <f>A1899+1</f>
        <v>1890</v>
      </c>
      <c r="B1900" s="79" t="str">
        <f>+VLOOKUP(L1900,Code!$A$3:$B$17,2,FALSE)&amp;"-"&amp;VLOOKUP('1.아이디어LIST'!M1900,Code!$C$3:$D$17,2,FALSE)&amp;"-"&amp;VLOOKUP('1.아이디어LIST'!N1900,Code!$E$3:$F$8,2,FALSE)&amp;"-"&amp;COUNTIFS($L$11:L1900,L1900,$M$11:M1900,M1900,$N$11:N1900,N1900)</f>
        <v>CO/I-ID/H-CE-30</v>
      </c>
      <c r="C1900" s="148" t="str">
        <f>VLOOKUP(E1900,'(참고)재직자'!$A$2:$F$2761,3,0)</f>
        <v>건축</v>
      </c>
      <c r="D1900" s="80" t="str">
        <f>VLOOKUP(E1900,'(참고)재직자'!$A$2:$F$2761,5,0)</f>
        <v>현장</v>
      </c>
      <c r="E1900" s="27" t="s">
        <v>8506</v>
      </c>
      <c r="F1900" s="80" t="str">
        <f>VLOOKUP(E1900,'(참고)재직자'!$A$2:$F$2761,6,0)</f>
        <v>사원</v>
      </c>
      <c r="G1900" s="81" t="str">
        <f>VLOOKUP(E1900,'(참고)재직자'!$A$2:$F$2761,4,0)</f>
        <v>용산주공 재건축</v>
      </c>
      <c r="H1900" s="80" t="str">
        <f>VLOOKUP(E1900,'(참고)재직자'!$A$2:$F$2761,2,0)</f>
        <v>박선아</v>
      </c>
      <c r="I1900" s="295">
        <v>46111</v>
      </c>
      <c r="J1900" s="80" t="str">
        <f>VLOOKUP('1.아이디어LIST'!L1900,Code!$A$21:$D$40,3,FALSE)&amp;", "&amp;VLOOKUP('1.아이디어LIST'!M1900,Code!$E$21:$H$45,3,FALSE)&amp;", "&amp;VLOOKUP('1.아이디어LIST'!M1900,Code!$E$21:$H$45,4,FALSE)</f>
        <v xml:space="preserve">박재보, 박재보, </v>
      </c>
      <c r="K1900" s="219" t="str">
        <f>VLOOKUP(L1900,Code!$A$21:$C$40,3,0)</f>
        <v>박재보</v>
      </c>
      <c r="L1900" s="84" t="s">
        <v>100</v>
      </c>
      <c r="M1900" s="84" t="s">
        <v>601</v>
      </c>
      <c r="N1900" s="201" t="s">
        <v>72</v>
      </c>
      <c r="O1900" s="300" t="s">
        <v>8715</v>
      </c>
      <c r="P1900" s="217" t="s">
        <v>8716</v>
      </c>
      <c r="Q1900" s="49"/>
      <c r="R1900" s="25"/>
      <c r="S1900" s="55"/>
      <c r="T1900" s="26"/>
      <c r="U1900" s="28"/>
      <c r="V1900" s="66"/>
      <c r="W1900" s="138"/>
      <c r="X1900" s="106"/>
      <c r="Y1900" s="209"/>
      <c r="Z1900" s="210"/>
      <c r="AA1900" s="207"/>
      <c r="AC1900" s="217" t="s">
        <v>8211</v>
      </c>
    </row>
    <row r="1901" spans="1:29" ht="90.75" hidden="1" customHeight="1">
      <c r="A1901" s="288">
        <f>A1900+1</f>
        <v>1891</v>
      </c>
      <c r="B1901" s="79" t="str">
        <f>+VLOOKUP(L1901,Code!$A$3:$B$17,2,FALSE)&amp;"-"&amp;VLOOKUP('1.아이디어LIST'!M1901,Code!$C$3:$D$17,2,FALSE)&amp;"-"&amp;VLOOKUP('1.아이디어LIST'!N1901,Code!$E$3:$F$8,2,FALSE)&amp;"-"&amp;COUNTIFS($L$11:L1901,L1901,$M$11:M1901,M1901,$N$11:N1901,N1901)</f>
        <v>CO/I-ID/H-CE-31</v>
      </c>
      <c r="C1901" s="148" t="str">
        <f>VLOOKUP(E1901,'(참고)재직자'!$A$2:$F$2761,3,0)</f>
        <v>건축</v>
      </c>
      <c r="D1901" s="80" t="str">
        <f>VLOOKUP(E1901,'(참고)재직자'!$A$2:$F$2761,5,0)</f>
        <v>현장</v>
      </c>
      <c r="E1901" s="27" t="s">
        <v>8506</v>
      </c>
      <c r="F1901" s="80" t="str">
        <f>VLOOKUP(E1901,'(참고)재직자'!$A$2:$F$2761,6,0)</f>
        <v>사원</v>
      </c>
      <c r="G1901" s="81" t="str">
        <f>VLOOKUP(E1901,'(참고)재직자'!$A$2:$F$2761,4,0)</f>
        <v>용산주공 재건축</v>
      </c>
      <c r="H1901" s="80" t="str">
        <f>VLOOKUP(E1901,'(참고)재직자'!$A$2:$F$2761,2,0)</f>
        <v>박선아</v>
      </c>
      <c r="I1901" s="295">
        <v>46111</v>
      </c>
      <c r="J1901" s="80" t="str">
        <f>VLOOKUP('1.아이디어LIST'!L1901,Code!$A$21:$D$40,3,FALSE)&amp;", "&amp;VLOOKUP('1.아이디어LIST'!M1901,Code!$E$21:$H$45,3,FALSE)&amp;", "&amp;VLOOKUP('1.아이디어LIST'!M1901,Code!$E$21:$H$45,4,FALSE)</f>
        <v xml:space="preserve">박재보, 박재보, </v>
      </c>
      <c r="K1901" s="219" t="str">
        <f>VLOOKUP(L1901,Code!$A$21:$C$40,3,0)</f>
        <v>박재보</v>
      </c>
      <c r="L1901" s="84" t="s">
        <v>100</v>
      </c>
      <c r="M1901" s="84" t="s">
        <v>601</v>
      </c>
      <c r="N1901" s="201" t="s">
        <v>72</v>
      </c>
      <c r="O1901" s="300" t="s">
        <v>8717</v>
      </c>
      <c r="P1901" s="217" t="s">
        <v>8718</v>
      </c>
      <c r="Q1901" s="49"/>
      <c r="R1901" s="25"/>
      <c r="S1901" s="55"/>
      <c r="T1901" s="26"/>
      <c r="U1901" s="28"/>
      <c r="V1901" s="66"/>
      <c r="W1901" s="138"/>
      <c r="X1901" s="106"/>
      <c r="Y1901" s="209"/>
      <c r="Z1901" s="210"/>
      <c r="AA1901" s="207"/>
      <c r="AC1901" s="217" t="s">
        <v>8211</v>
      </c>
    </row>
    <row r="1902" spans="1:29" ht="77.25" hidden="1" customHeight="1">
      <c r="A1902" s="288">
        <f>A1901+1</f>
        <v>1892</v>
      </c>
      <c r="B1902" s="79" t="str">
        <f>+VLOOKUP(L1902,Code!$A$3:$B$17,2,FALSE)&amp;"-"&amp;VLOOKUP('1.아이디어LIST'!M1902,Code!$C$3:$D$17,2,FALSE)&amp;"-"&amp;VLOOKUP('1.아이디어LIST'!N1902,Code!$E$3:$F$8,2,FALSE)&amp;"-"&amp;COUNTIFS($L$11:L1902,L1902,$M$11:M1902,M1902,$N$11:N1902,N1902)</f>
        <v>CO/I-ID/H-CE-32</v>
      </c>
      <c r="C1902" s="148" t="str">
        <f>VLOOKUP(E1902,'(참고)재직자'!$A$2:$F$2761,3,0)</f>
        <v>안전환경</v>
      </c>
      <c r="D1902" s="80" t="str">
        <f>VLOOKUP(E1902,'(참고)재직자'!$A$2:$F$2761,5,0)</f>
        <v>본사</v>
      </c>
      <c r="E1902" s="27" t="s">
        <v>5436</v>
      </c>
      <c r="F1902" s="80" t="str">
        <f>VLOOKUP(E1902,'(참고)재직자'!$A$2:$F$2761,6,0)</f>
        <v>과장</v>
      </c>
      <c r="G1902" s="81" t="str">
        <f>VLOOKUP(E1902,'(참고)재직자'!$A$2:$F$2761,4,0)</f>
        <v>안전보건운영팀</v>
      </c>
      <c r="H1902" s="80" t="str">
        <f>VLOOKUP(E1902,'(참고)재직자'!$A$2:$F$2761,2,0)</f>
        <v>권은성</v>
      </c>
      <c r="I1902" s="295">
        <v>46112</v>
      </c>
      <c r="J1902" s="80" t="str">
        <f>VLOOKUP('1.아이디어LIST'!L1902,Code!$A$21:$D$40,3,FALSE)&amp;", "&amp;VLOOKUP('1.아이디어LIST'!M1902,Code!$E$21:$H$45,3,FALSE)&amp;", "&amp;VLOOKUP('1.아이디어LIST'!M1902,Code!$E$21:$H$45,4,FALSE)</f>
        <v xml:space="preserve">박재보, 박재보, </v>
      </c>
      <c r="K1902" s="219" t="str">
        <f>VLOOKUP(L1902,Code!$A$21:$C$40,3,0)</f>
        <v>박재보</v>
      </c>
      <c r="L1902" s="84" t="s">
        <v>100</v>
      </c>
      <c r="M1902" s="84" t="s">
        <v>601</v>
      </c>
      <c r="N1902" s="201" t="s">
        <v>72</v>
      </c>
      <c r="O1902" s="300" t="s">
        <v>8719</v>
      </c>
      <c r="P1902" s="217" t="s">
        <v>8720</v>
      </c>
      <c r="Q1902" s="49"/>
      <c r="R1902" s="25"/>
      <c r="S1902" s="55"/>
      <c r="T1902" s="26"/>
      <c r="U1902" s="28"/>
      <c r="V1902" s="66"/>
      <c r="W1902" s="138"/>
      <c r="X1902" s="106"/>
      <c r="Y1902" s="209"/>
      <c r="Z1902" s="210"/>
      <c r="AA1902" s="207"/>
      <c r="AC1902" s="217" t="s">
        <v>8211</v>
      </c>
    </row>
    <row r="1903" spans="1:29" ht="133.5" customHeight="1">
      <c r="A1903" s="288">
        <f>A1902+1</f>
        <v>1893</v>
      </c>
      <c r="B1903" s="79" t="str">
        <f>+VLOOKUP(L1903,Code!$A$3:$B$17,2,FALSE)&amp;"-"&amp;VLOOKUP('1.아이디어LIST'!M1903,Code!$C$3:$D$17,2,FALSE)&amp;"-"&amp;VLOOKUP('1.아이디어LIST'!N1903,Code!$E$3:$F$8,2,FALSE)&amp;"-"&amp;COUNTIFS($L$11:L1903,L1903,$M$11:M1903,M1903,$N$11:N1903,N1903)</f>
        <v>D/PM-PI-BE-8</v>
      </c>
      <c r="C1903" s="148" t="str">
        <f>VLOOKUP(E1903,'(참고)재직자'!$A$2:$F$2761,3,0)</f>
        <v>개발</v>
      </c>
      <c r="D1903" s="80" t="str">
        <f>VLOOKUP(E1903,'(참고)재직자'!$A$2:$F$2761,5,0)</f>
        <v>사업소(도시정비)</v>
      </c>
      <c r="E1903" s="27" t="s">
        <v>4609</v>
      </c>
      <c r="F1903" s="80" t="str">
        <f>VLOOKUP(E1903,'(참고)재직자'!$A$2:$F$2761,6,0)</f>
        <v>과장</v>
      </c>
      <c r="G1903" s="81" t="str">
        <f>VLOOKUP(E1903,'(참고)재직자'!$A$2:$F$2761,4,0)</f>
        <v>정비사업관리팀(사업소)</v>
      </c>
      <c r="H1903" s="80" t="str">
        <f>VLOOKUP(E1903,'(참고)재직자'!$A$2:$F$2761,2,0)</f>
        <v>천재영</v>
      </c>
      <c r="I1903" s="295">
        <v>46112</v>
      </c>
      <c r="J1903" s="80" t="str">
        <f>VLOOKUP('1.아이디어LIST'!L1903,Code!$A$21:$D$40,3,FALSE)&amp;", "&amp;VLOOKUP('1.아이디어LIST'!M1903,Code!$E$21:$H$45,3,FALSE)&amp;", "&amp;VLOOKUP('1.아이디어LIST'!M1903,Code!$E$21:$H$45,4,FALSE)</f>
        <v xml:space="preserve">박명진, 박재보, </v>
      </c>
      <c r="K1903" s="219" t="str">
        <f>VLOOKUP(L1903,Code!$A$21:$C$40,3,0)</f>
        <v>박명진</v>
      </c>
      <c r="L1903" s="84" t="s">
        <v>4387</v>
      </c>
      <c r="M1903" s="84" t="s">
        <v>252</v>
      </c>
      <c r="N1903" s="201" t="s">
        <v>1191</v>
      </c>
      <c r="O1903" s="300" t="s">
        <v>8721</v>
      </c>
      <c r="P1903" s="217" t="s">
        <v>8722</v>
      </c>
      <c r="Q1903" s="49" t="s">
        <v>75</v>
      </c>
      <c r="R1903" s="25" t="s">
        <v>91</v>
      </c>
      <c r="S1903" s="55"/>
      <c r="T1903" s="26"/>
      <c r="U1903" s="28" t="s">
        <v>8723</v>
      </c>
      <c r="V1903" s="66"/>
      <c r="W1903" s="138"/>
      <c r="X1903" s="106"/>
      <c r="Y1903" s="209"/>
      <c r="Z1903" s="210"/>
      <c r="AA1903" s="207"/>
      <c r="AC1903" s="217"/>
    </row>
    <row r="1904" spans="1:29" ht="32.25" hidden="1" customHeight="1">
      <c r="A1904" s="288">
        <f>A1903+1</f>
        <v>1894</v>
      </c>
      <c r="B1904" s="79" t="str">
        <f>+VLOOKUP(L1904,Code!$A$3:$B$17,2,FALSE)&amp;"-"&amp;VLOOKUP('1.아이디어LIST'!M1904,Code!$C$3:$D$17,2,FALSE)&amp;"-"&amp;VLOOKUP('1.아이디어LIST'!N1904,Code!$E$3:$F$8,2,FALSE)&amp;"-"&amp;COUNTIFS($L$11:L1904,L1904,$M$11:M1904,M1904,$N$11:N1904,N1904)</f>
        <v>EN/M-M-CE-63</v>
      </c>
      <c r="C1904" s="148" t="str">
        <f>VLOOKUP(E1904,'(참고)재직자'!$A$2:$F$2761,3,0)</f>
        <v>건축</v>
      </c>
      <c r="D1904" s="80" t="str">
        <f>VLOOKUP(E1904,'(참고)재직자'!$A$2:$F$2761,5,0)</f>
        <v>현장</v>
      </c>
      <c r="E1904" s="27" t="s">
        <v>2272</v>
      </c>
      <c r="F1904" s="80" t="str">
        <f>VLOOKUP(E1904,'(참고)재직자'!$A$2:$F$2761,6,0)</f>
        <v>대리</v>
      </c>
      <c r="G1904" s="81" t="str">
        <f>VLOOKUP(E1904,'(참고)재직자'!$A$2:$F$2761,4,0)</f>
        <v>춘천 프리미엄 빌리지 건설공사</v>
      </c>
      <c r="H1904" s="80" t="str">
        <f>VLOOKUP(E1904,'(참고)재직자'!$A$2:$F$2761,2,0)</f>
        <v>이성로</v>
      </c>
      <c r="I1904" s="295">
        <v>46114</v>
      </c>
      <c r="J1904" s="80" t="str">
        <f>VLOOKUP('1.아이디어LIST'!L1904,Code!$A$21:$D$40,3,FALSE)&amp;", "&amp;VLOOKUP('1.아이디어LIST'!M1904,Code!$E$21:$H$45,3,FALSE)&amp;", "&amp;VLOOKUP('1.아이디어LIST'!M1904,Code!$E$21:$H$45,4,FALSE)</f>
        <v xml:space="preserve">박병규, 박병규, </v>
      </c>
      <c r="K1904" s="219" t="str">
        <f>VLOOKUP(L1904,Code!$A$21:$C$40,3,0)</f>
        <v>박병규</v>
      </c>
      <c r="L1904" s="84" t="s">
        <v>171</v>
      </c>
      <c r="M1904" s="84" t="s">
        <v>71</v>
      </c>
      <c r="N1904" s="201" t="s">
        <v>72</v>
      </c>
      <c r="O1904" s="313" t="s">
        <v>8724</v>
      </c>
      <c r="P1904" s="217" t="s">
        <v>8725</v>
      </c>
      <c r="Q1904" s="49"/>
      <c r="R1904" s="25"/>
      <c r="S1904" s="55"/>
      <c r="T1904" s="26"/>
      <c r="U1904" s="28"/>
      <c r="V1904" s="66"/>
      <c r="W1904" s="138"/>
      <c r="X1904" s="106"/>
      <c r="Y1904" s="209"/>
      <c r="Z1904" s="210"/>
      <c r="AA1904" s="207"/>
      <c r="AC1904" s="217"/>
    </row>
    <row r="1905" spans="1:29" ht="32.25" hidden="1" customHeight="1">
      <c r="A1905" s="288">
        <f>A1904+1</f>
        <v>1895</v>
      </c>
      <c r="B1905" s="79" t="str">
        <f>+VLOOKUP(L1905,Code!$A$3:$B$17,2,FALSE)&amp;"-"&amp;VLOOKUP('1.아이디어LIST'!M1905,Code!$C$3:$D$17,2,FALSE)&amp;"-"&amp;VLOOKUP('1.아이디어LIST'!N1905,Code!$E$3:$F$8,2,FALSE)&amp;"-"&amp;COUNTIFS($L$11:L1905,L1905,$M$11:M1905,M1905,$N$11:N1905,N1905)</f>
        <v>EN/E-E-CE-82</v>
      </c>
      <c r="C1905" s="148" t="str">
        <f>VLOOKUP(E1905,'(참고)재직자'!$A$2:$F$2761,3,0)</f>
        <v>건축</v>
      </c>
      <c r="D1905" s="80" t="str">
        <f>VLOOKUP(E1905,'(참고)재직자'!$A$2:$F$2761,5,0)</f>
        <v>현장</v>
      </c>
      <c r="E1905" s="27" t="s">
        <v>2272</v>
      </c>
      <c r="F1905" s="80" t="str">
        <f>VLOOKUP(E1905,'(참고)재직자'!$A$2:$F$2761,6,0)</f>
        <v>대리</v>
      </c>
      <c r="G1905" s="81" t="str">
        <f>VLOOKUP(E1905,'(참고)재직자'!$A$2:$F$2761,4,0)</f>
        <v>춘천 프리미엄 빌리지 건설공사</v>
      </c>
      <c r="H1905" s="80" t="str">
        <f>VLOOKUP(E1905,'(참고)재직자'!$A$2:$F$2761,2,0)</f>
        <v>이성로</v>
      </c>
      <c r="I1905" s="295">
        <v>46114</v>
      </c>
      <c r="J1905" s="80" t="str">
        <f>VLOOKUP('1.아이디어LIST'!L1905,Code!$A$21:$D$40,3,FALSE)&amp;", "&amp;VLOOKUP('1.아이디어LIST'!M1905,Code!$E$21:$H$45,3,FALSE)&amp;", "&amp;VLOOKUP('1.아이디어LIST'!M1905,Code!$E$21:$H$45,4,FALSE)</f>
        <v xml:space="preserve">오정화, 오정화, </v>
      </c>
      <c r="K1905" s="219" t="str">
        <f>VLOOKUP(L1905,Code!$A$21:$C$40,3,0)</f>
        <v>오정화</v>
      </c>
      <c r="L1905" s="84" t="s">
        <v>147</v>
      </c>
      <c r="M1905" s="84" t="s">
        <v>148</v>
      </c>
      <c r="N1905" s="201" t="s">
        <v>72</v>
      </c>
      <c r="O1905" s="313" t="s">
        <v>8726</v>
      </c>
      <c r="P1905" s="217" t="s">
        <v>8727</v>
      </c>
      <c r="Q1905" s="49"/>
      <c r="R1905" s="25"/>
      <c r="S1905" s="55"/>
      <c r="T1905" s="26"/>
      <c r="U1905" s="28"/>
      <c r="V1905" s="66"/>
      <c r="W1905" s="138"/>
      <c r="X1905" s="106"/>
      <c r="Y1905" s="209"/>
      <c r="Z1905" s="210"/>
      <c r="AA1905" s="207"/>
      <c r="AC1905" s="217"/>
    </row>
    <row r="1906" spans="1:29" ht="32.25" hidden="1" customHeight="1">
      <c r="A1906" s="288">
        <f>A1905+1</f>
        <v>1896</v>
      </c>
      <c r="B1906" s="79" t="str">
        <f>+VLOOKUP(L1906,Code!$A$3:$B$17,2,FALSE)&amp;"-"&amp;VLOOKUP('1.아이디어LIST'!M1906,Code!$C$3:$D$17,2,FALSE)&amp;"-"&amp;VLOOKUP('1.아이디어LIST'!N1906,Code!$E$3:$F$8,2,FALSE)&amp;"-"&amp;COUNTIFS($L$11:L1906,L1906,$M$11:M1906,M1906,$N$11:N1906,N1906)</f>
        <v>PR/C-A/S-CE-11</v>
      </c>
      <c r="C1906" s="148" t="str">
        <f>VLOOKUP(E1906,'(참고)재직자'!$A$2:$F$2761,3,0)</f>
        <v>건축</v>
      </c>
      <c r="D1906" s="80" t="str">
        <f>VLOOKUP(E1906,'(참고)재직자'!$A$2:$F$2761,5,0)</f>
        <v>현장</v>
      </c>
      <c r="E1906" s="27" t="s">
        <v>3132</v>
      </c>
      <c r="F1906" s="80" t="str">
        <f>VLOOKUP(E1906,'(참고)재직자'!$A$2:$F$2761,6,0)</f>
        <v>부장</v>
      </c>
      <c r="G1906" s="81" t="str">
        <f>VLOOKUP(E1906,'(참고)재직자'!$A$2:$F$2761,4,0)</f>
        <v>미아 삼양 주상복합</v>
      </c>
      <c r="H1906" s="80" t="str">
        <f>VLOOKUP(E1906,'(참고)재직자'!$A$2:$F$2761,2,0)</f>
        <v>조동진</v>
      </c>
      <c r="I1906" s="295">
        <v>46114</v>
      </c>
      <c r="J1906" s="80" t="str">
        <f>VLOOKUP('1.아이디어LIST'!L1906,Code!$A$21:$D$40,3,FALSE)&amp;", "&amp;VLOOKUP('1.아이디어LIST'!M1906,Code!$E$21:$H$45,3,FALSE)&amp;", "&amp;VLOOKUP('1.아이디어LIST'!M1906,Code!$E$21:$H$45,4,FALSE)</f>
        <v>고한울, 고한울, 박준용</v>
      </c>
      <c r="K1906" s="219" t="str">
        <f>VLOOKUP(L1906,Code!$A$21:$C$40,3,0)</f>
        <v>고한울</v>
      </c>
      <c r="L1906" s="84" t="s">
        <v>300</v>
      </c>
      <c r="M1906" s="84" t="s">
        <v>221</v>
      </c>
      <c r="N1906" s="201" t="s">
        <v>72</v>
      </c>
      <c r="O1906" s="313" t="s">
        <v>8728</v>
      </c>
      <c r="P1906" s="217" t="s">
        <v>8729</v>
      </c>
      <c r="Q1906" s="49"/>
      <c r="R1906" s="25"/>
      <c r="S1906" s="55"/>
      <c r="T1906" s="26"/>
      <c r="U1906" s="28"/>
      <c r="V1906" s="66"/>
      <c r="W1906" s="138"/>
      <c r="X1906" s="106"/>
      <c r="Y1906" s="209"/>
      <c r="Z1906" s="210"/>
      <c r="AA1906" s="207"/>
      <c r="AC1906" s="217"/>
    </row>
    <row r="1907" spans="1:29" ht="32.25" hidden="1" customHeight="1">
      <c r="A1907" s="288">
        <f>A1906+1</f>
        <v>1897</v>
      </c>
      <c r="B1907" s="79" t="str">
        <f>+VLOOKUP(L1907,Code!$A$3:$B$17,2,FALSE)&amp;"-"&amp;VLOOKUP('1.아이디어LIST'!M1907,Code!$C$3:$D$17,2,FALSE)&amp;"-"&amp;VLOOKUP('1.아이디어LIST'!N1907,Code!$E$3:$F$8,2,FALSE)&amp;"-"&amp;COUNTIFS($L$11:L1907,L1907,$M$11:M1907,M1907,$N$11:N1907,N1907)</f>
        <v>CO/D-A/F-CE-95</v>
      </c>
      <c r="C1907" s="148" t="str">
        <f>VLOOKUP(E1907,'(참고)재직자'!$A$2:$F$2761,3,0)</f>
        <v>건축</v>
      </c>
      <c r="D1907" s="80" t="str">
        <f>VLOOKUP(E1907,'(참고)재직자'!$A$2:$F$2761,5,0)</f>
        <v>현장</v>
      </c>
      <c r="E1907" s="27" t="s">
        <v>2006</v>
      </c>
      <c r="F1907" s="80" t="str">
        <f>VLOOKUP(E1907,'(참고)재직자'!$A$2:$F$2761,6,0)</f>
        <v>차장</v>
      </c>
      <c r="G1907" s="81" t="str">
        <f>VLOOKUP(E1907,'(참고)재직자'!$A$2:$F$2761,4,0)</f>
        <v>원당1구역 재개발</v>
      </c>
      <c r="H1907" s="80" t="str">
        <f>VLOOKUP(E1907,'(참고)재직자'!$A$2:$F$2761,2,0)</f>
        <v>조형준</v>
      </c>
      <c r="I1907" s="295">
        <v>46114</v>
      </c>
      <c r="J1907" s="80" t="str">
        <f>VLOOKUP('1.아이디어LIST'!L1907,Code!$A$21:$D$40,3,FALSE)&amp;", "&amp;VLOOKUP('1.아이디어LIST'!M1907,Code!$E$21:$H$45,3,FALSE)&amp;", "&amp;VLOOKUP('1.아이디어LIST'!M1907,Code!$E$21:$H$45,4,FALSE)</f>
        <v>고한울, 고한울, 김태용</v>
      </c>
      <c r="K1907" s="219" t="str">
        <f>VLOOKUP(L1907,Code!$A$21:$C$40,3,0)</f>
        <v>고한울</v>
      </c>
      <c r="L1907" s="84" t="s">
        <v>189</v>
      </c>
      <c r="M1907" s="84" t="s">
        <v>114</v>
      </c>
      <c r="N1907" s="201" t="s">
        <v>72</v>
      </c>
      <c r="O1907" s="313" t="s">
        <v>8730</v>
      </c>
      <c r="P1907" s="217" t="s">
        <v>8731</v>
      </c>
      <c r="Q1907" s="49"/>
      <c r="R1907" s="25"/>
      <c r="S1907" s="55"/>
      <c r="T1907" s="26"/>
      <c r="U1907" s="28"/>
      <c r="V1907" s="66"/>
      <c r="W1907" s="138"/>
      <c r="X1907" s="106"/>
      <c r="Y1907" s="209"/>
      <c r="Z1907" s="210"/>
      <c r="AA1907" s="207"/>
      <c r="AC1907" s="217"/>
    </row>
    <row r="1908" spans="1:29" ht="32.25" hidden="1" customHeight="1">
      <c r="A1908" s="288">
        <f>A1907+1</f>
        <v>1898</v>
      </c>
      <c r="B1908" s="79" t="str">
        <f>+VLOOKUP(L1908,Code!$A$3:$B$17,2,FALSE)&amp;"-"&amp;VLOOKUP('1.아이디어LIST'!M1908,Code!$C$3:$D$17,2,FALSE)&amp;"-"&amp;VLOOKUP('1.아이디어LIST'!N1908,Code!$E$3:$F$8,2,FALSE)&amp;"-"&amp;COUNTIFS($L$11:L1908,L1908,$M$11:M1908,M1908,$N$11:N1908,N1908)</f>
        <v>PR/C-E-CE-5</v>
      </c>
      <c r="C1908" s="148" t="str">
        <f>VLOOKUP(E1908,'(참고)재직자'!$A$2:$F$2761,3,0)</f>
        <v>건축</v>
      </c>
      <c r="D1908" s="80" t="str">
        <f>VLOOKUP(E1908,'(참고)재직자'!$A$2:$F$2761,5,0)</f>
        <v>본사</v>
      </c>
      <c r="E1908" s="27" t="s">
        <v>8732</v>
      </c>
      <c r="F1908" s="80" t="str">
        <f>VLOOKUP(E1908,'(참고)재직자'!$A$2:$F$2761,6,0)</f>
        <v>과장</v>
      </c>
      <c r="G1908" s="81" t="str">
        <f>VLOOKUP(E1908,'(참고)재직자'!$A$2:$F$2761,4,0)</f>
        <v>수서역세권TFT</v>
      </c>
      <c r="H1908" s="80" t="str">
        <f>VLOOKUP(E1908,'(참고)재직자'!$A$2:$F$2761,2,0)</f>
        <v>고인상</v>
      </c>
      <c r="I1908" s="295">
        <v>46119</v>
      </c>
      <c r="J1908" s="80" t="str">
        <f>VLOOKUP('1.아이디어LIST'!L1908,Code!$A$21:$D$40,3,FALSE)&amp;", "&amp;VLOOKUP('1.아이디어LIST'!M1908,Code!$E$21:$H$45,3,FALSE)&amp;", "&amp;VLOOKUP('1.아이디어LIST'!M1908,Code!$E$21:$H$45,4,FALSE)</f>
        <v xml:space="preserve">고한울, 오정화, </v>
      </c>
      <c r="K1908" s="219" t="str">
        <f>VLOOKUP(L1908,Code!$A$21:$C$40,3,0)</f>
        <v>고한울</v>
      </c>
      <c r="L1908" s="84" t="s">
        <v>300</v>
      </c>
      <c r="M1908" s="84" t="s">
        <v>148</v>
      </c>
      <c r="N1908" s="201" t="s">
        <v>72</v>
      </c>
      <c r="O1908" s="313" t="s">
        <v>8733</v>
      </c>
      <c r="P1908" s="217" t="s">
        <v>8734</v>
      </c>
      <c r="Q1908" s="49"/>
      <c r="R1908" s="25"/>
      <c r="S1908" s="55"/>
      <c r="T1908" s="26"/>
      <c r="U1908" s="28"/>
      <c r="V1908" s="66"/>
      <c r="W1908" s="138"/>
      <c r="X1908" s="106"/>
      <c r="Y1908" s="209"/>
      <c r="Z1908" s="210"/>
      <c r="AA1908" s="207"/>
      <c r="AC1908" s="217"/>
    </row>
    <row r="1909" spans="1:29" ht="32.25" customHeight="1"/>
    <row r="1910" spans="1:29" ht="32.25" customHeight="1"/>
    <row r="1911" spans="1:29" ht="32.25" customHeight="1"/>
    <row r="1912" spans="1:29" ht="32.25" customHeight="1"/>
    <row r="1913" spans="1:29" ht="32.25" customHeight="1"/>
    <row r="1914" spans="1:29" ht="32.25" customHeight="1"/>
    <row r="1915" spans="1:29" ht="32.25" customHeight="1"/>
    <row r="1916" spans="1:29" ht="32.25" customHeight="1"/>
    <row r="1917" spans="1:29" ht="32.25" customHeight="1"/>
    <row r="1918" spans="1:29" ht="32.25" customHeight="1"/>
    <row r="1919" spans="1:29" ht="32.25" customHeight="1"/>
    <row r="1920" spans="1:29" ht="32.25" customHeight="1"/>
    <row r="1921" ht="32.25" customHeight="1"/>
    <row r="1922" ht="32.25" customHeight="1"/>
    <row r="1923" ht="32.25" customHeight="1"/>
    <row r="1924" ht="32.25" customHeight="1"/>
    <row r="1925" ht="32.25" customHeight="1"/>
  </sheetData>
  <autoFilter ref="A9:AV1908" xr:uid="{00000000-0009-0000-0000-000000000000}">
    <filterColumn colId="10">
      <filters>
        <filter val="박명진"/>
      </filters>
    </filterColumn>
  </autoFilter>
  <mergeCells count="32">
    <mergeCell ref="A8:A10"/>
    <mergeCell ref="B8:B10"/>
    <mergeCell ref="H9:H10"/>
    <mergeCell ref="F9:F10"/>
    <mergeCell ref="E9:E10"/>
    <mergeCell ref="D9:D10"/>
    <mergeCell ref="G9:G10"/>
    <mergeCell ref="C9:C10"/>
    <mergeCell ref="AA8:AA10"/>
    <mergeCell ref="Q8:U8"/>
    <mergeCell ref="J9:J10"/>
    <mergeCell ref="P9:P10"/>
    <mergeCell ref="Q9:Q10"/>
    <mergeCell ref="R9:R10"/>
    <mergeCell ref="U9:U10"/>
    <mergeCell ref="X9:X10"/>
    <mergeCell ref="X8:Y8"/>
    <mergeCell ref="S9:S10"/>
    <mergeCell ref="L8:P8"/>
    <mergeCell ref="K9:K10"/>
    <mergeCell ref="Y9:Y10"/>
    <mergeCell ref="V8:W8"/>
    <mergeCell ref="V9:V10"/>
    <mergeCell ref="W9:W10"/>
    <mergeCell ref="T9:T10"/>
    <mergeCell ref="H6:J6"/>
    <mergeCell ref="O9:O10"/>
    <mergeCell ref="N9:N10"/>
    <mergeCell ref="M9:M10"/>
    <mergeCell ref="L9:L10"/>
    <mergeCell ref="I9:I10"/>
    <mergeCell ref="C8:H8"/>
  </mergeCells>
  <phoneticPr fontId="1" type="noConversion"/>
  <conditionalFormatting sqref="Q604 R1057 Q1362 Q1061:R1361 Q11:R603 Q605:R926 Q1755:R1778">
    <cfRule type="cellIs" dxfId="141" priority="473" operator="equal">
      <formula>"O"</formula>
    </cfRule>
  </conditionalFormatting>
  <conditionalFormatting sqref="Q927">
    <cfRule type="cellIs" dxfId="140" priority="232" operator="equal">
      <formula>"O"</formula>
    </cfRule>
  </conditionalFormatting>
  <conditionalFormatting sqref="Q1057:Q1060">
    <cfRule type="cellIs" dxfId="139" priority="196" operator="equal">
      <formula>"O"</formula>
    </cfRule>
  </conditionalFormatting>
  <conditionalFormatting sqref="Q928:R989">
    <cfRule type="cellIs" dxfId="138" priority="182" operator="equal">
      <formula>"O"</formula>
    </cfRule>
  </conditionalFormatting>
  <conditionalFormatting sqref="Q991:R1032">
    <cfRule type="cellIs" dxfId="137" priority="185" operator="equal">
      <formula>"O"</formula>
    </cfRule>
  </conditionalFormatting>
  <conditionalFormatting sqref="Q1037:R1056">
    <cfRule type="cellIs" dxfId="136" priority="265" operator="equal">
      <formula>"O"</formula>
    </cfRule>
  </conditionalFormatting>
  <conditionalFormatting sqref="Q1363:R1693">
    <cfRule type="cellIs" dxfId="135" priority="177" operator="equal">
      <formula>"O"</formula>
    </cfRule>
  </conditionalFormatting>
  <conditionalFormatting sqref="R990">
    <cfRule type="cellIs" dxfId="134" priority="240" operator="equal">
      <formula>"O"</formula>
    </cfRule>
  </conditionalFormatting>
  <conditionalFormatting sqref="R1036">
    <cfRule type="cellIs" dxfId="133" priority="188" operator="equal">
      <formula>"O"</formula>
    </cfRule>
  </conditionalFormatting>
  <conditionalFormatting sqref="Q1779:R1779">
    <cfRule type="cellIs" dxfId="132" priority="143" operator="equal">
      <formula>"O"</formula>
    </cfRule>
  </conditionalFormatting>
  <conditionalFormatting sqref="Q1781:R1781">
    <cfRule type="cellIs" dxfId="131" priority="141" operator="equal">
      <formula>"O"</formula>
    </cfRule>
  </conditionalFormatting>
  <conditionalFormatting sqref="Q1782:R1782">
    <cfRule type="cellIs" dxfId="130" priority="140" operator="equal">
      <formula>"O"</formula>
    </cfRule>
  </conditionalFormatting>
  <conditionalFormatting sqref="Q1783:R1783">
    <cfRule type="cellIs" dxfId="129" priority="139" operator="equal">
      <formula>"O"</formula>
    </cfRule>
  </conditionalFormatting>
  <conditionalFormatting sqref="Q1784:R1784">
    <cfRule type="cellIs" dxfId="128" priority="138" operator="equal">
      <formula>"O"</formula>
    </cfRule>
  </conditionalFormatting>
  <conditionalFormatting sqref="Q1785:R1785">
    <cfRule type="cellIs" dxfId="127" priority="137" operator="equal">
      <formula>"O"</formula>
    </cfRule>
  </conditionalFormatting>
  <conditionalFormatting sqref="Q1786:R1786">
    <cfRule type="cellIs" dxfId="126" priority="136" operator="equal">
      <formula>"O"</formula>
    </cfRule>
  </conditionalFormatting>
  <conditionalFormatting sqref="Q1787:R1787">
    <cfRule type="cellIs" dxfId="125" priority="135" operator="equal">
      <formula>"O"</formula>
    </cfRule>
  </conditionalFormatting>
  <conditionalFormatting sqref="Q1789:R1789">
    <cfRule type="cellIs" dxfId="124" priority="133" operator="equal">
      <formula>"O"</formula>
    </cfRule>
  </conditionalFormatting>
  <conditionalFormatting sqref="Q1791:R1791">
    <cfRule type="cellIs" dxfId="123" priority="131" operator="equal">
      <formula>"O"</formula>
    </cfRule>
  </conditionalFormatting>
  <conditionalFormatting sqref="Q1792:R1792">
    <cfRule type="cellIs" dxfId="122" priority="130" operator="equal">
      <formula>"O"</formula>
    </cfRule>
  </conditionalFormatting>
  <conditionalFormatting sqref="Q1793:R1793">
    <cfRule type="cellIs" dxfId="121" priority="129" operator="equal">
      <formula>"O"</formula>
    </cfRule>
  </conditionalFormatting>
  <conditionalFormatting sqref="R1794">
    <cfRule type="cellIs" dxfId="120" priority="128" operator="equal">
      <formula>"O"</formula>
    </cfRule>
  </conditionalFormatting>
  <conditionalFormatting sqref="R1795">
    <cfRule type="cellIs" dxfId="119" priority="127" operator="equal">
      <formula>"O"</formula>
    </cfRule>
  </conditionalFormatting>
  <conditionalFormatting sqref="Q1796:R1796">
    <cfRule type="cellIs" dxfId="118" priority="126" operator="equal">
      <formula>"O"</formula>
    </cfRule>
  </conditionalFormatting>
  <conditionalFormatting sqref="Q1797:R1797">
    <cfRule type="cellIs" dxfId="117" priority="125" operator="equal">
      <formula>"O"</formula>
    </cfRule>
  </conditionalFormatting>
  <conditionalFormatting sqref="Q1798:R1798">
    <cfRule type="cellIs" dxfId="116" priority="124" operator="equal">
      <formula>"O"</formula>
    </cfRule>
  </conditionalFormatting>
  <conditionalFormatting sqref="Q1799:R1799">
    <cfRule type="cellIs" dxfId="115" priority="123" operator="equal">
      <formula>"O"</formula>
    </cfRule>
  </conditionalFormatting>
  <conditionalFormatting sqref="Q1800:R1800">
    <cfRule type="cellIs" dxfId="114" priority="122" operator="equal">
      <formula>"O"</formula>
    </cfRule>
  </conditionalFormatting>
  <conditionalFormatting sqref="Q1801:R1801">
    <cfRule type="cellIs" dxfId="113" priority="121" operator="equal">
      <formula>"O"</formula>
    </cfRule>
  </conditionalFormatting>
  <conditionalFormatting sqref="Q1802:R1802">
    <cfRule type="cellIs" dxfId="112" priority="120" operator="equal">
      <formula>"O"</formula>
    </cfRule>
  </conditionalFormatting>
  <conditionalFormatting sqref="Q1803:R1803">
    <cfRule type="cellIs" dxfId="111" priority="117" operator="equal">
      <formula>"O"</formula>
    </cfRule>
  </conditionalFormatting>
  <conditionalFormatting sqref="Q1794">
    <cfRule type="cellIs" dxfId="110" priority="115" operator="equal">
      <formula>"O"</formula>
    </cfRule>
  </conditionalFormatting>
  <conditionalFormatting sqref="Q1795">
    <cfRule type="cellIs" dxfId="109" priority="114" operator="equal">
      <formula>"O"</formula>
    </cfRule>
  </conditionalFormatting>
  <conditionalFormatting sqref="Q1788:R1788">
    <cfRule type="cellIs" dxfId="108" priority="113" operator="equal">
      <formula>"O"</formula>
    </cfRule>
  </conditionalFormatting>
  <conditionalFormatting sqref="Q1804:R1804">
    <cfRule type="cellIs" dxfId="107" priority="112" operator="equal">
      <formula>"O"</formula>
    </cfRule>
  </conditionalFormatting>
  <conditionalFormatting sqref="Q1780">
    <cfRule type="cellIs" dxfId="106" priority="111" operator="equal">
      <formula>"O"</formula>
    </cfRule>
  </conditionalFormatting>
  <conditionalFormatting sqref="R1780">
    <cfRule type="cellIs" dxfId="105" priority="110" operator="equal">
      <formula>"O"</formula>
    </cfRule>
  </conditionalFormatting>
  <conditionalFormatting sqref="Q1790:R1790">
    <cfRule type="cellIs" dxfId="104" priority="109" operator="equal">
      <formula>"O"</formula>
    </cfRule>
  </conditionalFormatting>
  <conditionalFormatting sqref="Q1805:R1805">
    <cfRule type="cellIs" dxfId="103" priority="108" operator="equal">
      <formula>"O"</formula>
    </cfRule>
  </conditionalFormatting>
  <conditionalFormatting sqref="Q1806:R1806">
    <cfRule type="cellIs" dxfId="102" priority="107" operator="equal">
      <formula>"O"</formula>
    </cfRule>
  </conditionalFormatting>
  <conditionalFormatting sqref="Q1807:R1807">
    <cfRule type="cellIs" dxfId="101" priority="105" operator="equal">
      <formula>"O"</formula>
    </cfRule>
  </conditionalFormatting>
  <conditionalFormatting sqref="Q1808:R1808">
    <cfRule type="cellIs" dxfId="100" priority="104" operator="equal">
      <formula>"O"</formula>
    </cfRule>
  </conditionalFormatting>
  <conditionalFormatting sqref="Q1809:R1809">
    <cfRule type="cellIs" dxfId="99" priority="103" operator="equal">
      <formula>"O"</formula>
    </cfRule>
  </conditionalFormatting>
  <conditionalFormatting sqref="Q1810:R1810">
    <cfRule type="cellIs" dxfId="98" priority="102" operator="equal">
      <formula>"O"</formula>
    </cfRule>
  </conditionalFormatting>
  <conditionalFormatting sqref="Q1811:R1811">
    <cfRule type="cellIs" dxfId="97" priority="101" operator="equal">
      <formula>"O"</formula>
    </cfRule>
  </conditionalFormatting>
  <conditionalFormatting sqref="Q1812:R1812">
    <cfRule type="cellIs" dxfId="96" priority="100" operator="equal">
      <formula>"O"</formula>
    </cfRule>
  </conditionalFormatting>
  <conditionalFormatting sqref="Q1813:R1813">
    <cfRule type="cellIs" dxfId="95" priority="99" operator="equal">
      <formula>"O"</formula>
    </cfRule>
  </conditionalFormatting>
  <conditionalFormatting sqref="Q1814:R1814">
    <cfRule type="cellIs" dxfId="94" priority="98" operator="equal">
      <formula>"O"</formula>
    </cfRule>
  </conditionalFormatting>
  <conditionalFormatting sqref="Q1815:R1815">
    <cfRule type="cellIs" dxfId="93" priority="97" operator="equal">
      <formula>"O"</formula>
    </cfRule>
  </conditionalFormatting>
  <conditionalFormatting sqref="Q1816:R1816">
    <cfRule type="cellIs" dxfId="92" priority="96" operator="equal">
      <formula>"O"</formula>
    </cfRule>
  </conditionalFormatting>
  <conditionalFormatting sqref="Q1817:R1817">
    <cfRule type="cellIs" dxfId="91" priority="95" operator="equal">
      <formula>"O"</formula>
    </cfRule>
  </conditionalFormatting>
  <conditionalFormatting sqref="Q1818:R1818">
    <cfRule type="cellIs" dxfId="90" priority="94" operator="equal">
      <formula>"O"</formula>
    </cfRule>
  </conditionalFormatting>
  <conditionalFormatting sqref="Q1819:R1819">
    <cfRule type="cellIs" dxfId="89" priority="93" operator="equal">
      <formula>"O"</formula>
    </cfRule>
  </conditionalFormatting>
  <conditionalFormatting sqref="Q1820:R1820">
    <cfRule type="cellIs" dxfId="88" priority="92" operator="equal">
      <formula>"O"</formula>
    </cfRule>
  </conditionalFormatting>
  <conditionalFormatting sqref="Q1821:R1821">
    <cfRule type="cellIs" dxfId="87" priority="91" operator="equal">
      <formula>"O"</formula>
    </cfRule>
  </conditionalFormatting>
  <conditionalFormatting sqref="Q1822:R1822">
    <cfRule type="cellIs" dxfId="86" priority="90" operator="equal">
      <formula>"O"</formula>
    </cfRule>
  </conditionalFormatting>
  <conditionalFormatting sqref="Q1823:R1823">
    <cfRule type="cellIs" dxfId="85" priority="89" operator="equal">
      <formula>"O"</formula>
    </cfRule>
  </conditionalFormatting>
  <conditionalFormatting sqref="Q1824:R1824">
    <cfRule type="cellIs" dxfId="84" priority="88" operator="equal">
      <formula>"O"</formula>
    </cfRule>
  </conditionalFormatting>
  <conditionalFormatting sqref="Q1825:R1825">
    <cfRule type="cellIs" dxfId="83" priority="87" operator="equal">
      <formula>"O"</formula>
    </cfRule>
  </conditionalFormatting>
  <conditionalFormatting sqref="Q1826:R1826">
    <cfRule type="cellIs" dxfId="82" priority="86" operator="equal">
      <formula>"O"</formula>
    </cfRule>
  </conditionalFormatting>
  <conditionalFormatting sqref="Q1827:R1827">
    <cfRule type="cellIs" dxfId="81" priority="85" operator="equal">
      <formula>"O"</formula>
    </cfRule>
  </conditionalFormatting>
  <conditionalFormatting sqref="Q1828:R1828">
    <cfRule type="cellIs" dxfId="80" priority="84" operator="equal">
      <formula>"O"</formula>
    </cfRule>
  </conditionalFormatting>
  <conditionalFormatting sqref="Q1829:R1829">
    <cfRule type="cellIs" dxfId="79" priority="83" operator="equal">
      <formula>"O"</formula>
    </cfRule>
  </conditionalFormatting>
  <conditionalFormatting sqref="Q1830:R1830">
    <cfRule type="cellIs" dxfId="78" priority="82" operator="equal">
      <formula>"O"</formula>
    </cfRule>
  </conditionalFormatting>
  <conditionalFormatting sqref="Q1831:R1831">
    <cfRule type="cellIs" dxfId="77" priority="81" operator="equal">
      <formula>"O"</formula>
    </cfRule>
  </conditionalFormatting>
  <conditionalFormatting sqref="Q1832:R1832">
    <cfRule type="cellIs" dxfId="76" priority="80" operator="equal">
      <formula>"O"</formula>
    </cfRule>
  </conditionalFormatting>
  <conditionalFormatting sqref="Q1833:R1833">
    <cfRule type="cellIs" dxfId="75" priority="79" operator="equal">
      <formula>"O"</formula>
    </cfRule>
  </conditionalFormatting>
  <conditionalFormatting sqref="Q1834:R1834">
    <cfRule type="cellIs" dxfId="74" priority="78" operator="equal">
      <formula>"O"</formula>
    </cfRule>
  </conditionalFormatting>
  <conditionalFormatting sqref="Q1835:R1835">
    <cfRule type="cellIs" dxfId="73" priority="77" operator="equal">
      <formula>"O"</formula>
    </cfRule>
  </conditionalFormatting>
  <conditionalFormatting sqref="Q1836:R1836">
    <cfRule type="cellIs" dxfId="72" priority="76" operator="equal">
      <formula>"O"</formula>
    </cfRule>
  </conditionalFormatting>
  <conditionalFormatting sqref="Q1837:R1837">
    <cfRule type="cellIs" dxfId="71" priority="75" operator="equal">
      <formula>"O"</formula>
    </cfRule>
  </conditionalFormatting>
  <conditionalFormatting sqref="Q1838:R1838">
    <cfRule type="cellIs" dxfId="70" priority="74" operator="equal">
      <formula>"O"</formula>
    </cfRule>
  </conditionalFormatting>
  <conditionalFormatting sqref="Q1839:R1839">
    <cfRule type="cellIs" dxfId="69" priority="73" operator="equal">
      <formula>"O"</formula>
    </cfRule>
  </conditionalFormatting>
  <conditionalFormatting sqref="Q1840:R1840">
    <cfRule type="cellIs" dxfId="68" priority="72" operator="equal">
      <formula>"O"</formula>
    </cfRule>
  </conditionalFormatting>
  <conditionalFormatting sqref="Q1841:R1841">
    <cfRule type="cellIs" dxfId="67" priority="71" operator="equal">
      <formula>"O"</formula>
    </cfRule>
  </conditionalFormatting>
  <conditionalFormatting sqref="Q1842:R1842">
    <cfRule type="cellIs" dxfId="66" priority="70" operator="equal">
      <formula>"O"</formula>
    </cfRule>
  </conditionalFormatting>
  <conditionalFormatting sqref="Q1843:R1843">
    <cfRule type="cellIs" dxfId="65" priority="69" operator="equal">
      <formula>"O"</formula>
    </cfRule>
  </conditionalFormatting>
  <conditionalFormatting sqref="Q1844:R1844">
    <cfRule type="cellIs" dxfId="64" priority="68" operator="equal">
      <formula>"O"</formula>
    </cfRule>
  </conditionalFormatting>
  <conditionalFormatting sqref="Q1845:R1845">
    <cfRule type="cellIs" dxfId="63" priority="67" operator="equal">
      <formula>"O"</formula>
    </cfRule>
  </conditionalFormatting>
  <conditionalFormatting sqref="Q1846:R1846">
    <cfRule type="cellIs" dxfId="62" priority="66" operator="equal">
      <formula>"O"</formula>
    </cfRule>
  </conditionalFormatting>
  <conditionalFormatting sqref="Q1847:R1847">
    <cfRule type="cellIs" dxfId="61" priority="65" operator="equal">
      <formula>"O"</formula>
    </cfRule>
  </conditionalFormatting>
  <conditionalFormatting sqref="Q1848:R1848">
    <cfRule type="cellIs" dxfId="60" priority="64" operator="equal">
      <formula>"O"</formula>
    </cfRule>
  </conditionalFormatting>
  <conditionalFormatting sqref="Q1849:R1849">
    <cfRule type="cellIs" dxfId="59" priority="63" operator="equal">
      <formula>"O"</formula>
    </cfRule>
  </conditionalFormatting>
  <conditionalFormatting sqref="Q1850:R1850">
    <cfRule type="cellIs" dxfId="58" priority="62" operator="equal">
      <formula>"O"</formula>
    </cfRule>
  </conditionalFormatting>
  <conditionalFormatting sqref="Q1851:R1851">
    <cfRule type="cellIs" dxfId="57" priority="61" operator="equal">
      <formula>"O"</formula>
    </cfRule>
  </conditionalFormatting>
  <conditionalFormatting sqref="Q1852:R1852">
    <cfRule type="cellIs" dxfId="56" priority="60" operator="equal">
      <formula>"O"</formula>
    </cfRule>
  </conditionalFormatting>
  <conditionalFormatting sqref="Q1853:R1853">
    <cfRule type="cellIs" dxfId="55" priority="59" operator="equal">
      <formula>"O"</formula>
    </cfRule>
  </conditionalFormatting>
  <conditionalFormatting sqref="Q1854:R1854">
    <cfRule type="cellIs" dxfId="54" priority="58" operator="equal">
      <formula>"O"</formula>
    </cfRule>
  </conditionalFormatting>
  <conditionalFormatting sqref="Q1855:R1855">
    <cfRule type="cellIs" dxfId="53" priority="56" operator="equal">
      <formula>"O"</formula>
    </cfRule>
  </conditionalFormatting>
  <conditionalFormatting sqref="Q1856:R1856">
    <cfRule type="cellIs" dxfId="52" priority="55" operator="equal">
      <formula>"O"</formula>
    </cfRule>
  </conditionalFormatting>
  <conditionalFormatting sqref="Q1857:R1857">
    <cfRule type="cellIs" dxfId="51" priority="54" operator="equal">
      <formula>"O"</formula>
    </cfRule>
  </conditionalFormatting>
  <conditionalFormatting sqref="Q1859:R1859">
    <cfRule type="cellIs" dxfId="50" priority="52" operator="equal">
      <formula>"O"</formula>
    </cfRule>
  </conditionalFormatting>
  <conditionalFormatting sqref="Q1860:R1860">
    <cfRule type="cellIs" dxfId="49" priority="51" operator="equal">
      <formula>"O"</formula>
    </cfRule>
  </conditionalFormatting>
  <conditionalFormatting sqref="Q1861:R1861">
    <cfRule type="cellIs" dxfId="48" priority="50" operator="equal">
      <formula>"O"</formula>
    </cfRule>
  </conditionalFormatting>
  <conditionalFormatting sqref="Q1862:R1862">
    <cfRule type="cellIs" dxfId="47" priority="49" operator="equal">
      <formula>"O"</formula>
    </cfRule>
  </conditionalFormatting>
  <conditionalFormatting sqref="Q1863:R1863">
    <cfRule type="cellIs" dxfId="46" priority="48" operator="equal">
      <formula>"O"</formula>
    </cfRule>
  </conditionalFormatting>
  <conditionalFormatting sqref="Q1864:R1864">
    <cfRule type="cellIs" dxfId="45" priority="47" operator="equal">
      <formula>"O"</formula>
    </cfRule>
  </conditionalFormatting>
  <conditionalFormatting sqref="Q1865:R1865">
    <cfRule type="cellIs" dxfId="44" priority="46" operator="equal">
      <formula>"O"</formula>
    </cfRule>
  </conditionalFormatting>
  <conditionalFormatting sqref="Q1866:R1866">
    <cfRule type="cellIs" dxfId="43" priority="45" operator="equal">
      <formula>"O"</formula>
    </cfRule>
  </conditionalFormatting>
  <conditionalFormatting sqref="Q1867:R1867">
    <cfRule type="cellIs" dxfId="42" priority="44" operator="equal">
      <formula>"O"</formula>
    </cfRule>
  </conditionalFormatting>
  <conditionalFormatting sqref="Q1868:R1868">
    <cfRule type="cellIs" dxfId="41" priority="43" operator="equal">
      <formula>"O"</formula>
    </cfRule>
  </conditionalFormatting>
  <conditionalFormatting sqref="Q1869:R1869">
    <cfRule type="cellIs" dxfId="40" priority="42" operator="equal">
      <formula>"O"</formula>
    </cfRule>
  </conditionalFormatting>
  <conditionalFormatting sqref="Q1870:R1870">
    <cfRule type="cellIs" dxfId="39" priority="41" operator="equal">
      <formula>"O"</formula>
    </cfRule>
  </conditionalFormatting>
  <conditionalFormatting sqref="Q1871:R1871">
    <cfRule type="cellIs" dxfId="38" priority="40" operator="equal">
      <formula>"O"</formula>
    </cfRule>
  </conditionalFormatting>
  <conditionalFormatting sqref="Q1872:R1872">
    <cfRule type="cellIs" dxfId="37" priority="39" operator="equal">
      <formula>"O"</formula>
    </cfRule>
  </conditionalFormatting>
  <conditionalFormatting sqref="Q1873:R1873">
    <cfRule type="cellIs" dxfId="36" priority="38" operator="equal">
      <formula>"O"</formula>
    </cfRule>
  </conditionalFormatting>
  <conditionalFormatting sqref="Q1874:R1874">
    <cfRule type="cellIs" dxfId="35" priority="37" operator="equal">
      <formula>"O"</formula>
    </cfRule>
  </conditionalFormatting>
  <conditionalFormatting sqref="Q1876:R1876">
    <cfRule type="cellIs" dxfId="34" priority="35" operator="equal">
      <formula>"O"</formula>
    </cfRule>
  </conditionalFormatting>
  <conditionalFormatting sqref="Q1877:R1877">
    <cfRule type="cellIs" dxfId="33" priority="34" operator="equal">
      <formula>"O"</formula>
    </cfRule>
  </conditionalFormatting>
  <conditionalFormatting sqref="Q1878:R1878">
    <cfRule type="cellIs" dxfId="32" priority="33" operator="equal">
      <formula>"O"</formula>
    </cfRule>
  </conditionalFormatting>
  <conditionalFormatting sqref="R1694:R1695">
    <cfRule type="cellIs" dxfId="31" priority="32" operator="equal">
      <formula>"O"</formula>
    </cfRule>
  </conditionalFormatting>
  <conditionalFormatting sqref="Q1875:R1875">
    <cfRule type="cellIs" dxfId="30" priority="31" operator="equal">
      <formula>"O"</formula>
    </cfRule>
  </conditionalFormatting>
  <conditionalFormatting sqref="Q1879:R1879">
    <cfRule type="cellIs" dxfId="29" priority="30" operator="equal">
      <formula>"O"</formula>
    </cfRule>
  </conditionalFormatting>
  <conditionalFormatting sqref="Q1880:R1880">
    <cfRule type="cellIs" dxfId="28" priority="29" operator="equal">
      <formula>"O"</formula>
    </cfRule>
  </conditionalFormatting>
  <conditionalFormatting sqref="Q1881:R1881">
    <cfRule type="cellIs" dxfId="27" priority="28" operator="equal">
      <formula>"O"</formula>
    </cfRule>
  </conditionalFormatting>
  <conditionalFormatting sqref="Q1882:R1882">
    <cfRule type="cellIs" dxfId="26" priority="27" operator="equal">
      <formula>"O"</formula>
    </cfRule>
  </conditionalFormatting>
  <conditionalFormatting sqref="Q1883:R1883">
    <cfRule type="cellIs" dxfId="25" priority="26" operator="equal">
      <formula>"O"</formula>
    </cfRule>
  </conditionalFormatting>
  <conditionalFormatting sqref="Q1884:R1884">
    <cfRule type="cellIs" dxfId="24" priority="25" operator="equal">
      <formula>"O"</formula>
    </cfRule>
  </conditionalFormatting>
  <conditionalFormatting sqref="Q1885:R1885">
    <cfRule type="cellIs" dxfId="23" priority="24" operator="equal">
      <formula>"O"</formula>
    </cfRule>
  </conditionalFormatting>
  <conditionalFormatting sqref="Q1886:R1886">
    <cfRule type="cellIs" dxfId="22" priority="23" operator="equal">
      <formula>"O"</formula>
    </cfRule>
  </conditionalFormatting>
  <conditionalFormatting sqref="Q1887:R1887">
    <cfRule type="cellIs" dxfId="21" priority="22" operator="equal">
      <formula>"O"</formula>
    </cfRule>
  </conditionalFormatting>
  <conditionalFormatting sqref="Q1888:R1888">
    <cfRule type="cellIs" dxfId="20" priority="21" operator="equal">
      <formula>"O"</formula>
    </cfRule>
  </conditionalFormatting>
  <conditionalFormatting sqref="Q1889:R1889">
    <cfRule type="cellIs" dxfId="19" priority="20" operator="equal">
      <formula>"O"</formula>
    </cfRule>
  </conditionalFormatting>
  <conditionalFormatting sqref="Q1890:R1890">
    <cfRule type="cellIs" dxfId="18" priority="19" operator="equal">
      <formula>"O"</formula>
    </cfRule>
  </conditionalFormatting>
  <conditionalFormatting sqref="Q1891:R1891">
    <cfRule type="cellIs" dxfId="17" priority="18" operator="equal">
      <formula>"O"</formula>
    </cfRule>
  </conditionalFormatting>
  <conditionalFormatting sqref="Q1892:R1892">
    <cfRule type="cellIs" dxfId="16" priority="17" operator="equal">
      <formula>"O"</formula>
    </cfRule>
  </conditionalFormatting>
  <conditionalFormatting sqref="R1735">
    <cfRule type="cellIs" dxfId="15" priority="16" operator="equal">
      <formula>"O"</formula>
    </cfRule>
  </conditionalFormatting>
  <conditionalFormatting sqref="Q1893:R1893">
    <cfRule type="cellIs" dxfId="14" priority="15" operator="equal">
      <formula>"O"</formula>
    </cfRule>
  </conditionalFormatting>
  <conditionalFormatting sqref="Q1894:R1894">
    <cfRule type="cellIs" dxfId="13" priority="14" operator="equal">
      <formula>"O"</formula>
    </cfRule>
  </conditionalFormatting>
  <conditionalFormatting sqref="Q1895:R1895">
    <cfRule type="cellIs" dxfId="12" priority="13" operator="equal">
      <formula>"O"</formula>
    </cfRule>
  </conditionalFormatting>
  <conditionalFormatting sqref="Q1896:R1897">
    <cfRule type="cellIs" dxfId="11" priority="12" operator="equal">
      <formula>"O"</formula>
    </cfRule>
  </conditionalFormatting>
  <conditionalFormatting sqref="Q1898:R1898">
    <cfRule type="cellIs" dxfId="10" priority="11" operator="equal">
      <formula>"O"</formula>
    </cfRule>
  </conditionalFormatting>
  <conditionalFormatting sqref="Q1899:R1899">
    <cfRule type="cellIs" dxfId="9" priority="10" operator="equal">
      <formula>"O"</formula>
    </cfRule>
  </conditionalFormatting>
  <conditionalFormatting sqref="Q1900:R1900">
    <cfRule type="cellIs" dxfId="8" priority="9" operator="equal">
      <formula>"O"</formula>
    </cfRule>
  </conditionalFormatting>
  <conditionalFormatting sqref="Q1901:R1901">
    <cfRule type="cellIs" dxfId="7" priority="8" operator="equal">
      <formula>"O"</formula>
    </cfRule>
  </conditionalFormatting>
  <conditionalFormatting sqref="Q1902:R1902">
    <cfRule type="cellIs" dxfId="6" priority="7" operator="equal">
      <formula>"O"</formula>
    </cfRule>
  </conditionalFormatting>
  <conditionalFormatting sqref="Q1903:R1903">
    <cfRule type="cellIs" dxfId="5" priority="6" operator="equal">
      <formula>"O"</formula>
    </cfRule>
  </conditionalFormatting>
  <conditionalFormatting sqref="Q1904:R1904">
    <cfRule type="cellIs" dxfId="4" priority="5" operator="equal">
      <formula>"O"</formula>
    </cfRule>
  </conditionalFormatting>
  <conditionalFormatting sqref="Q1905:R1905">
    <cfRule type="cellIs" dxfId="3" priority="4" operator="equal">
      <formula>"O"</formula>
    </cfRule>
  </conditionalFormatting>
  <conditionalFormatting sqref="Q1906:R1906">
    <cfRule type="cellIs" dxfId="2" priority="3" operator="equal">
      <formula>"O"</formula>
    </cfRule>
  </conditionalFormatting>
  <conditionalFormatting sqref="Q1907:R1907">
    <cfRule type="cellIs" dxfId="1" priority="2" operator="equal">
      <formula>"O"</formula>
    </cfRule>
  </conditionalFormatting>
  <conditionalFormatting sqref="Q1908:R1908">
    <cfRule type="cellIs" dxfId="0" priority="1" operator="equal">
      <formula>"O"</formula>
    </cfRule>
  </conditionalFormatting>
  <dataValidations count="2">
    <dataValidation allowBlank="1" showInputMessage="1" showErrorMessage="1" sqref="AA57:AA58 AA51:AA55 AA60:AA261 AA49 AA11:AA47 AC685 AC11:AC58 AC716:AC717 AC688 AA967:AA969 AA971:AA1034 AA1036:AA1058 AA1060:AA1083 AC696 AA263:AA964 AC60:AC676 AA1085:AA1619" xr:uid="{00000000-0002-0000-0000-000000000000}"/>
    <dataValidation type="list" allowBlank="1" showInputMessage="1" showErrorMessage="1" sqref="W881 V11:V880 V882:V1908" xr:uid="{00000000-0002-0000-0000-000001000000}">
      <formula1>"O"</formula1>
    </dataValidation>
  </dataValidations>
  <pageMargins left="0.7" right="0.7" top="0.75" bottom="0.75" header="0.3" footer="0.3"/>
  <pageSetup paperSize="9" fitToHeight="0" orientation="landscape" r:id="rId1"/>
  <legacy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000-000002000000}">
          <x14:formula1>
            <xm:f>Code!$M$4:$M$10</xm:f>
          </x14:formula1>
          <xm:sqref>Z152 Z696 Z154 Z156:Z158 Z485 Z11:Z148 Z553</xm:sqref>
        </x14:dataValidation>
        <x14:dataValidation type="list" allowBlank="1" showInputMessage="1" showErrorMessage="1" xr:uid="{00000000-0002-0000-0000-000003000000}">
          <x14:formula1>
            <xm:f>Code!$M$4:$M$8</xm:f>
          </x14:formula1>
          <xm:sqref>Z149:Z151 Z153 Z155 Z159:Z170 Z171:AA171 Z464 Z459:Z462 Z474:Z478 Z546:Z552 Z692:Z695 Z466 Z539:Z544 Z470:Z472 Z713:Z720 Z483:Z484 Z599:Z603 Z582:Z592 Z1399:Z1400 Z697:Z709 Z481 Z554:Z578 Z580 Z662:Z668 Z653:Z660 Z645:Z651 Z670:Z690 Z711 Z774:Z778 Z862:Z903 Z828:Z849 Z780:Z799 Z851:Z860 Z1200:Z1217 Z722:Z772 Z802:Z805 Z807:Z826 Z1219:Z1226 Z1228:Z1244 Z1371:Z1373 Z1375:Z1380 Z1313:Z1314 Z1385:Z1392 Z1246:Z1253 Z1288:Z1290 Z172:Z457 Z1275:Z1283 Z1255:Z1259 Z1292:Z1311 Z1316:Z1330 Z1343:Z1354 Z1382 Z1356:Z1369 Z1395:Z1397 Z1261:Z1273 Z1285 Z1332 Z1334:Z1341 Z605:Z615 Z617:Z643 Z486:Z537 Z905:Z1198 Z1402:Z1412 Z1414:Z1415 Z1614:Z1617 Z1579:Z1602 Z1690:Z1692 Z1537:Z1564 Z1417:Z1521 Z1523:Z1535 Z1566:Z1570 Z1572:Z1577 Z1606:Z1610 Z1620:Z1637 Z1644 Z1648:Z1652 Z1639:Z1641 Z1654:Z1688</xm:sqref>
        </x14:dataValidation>
        <x14:dataValidation type="list" allowBlank="1" showInputMessage="1" showErrorMessage="1" xr:uid="{00000000-0002-0000-0000-000004000000}">
          <x14:formula1>
            <xm:f>Code!$I$3:$I$7</xm:f>
          </x14:formula1>
          <xm:sqref>Q1037:R1057 R990 Q959:R989 R1036 Q991:R1032 R928:R958 R1363:R1482 R605:R926 Q1058:Q1482 R1061:R1361 Q11:R603 Q604:Q958 Q1483:R1693 Q1755:R1857 R1694:R1695 R1735 Q1859:R1908</xm:sqref>
        </x14:dataValidation>
        <x14:dataValidation type="list" allowBlank="1" showInputMessage="1" showErrorMessage="1" xr:uid="{00000000-0002-0000-0000-000006000000}">
          <x14:formula1>
            <xm:f>Code!$N$4</xm:f>
          </x14:formula1>
          <xm:sqref>AB1624 AB1574 AB1626 AB11:AB1568 AB1690 AB1716</xm:sqref>
        </x14:dataValidation>
        <x14:dataValidation type="list" showInputMessage="1" showErrorMessage="1" xr:uid="{00000000-0002-0000-0000-000008000000}">
          <x14:formula1>
            <xm:f>Code!$T$15:$T$30</xm:f>
          </x14:formula1>
          <xm:sqref>X11:Y1619 X1621:X1623 X1627 X1630:X1631 X1633 X1635:X1636 X1638:X1643 X1645:X1650 X1652:X1653 X1655:X1657 X1660:X1661 X1663:X1664 X1668:X1670 X1672 X1674:X1677 X1679:X1683 X1686:X1689 Y1638 X1691:X1908</xm:sqref>
        </x14:dataValidation>
        <x14:dataValidation type="list" allowBlank="1" showInputMessage="1" showErrorMessage="1" xr:uid="{00000000-0002-0000-0000-000005000000}">
          <x14:formula1>
            <xm:f>Code!$A$3:$A$12</xm:f>
          </x14:formula1>
          <xm:sqref>L11:L850</xm:sqref>
        </x14:dataValidation>
        <x14:dataValidation type="list" allowBlank="1" showInputMessage="1" showErrorMessage="1" xr:uid="{00000000-0002-0000-0000-00000B000000}">
          <x14:formula1>
            <xm:f>Code!$U$4:$U$50</xm:f>
          </x14:formula1>
          <xm:sqref>W11:W1689</xm:sqref>
        </x14:dataValidation>
        <x14:dataValidation type="list" allowBlank="1" showInputMessage="1" showErrorMessage="1" xr:uid="{00000000-0002-0000-0000-000007000000}">
          <x14:formula1>
            <xm:f>Code!$A$3:$A$15</xm:f>
          </x14:formula1>
          <xm:sqref>L851:L1908</xm:sqref>
        </x14:dataValidation>
        <x14:dataValidation type="list" allowBlank="1" showInputMessage="1" showErrorMessage="1" xr:uid="{00000000-0002-0000-0000-000009000000}">
          <x14:formula1>
            <xm:f>Code!$C$3:$C$17</xm:f>
          </x14:formula1>
          <xm:sqref>M11:M1908</xm:sqref>
        </x14:dataValidation>
        <x14:dataValidation type="list" allowBlank="1" showInputMessage="1" showErrorMessage="1" xr:uid="{00000000-0002-0000-0000-00000A000000}">
          <x14:formula1>
            <xm:f>Code!$E$3:$E$8</xm:f>
          </x14:formula1>
          <xm:sqref>N11:N1908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930"/>
  <sheetViews>
    <sheetView topLeftCell="A1668" zoomScale="85" zoomScaleNormal="85" workbookViewId="0">
      <selection activeCell="G1681" sqref="G1681"/>
    </sheetView>
  </sheetViews>
  <sheetFormatPr defaultColWidth="8.875" defaultRowHeight="16.5"/>
  <cols>
    <col min="1" max="1" width="9.25" bestFit="1" customWidth="1"/>
    <col min="2" max="2" width="9" bestFit="1" customWidth="1"/>
    <col min="3" max="3" width="15.125" style="70" bestFit="1" customWidth="1"/>
    <col min="4" max="4" width="35.75" bestFit="1" customWidth="1"/>
    <col min="5" max="5" width="17.375" customWidth="1"/>
    <col min="6" max="6" width="11.25" bestFit="1" customWidth="1"/>
    <col min="18" max="18" width="16.75" customWidth="1"/>
    <col min="19" max="19" width="19.125" customWidth="1"/>
    <col min="20" max="20" width="29.625" customWidth="1"/>
  </cols>
  <sheetData>
    <row r="1" spans="1:21">
      <c r="A1" s="213" t="s">
        <v>38</v>
      </c>
      <c r="B1" s="213" t="s">
        <v>8735</v>
      </c>
      <c r="C1" s="213" t="s">
        <v>8736</v>
      </c>
      <c r="D1" s="213" t="s">
        <v>40</v>
      </c>
      <c r="E1" s="213" t="s">
        <v>8737</v>
      </c>
      <c r="F1" s="213" t="s">
        <v>8738</v>
      </c>
      <c r="G1" s="213" t="s">
        <v>8739</v>
      </c>
      <c r="H1" s="213" t="s">
        <v>8740</v>
      </c>
      <c r="R1" s="21" t="s">
        <v>8736</v>
      </c>
      <c r="S1" s="21" t="s">
        <v>8736</v>
      </c>
      <c r="T1" s="21" t="s">
        <v>40</v>
      </c>
      <c r="U1" s="21" t="s">
        <v>8741</v>
      </c>
    </row>
    <row r="2" spans="1:21">
      <c r="A2" s="214" t="s">
        <v>8742</v>
      </c>
      <c r="B2" s="214" t="s">
        <v>8743</v>
      </c>
      <c r="C2" s="133" t="s">
        <v>8132</v>
      </c>
      <c r="D2" s="133" t="s">
        <v>8744</v>
      </c>
      <c r="E2" s="133" t="s">
        <v>83</v>
      </c>
      <c r="F2" s="133" t="s">
        <v>8745</v>
      </c>
      <c r="G2" s="133" t="s">
        <v>8746</v>
      </c>
      <c r="H2" s="133" t="s">
        <v>8747</v>
      </c>
      <c r="I2" s="91"/>
      <c r="R2" s="23" t="s">
        <v>8132</v>
      </c>
      <c r="S2" s="23"/>
      <c r="T2" s="23" t="s">
        <v>8748</v>
      </c>
      <c r="U2" s="64">
        <f>COUNTIFS('1.아이디어LIST'!$G$11:G1037,'(참고)재직자'!T2)</f>
        <v>0</v>
      </c>
    </row>
    <row r="3" spans="1:21">
      <c r="A3" s="214" t="s">
        <v>8749</v>
      </c>
      <c r="B3" s="214" t="s">
        <v>8750</v>
      </c>
      <c r="C3" s="133" t="s">
        <v>2146</v>
      </c>
      <c r="D3" s="133" t="s">
        <v>2197</v>
      </c>
      <c r="E3" s="133" t="s">
        <v>83</v>
      </c>
      <c r="F3" s="133" t="s">
        <v>7897</v>
      </c>
      <c r="G3" s="133" t="s">
        <v>8746</v>
      </c>
      <c r="H3" s="133" t="s">
        <v>8747</v>
      </c>
      <c r="R3" s="23"/>
      <c r="S3" s="23"/>
      <c r="T3" s="23" t="s">
        <v>8751</v>
      </c>
      <c r="U3" s="64">
        <f>COUNTIFS('1.아이디어LIST'!$G$11:G1038,'(참고)재직자'!T3)</f>
        <v>0</v>
      </c>
    </row>
    <row r="4" spans="1:21">
      <c r="A4" s="214" t="s">
        <v>8752</v>
      </c>
      <c r="B4" s="214" t="s">
        <v>8753</v>
      </c>
      <c r="C4" s="133" t="s">
        <v>8</v>
      </c>
      <c r="D4" s="133" t="s">
        <v>8754</v>
      </c>
      <c r="E4" s="133" t="s">
        <v>83</v>
      </c>
      <c r="F4" s="133" t="s">
        <v>7897</v>
      </c>
      <c r="G4" s="133" t="s">
        <v>8755</v>
      </c>
      <c r="H4" s="133" t="s">
        <v>8747</v>
      </c>
      <c r="R4" s="23"/>
      <c r="S4" s="23"/>
      <c r="T4" s="64" t="s">
        <v>85</v>
      </c>
      <c r="U4" s="64">
        <f>COUNTIFS('1.아이디어LIST'!$G$11:G1039,'(참고)재직자'!T4)</f>
        <v>1</v>
      </c>
    </row>
    <row r="5" spans="1:21">
      <c r="A5" s="214" t="s">
        <v>8756</v>
      </c>
      <c r="B5" s="214" t="s">
        <v>8757</v>
      </c>
      <c r="C5" s="133" t="s">
        <v>10</v>
      </c>
      <c r="D5" s="133" t="s">
        <v>8758</v>
      </c>
      <c r="E5" s="133" t="s">
        <v>83</v>
      </c>
      <c r="F5" s="133" t="s">
        <v>7897</v>
      </c>
      <c r="G5" s="133" t="s">
        <v>8746</v>
      </c>
      <c r="H5" s="133" t="s">
        <v>8747</v>
      </c>
      <c r="R5" s="23"/>
      <c r="S5" s="23"/>
      <c r="T5" s="65" t="s">
        <v>8759</v>
      </c>
      <c r="U5" s="23">
        <f>SUM(U2:U4)</f>
        <v>1</v>
      </c>
    </row>
    <row r="6" spans="1:21">
      <c r="A6" s="214" t="s">
        <v>8760</v>
      </c>
      <c r="B6" s="214" t="s">
        <v>8761</v>
      </c>
      <c r="C6" s="133" t="s">
        <v>2146</v>
      </c>
      <c r="D6" s="133" t="s">
        <v>2197</v>
      </c>
      <c r="E6" s="133" t="s">
        <v>83</v>
      </c>
      <c r="F6" s="133" t="s">
        <v>7897</v>
      </c>
      <c r="G6" s="133" t="s">
        <v>8746</v>
      </c>
      <c r="H6" s="133" t="s">
        <v>8747</v>
      </c>
      <c r="R6" s="64" t="s">
        <v>8762</v>
      </c>
      <c r="S6" s="23"/>
      <c r="T6" s="64" t="s">
        <v>2208</v>
      </c>
      <c r="U6" s="64">
        <f>COUNTIFS('1.아이디어LIST'!$G$11:G1041,'(참고)재직자'!T6)</f>
        <v>2</v>
      </c>
    </row>
    <row r="7" spans="1:21">
      <c r="A7" s="214" t="s">
        <v>8763</v>
      </c>
      <c r="B7" s="214" t="s">
        <v>8764</v>
      </c>
      <c r="C7" s="133" t="s">
        <v>2146</v>
      </c>
      <c r="D7" s="133" t="s">
        <v>2197</v>
      </c>
      <c r="E7" s="133" t="s">
        <v>83</v>
      </c>
      <c r="F7" s="133" t="s">
        <v>7897</v>
      </c>
      <c r="G7" s="133" t="s">
        <v>8765</v>
      </c>
      <c r="H7" s="133" t="s">
        <v>8747</v>
      </c>
      <c r="R7" s="23"/>
      <c r="S7" s="23"/>
      <c r="T7" s="64" t="s">
        <v>401</v>
      </c>
      <c r="U7" s="64">
        <f>COUNTIFS('1.아이디어LIST'!$G$11:G1042,'(참고)재직자'!T7)</f>
        <v>3</v>
      </c>
    </row>
    <row r="8" spans="1:21">
      <c r="A8" s="214" t="s">
        <v>8766</v>
      </c>
      <c r="B8" s="214" t="s">
        <v>3024</v>
      </c>
      <c r="C8" s="133" t="s">
        <v>2146</v>
      </c>
      <c r="D8" s="133" t="s">
        <v>8767</v>
      </c>
      <c r="E8" s="133" t="s">
        <v>83</v>
      </c>
      <c r="F8" s="133" t="s">
        <v>7897</v>
      </c>
      <c r="G8" s="133" t="s">
        <v>8768</v>
      </c>
      <c r="H8" s="133" t="s">
        <v>8747</v>
      </c>
      <c r="R8" s="23"/>
      <c r="S8" s="23"/>
      <c r="T8" s="64" t="s">
        <v>8769</v>
      </c>
      <c r="U8" s="64">
        <f>COUNTIFS('1.아이디어LIST'!$G$11:G1043,'(참고)재직자'!T8)</f>
        <v>0</v>
      </c>
    </row>
    <row r="9" spans="1:21">
      <c r="A9" s="214" t="s">
        <v>8770</v>
      </c>
      <c r="B9" s="214" t="s">
        <v>8771</v>
      </c>
      <c r="C9" s="133" t="s">
        <v>9</v>
      </c>
      <c r="D9" s="133" t="s">
        <v>8772</v>
      </c>
      <c r="E9" s="133" t="s">
        <v>83</v>
      </c>
      <c r="F9" s="133" t="s">
        <v>7897</v>
      </c>
      <c r="G9" s="133" t="s">
        <v>8746</v>
      </c>
      <c r="H9" s="133" t="s">
        <v>8747</v>
      </c>
      <c r="R9" s="23"/>
      <c r="S9" s="23"/>
      <c r="T9" s="64" t="s">
        <v>2260</v>
      </c>
      <c r="U9" s="64">
        <f>COUNTIFS('1.아이디어LIST'!$G$11:G1044,'(참고)재직자'!T9)</f>
        <v>2</v>
      </c>
    </row>
    <row r="10" spans="1:21">
      <c r="A10" s="214" t="s">
        <v>8773</v>
      </c>
      <c r="B10" s="214" t="s">
        <v>8774</v>
      </c>
      <c r="C10" s="133" t="s">
        <v>9</v>
      </c>
      <c r="D10" s="133" t="s">
        <v>8775</v>
      </c>
      <c r="E10" s="133" t="s">
        <v>83</v>
      </c>
      <c r="F10" s="133" t="s">
        <v>7897</v>
      </c>
      <c r="G10" s="133" t="s">
        <v>8776</v>
      </c>
      <c r="H10" s="133" t="s">
        <v>8747</v>
      </c>
      <c r="R10" s="23"/>
      <c r="S10" s="23"/>
      <c r="T10" s="64" t="s">
        <v>8777</v>
      </c>
      <c r="U10" s="64">
        <f>COUNTIFS('1.아이디어LIST'!$G$11:G1045,'(참고)재직자'!T10)</f>
        <v>0</v>
      </c>
    </row>
    <row r="11" spans="1:21">
      <c r="A11" s="214" t="s">
        <v>8778</v>
      </c>
      <c r="B11" s="214" t="s">
        <v>8779</v>
      </c>
      <c r="C11" s="133" t="s">
        <v>399</v>
      </c>
      <c r="D11" s="133" t="s">
        <v>8780</v>
      </c>
      <c r="E11" s="133" t="s">
        <v>83</v>
      </c>
      <c r="F11" s="133" t="s">
        <v>7897</v>
      </c>
      <c r="G11" s="133" t="s">
        <v>8746</v>
      </c>
      <c r="H11" s="133" t="s">
        <v>8747</v>
      </c>
      <c r="R11" s="23"/>
      <c r="S11" s="23"/>
      <c r="T11" s="64" t="s">
        <v>2362</v>
      </c>
      <c r="U11" s="64">
        <f>COUNTIFS('1.아이디어LIST'!$G$11:G1046,'(참고)재직자'!T11)</f>
        <v>3</v>
      </c>
    </row>
    <row r="12" spans="1:21">
      <c r="A12" s="214" t="s">
        <v>8781</v>
      </c>
      <c r="B12" s="214" t="s">
        <v>8782</v>
      </c>
      <c r="C12" s="133" t="s">
        <v>237</v>
      </c>
      <c r="D12" s="133" t="s">
        <v>8783</v>
      </c>
      <c r="E12" s="133" t="s">
        <v>83</v>
      </c>
      <c r="F12" s="133" t="s">
        <v>7897</v>
      </c>
      <c r="G12" s="133" t="s">
        <v>8755</v>
      </c>
      <c r="H12" s="133" t="s">
        <v>8747</v>
      </c>
      <c r="R12" s="23"/>
      <c r="S12" s="23"/>
      <c r="T12" s="65" t="s">
        <v>8759</v>
      </c>
      <c r="U12" s="23">
        <f>SUM(U6:U11)</f>
        <v>10</v>
      </c>
    </row>
    <row r="13" spans="1:21">
      <c r="A13" s="214" t="s">
        <v>7896</v>
      </c>
      <c r="B13" s="214" t="s">
        <v>7899</v>
      </c>
      <c r="C13" s="133" t="s">
        <v>8</v>
      </c>
      <c r="D13" s="133" t="s">
        <v>7898</v>
      </c>
      <c r="E13" s="133" t="s">
        <v>83</v>
      </c>
      <c r="F13" s="133" t="s">
        <v>7897</v>
      </c>
      <c r="G13" s="133" t="s">
        <v>8784</v>
      </c>
      <c r="H13" s="133" t="s">
        <v>8747</v>
      </c>
      <c r="R13" s="64" t="s">
        <v>5688</v>
      </c>
      <c r="S13" s="23"/>
      <c r="T13" s="64" t="s">
        <v>5690</v>
      </c>
      <c r="U13" s="64">
        <f>COUNTIFS('1.아이디어LIST'!$G$11:G1048,'(참고)재직자'!T13)</f>
        <v>0</v>
      </c>
    </row>
    <row r="14" spans="1:21">
      <c r="A14" s="214" t="s">
        <v>8785</v>
      </c>
      <c r="B14" s="214" t="s">
        <v>8786</v>
      </c>
      <c r="C14" s="133" t="s">
        <v>178</v>
      </c>
      <c r="D14" s="133" t="s">
        <v>8787</v>
      </c>
      <c r="E14" s="133" t="s">
        <v>178</v>
      </c>
      <c r="F14" s="133" t="s">
        <v>7897</v>
      </c>
      <c r="G14" s="133" t="s">
        <v>8746</v>
      </c>
      <c r="H14" s="133" t="s">
        <v>8747</v>
      </c>
      <c r="R14" s="23"/>
      <c r="S14" s="23"/>
      <c r="T14" s="65" t="s">
        <v>8759</v>
      </c>
      <c r="U14" s="23">
        <f>U13</f>
        <v>0</v>
      </c>
    </row>
    <row r="15" spans="1:21">
      <c r="A15" s="214" t="s">
        <v>8788</v>
      </c>
      <c r="B15" s="214" t="s">
        <v>8789</v>
      </c>
      <c r="C15" s="133" t="s">
        <v>10</v>
      </c>
      <c r="D15" s="133" t="s">
        <v>8790</v>
      </c>
      <c r="E15" s="133" t="s">
        <v>83</v>
      </c>
      <c r="F15" s="133" t="s">
        <v>7897</v>
      </c>
      <c r="G15" s="133" t="s">
        <v>8765</v>
      </c>
      <c r="H15" s="133" t="s">
        <v>8747</v>
      </c>
      <c r="R15" s="64" t="s">
        <v>8791</v>
      </c>
      <c r="S15" s="23"/>
      <c r="T15" s="64" t="s">
        <v>5388</v>
      </c>
      <c r="U15" s="64">
        <f>COUNTIFS('1.아이디어LIST'!$G$11:G1050,'(참고)재직자'!T15)</f>
        <v>0</v>
      </c>
    </row>
    <row r="16" spans="1:21">
      <c r="A16" s="214" t="s">
        <v>8792</v>
      </c>
      <c r="B16" s="214" t="s">
        <v>8793</v>
      </c>
      <c r="C16" s="133" t="s">
        <v>9</v>
      </c>
      <c r="D16" s="133" t="s">
        <v>8794</v>
      </c>
      <c r="E16" s="133" t="s">
        <v>83</v>
      </c>
      <c r="F16" s="133" t="s">
        <v>7897</v>
      </c>
      <c r="G16" s="133" t="s">
        <v>8776</v>
      </c>
      <c r="H16" s="133" t="s">
        <v>8747</v>
      </c>
      <c r="R16" s="23"/>
      <c r="S16" s="23"/>
      <c r="T16" s="64" t="s">
        <v>796</v>
      </c>
      <c r="U16" s="64">
        <f>COUNTIFS('1.아이디어LIST'!$G$11:G1051,'(참고)재직자'!T16)</f>
        <v>1</v>
      </c>
    </row>
    <row r="17" spans="1:21">
      <c r="A17" s="214" t="s">
        <v>8795</v>
      </c>
      <c r="B17" s="214" t="s">
        <v>8796</v>
      </c>
      <c r="C17" s="133" t="s">
        <v>10</v>
      </c>
      <c r="D17" s="133" t="s">
        <v>8797</v>
      </c>
      <c r="E17" s="133" t="s">
        <v>83</v>
      </c>
      <c r="F17" s="133" t="s">
        <v>7897</v>
      </c>
      <c r="G17" s="133" t="s">
        <v>8776</v>
      </c>
      <c r="H17" s="133" t="s">
        <v>8747</v>
      </c>
      <c r="R17" s="23"/>
      <c r="S17" s="23"/>
      <c r="T17" s="64" t="s">
        <v>5492</v>
      </c>
      <c r="U17" s="64">
        <f>COUNTIFS('1.아이디어LIST'!$G$11:G1052,'(참고)재직자'!T17)</f>
        <v>0</v>
      </c>
    </row>
    <row r="18" spans="1:21">
      <c r="A18" s="214" t="s">
        <v>8798</v>
      </c>
      <c r="B18" s="214" t="s">
        <v>8799</v>
      </c>
      <c r="C18" s="133" t="s">
        <v>2146</v>
      </c>
      <c r="D18" s="133" t="s">
        <v>8800</v>
      </c>
      <c r="E18" s="133" t="s">
        <v>83</v>
      </c>
      <c r="F18" s="133" t="s">
        <v>7897</v>
      </c>
      <c r="G18" s="133" t="s">
        <v>8746</v>
      </c>
      <c r="H18" s="133" t="s">
        <v>8747</v>
      </c>
      <c r="R18" s="23"/>
      <c r="S18" s="23"/>
      <c r="T18" s="65" t="s">
        <v>8759</v>
      </c>
      <c r="U18" s="23">
        <f>SUM(U15:U17)</f>
        <v>1</v>
      </c>
    </row>
    <row r="19" spans="1:21">
      <c r="A19" s="214" t="s">
        <v>8801</v>
      </c>
      <c r="B19" s="214" t="s">
        <v>8802</v>
      </c>
      <c r="C19" s="133" t="s">
        <v>10</v>
      </c>
      <c r="D19" s="133" t="s">
        <v>8803</v>
      </c>
      <c r="E19" s="133" t="s">
        <v>83</v>
      </c>
      <c r="F19" s="133" t="s">
        <v>7897</v>
      </c>
      <c r="G19" s="133" t="s">
        <v>8776</v>
      </c>
      <c r="H19" s="133" t="s">
        <v>8747</v>
      </c>
      <c r="R19" s="64" t="s">
        <v>8804</v>
      </c>
      <c r="S19" s="23" t="s">
        <v>8805</v>
      </c>
      <c r="T19" s="64" t="s">
        <v>2197</v>
      </c>
      <c r="U19" s="64">
        <f>COUNTIFS('1.아이디어LIST'!$G$11:G1054,'(참고)재직자'!T19)</f>
        <v>1</v>
      </c>
    </row>
    <row r="20" spans="1:21">
      <c r="A20" s="214" t="s">
        <v>8149</v>
      </c>
      <c r="B20" s="214" t="s">
        <v>8151</v>
      </c>
      <c r="C20" s="133" t="s">
        <v>8</v>
      </c>
      <c r="D20" s="133" t="s">
        <v>8150</v>
      </c>
      <c r="E20" s="133" t="s">
        <v>83</v>
      </c>
      <c r="F20" s="133" t="s">
        <v>7897</v>
      </c>
      <c r="G20" s="133" t="s">
        <v>8765</v>
      </c>
      <c r="H20" s="133" t="s">
        <v>8747</v>
      </c>
      <c r="R20" s="23"/>
      <c r="S20" s="23"/>
      <c r="T20" s="64" t="s">
        <v>5908</v>
      </c>
      <c r="U20" s="64">
        <f>COUNTIFS('1.아이디어LIST'!$G$11:G1055,'(참고)재직자'!T20)</f>
        <v>0</v>
      </c>
    </row>
    <row r="21" spans="1:21">
      <c r="A21" s="214" t="s">
        <v>8806</v>
      </c>
      <c r="B21" s="214" t="s">
        <v>8807</v>
      </c>
      <c r="C21" s="133" t="s">
        <v>2146</v>
      </c>
      <c r="D21" s="133" t="s">
        <v>2197</v>
      </c>
      <c r="E21" s="133" t="s">
        <v>83</v>
      </c>
      <c r="F21" s="133" t="s">
        <v>7897</v>
      </c>
      <c r="G21" s="133" t="s">
        <v>8808</v>
      </c>
      <c r="H21" s="133" t="s">
        <v>8747</v>
      </c>
      <c r="R21" s="23"/>
      <c r="S21" s="23"/>
      <c r="T21" s="64" t="s">
        <v>2148</v>
      </c>
      <c r="U21" s="64">
        <f>COUNTIFS('1.아이디어LIST'!$G$11:G1056,'(참고)재직자'!T21)</f>
        <v>3</v>
      </c>
    </row>
    <row r="22" spans="1:21">
      <c r="A22" s="214" t="s">
        <v>8809</v>
      </c>
      <c r="B22" s="214" t="s">
        <v>8810</v>
      </c>
      <c r="C22" s="133" t="s">
        <v>10</v>
      </c>
      <c r="D22" s="133" t="s">
        <v>8811</v>
      </c>
      <c r="E22" s="133" t="s">
        <v>83</v>
      </c>
      <c r="F22" s="133" t="s">
        <v>7897</v>
      </c>
      <c r="G22" s="133" t="s">
        <v>8776</v>
      </c>
      <c r="H22" s="133" t="s">
        <v>8747</v>
      </c>
      <c r="R22" s="23"/>
      <c r="S22" s="23"/>
      <c r="T22" s="64" t="s">
        <v>5640</v>
      </c>
      <c r="U22" s="64">
        <f>COUNTIFS('1.아이디어LIST'!$G$11:G1057,'(참고)재직자'!T22)</f>
        <v>0</v>
      </c>
    </row>
    <row r="23" spans="1:21">
      <c r="A23" s="214" t="s">
        <v>8156</v>
      </c>
      <c r="B23" s="214" t="s">
        <v>8158</v>
      </c>
      <c r="C23" s="133" t="s">
        <v>8</v>
      </c>
      <c r="D23" s="133" t="s">
        <v>8157</v>
      </c>
      <c r="E23" s="133" t="s">
        <v>83</v>
      </c>
      <c r="F23" s="133" t="s">
        <v>7897</v>
      </c>
      <c r="G23" s="133" t="s">
        <v>8765</v>
      </c>
      <c r="H23" s="133" t="s">
        <v>8747</v>
      </c>
      <c r="R23" s="23"/>
      <c r="S23" s="23"/>
      <c r="T23" s="64" t="s">
        <v>5634</v>
      </c>
      <c r="U23" s="64">
        <f>COUNTIFS('1.아이디어LIST'!$G$11:G1058,'(참고)재직자'!T23)</f>
        <v>0</v>
      </c>
    </row>
    <row r="24" spans="1:21">
      <c r="A24" s="214" t="s">
        <v>7916</v>
      </c>
      <c r="B24" s="214" t="s">
        <v>7917</v>
      </c>
      <c r="C24" s="133" t="s">
        <v>8</v>
      </c>
      <c r="D24" s="133" t="s">
        <v>8812</v>
      </c>
      <c r="E24" s="133" t="s">
        <v>83</v>
      </c>
      <c r="F24" s="133" t="s">
        <v>7897</v>
      </c>
      <c r="G24" s="133" t="s">
        <v>8765</v>
      </c>
      <c r="H24" s="133" t="s">
        <v>8747</v>
      </c>
      <c r="R24" s="23"/>
      <c r="S24" s="23" t="s">
        <v>8813</v>
      </c>
      <c r="T24" s="64" t="s">
        <v>2110</v>
      </c>
      <c r="U24" s="64">
        <f>COUNTIFS('1.아이디어LIST'!$G$11:G1059,'(참고)재직자'!T24)</f>
        <v>2</v>
      </c>
    </row>
    <row r="25" spans="1:21">
      <c r="A25" s="214" t="s">
        <v>8814</v>
      </c>
      <c r="B25" s="214" t="s">
        <v>8815</v>
      </c>
      <c r="C25" s="133" t="s">
        <v>8</v>
      </c>
      <c r="D25" s="133" t="s">
        <v>8816</v>
      </c>
      <c r="E25" s="133" t="s">
        <v>83</v>
      </c>
      <c r="F25" s="133" t="s">
        <v>7897</v>
      </c>
      <c r="G25" s="133" t="s">
        <v>8765</v>
      </c>
      <c r="H25" s="133" t="s">
        <v>8747</v>
      </c>
      <c r="R25" s="23"/>
      <c r="S25" s="23"/>
      <c r="T25" s="64" t="s">
        <v>290</v>
      </c>
      <c r="U25" s="64">
        <f>COUNTIFS('1.아이디어LIST'!$G$11:G1060,'(참고)재직자'!T25)</f>
        <v>11</v>
      </c>
    </row>
    <row r="26" spans="1:21">
      <c r="A26" s="214" t="s">
        <v>8162</v>
      </c>
      <c r="B26" s="214" t="s">
        <v>8164</v>
      </c>
      <c r="C26" s="133" t="s">
        <v>8</v>
      </c>
      <c r="D26" s="133" t="s">
        <v>8163</v>
      </c>
      <c r="E26" s="133" t="s">
        <v>83</v>
      </c>
      <c r="F26" s="133" t="s">
        <v>7897</v>
      </c>
      <c r="G26" s="133" t="s">
        <v>8765</v>
      </c>
      <c r="H26" s="133" t="s">
        <v>8747</v>
      </c>
      <c r="R26" s="23"/>
      <c r="S26" s="23"/>
      <c r="T26" s="64" t="s">
        <v>239</v>
      </c>
      <c r="U26" s="64">
        <f>COUNTIFS('1.아이디어LIST'!$G$11:G1061,'(참고)재직자'!T26)</f>
        <v>7</v>
      </c>
    </row>
    <row r="27" spans="1:21">
      <c r="A27" s="214" t="s">
        <v>8817</v>
      </c>
      <c r="B27" s="214" t="s">
        <v>8818</v>
      </c>
      <c r="C27" s="133" t="s">
        <v>10</v>
      </c>
      <c r="D27" s="133" t="s">
        <v>8819</v>
      </c>
      <c r="E27" s="133" t="s">
        <v>83</v>
      </c>
      <c r="F27" s="133" t="s">
        <v>7897</v>
      </c>
      <c r="G27" s="133" t="s">
        <v>8820</v>
      </c>
      <c r="H27" s="133" t="s">
        <v>8747</v>
      </c>
      <c r="R27" s="23"/>
      <c r="S27" s="23"/>
      <c r="T27" s="65" t="s">
        <v>8759</v>
      </c>
      <c r="U27" s="23">
        <f>SUM(U19:U26)</f>
        <v>24</v>
      </c>
    </row>
    <row r="28" spans="1:21">
      <c r="A28" s="214" t="s">
        <v>7938</v>
      </c>
      <c r="B28" s="214" t="s">
        <v>7940</v>
      </c>
      <c r="C28" s="133" t="s">
        <v>8</v>
      </c>
      <c r="D28" s="133" t="s">
        <v>7939</v>
      </c>
      <c r="E28" s="133" t="s">
        <v>83</v>
      </c>
      <c r="F28" s="133" t="s">
        <v>7897</v>
      </c>
      <c r="G28" s="133" t="s">
        <v>8765</v>
      </c>
      <c r="H28" s="133" t="s">
        <v>8747</v>
      </c>
      <c r="R28" s="64" t="s">
        <v>8821</v>
      </c>
      <c r="S28" s="23"/>
      <c r="T28" s="64" t="s">
        <v>8822</v>
      </c>
      <c r="U28" s="64">
        <f>COUNTIFS('1.아이디어LIST'!$G$11:G1063,'(참고)재직자'!T28)</f>
        <v>0</v>
      </c>
    </row>
    <row r="29" spans="1:21">
      <c r="A29" s="214" t="s">
        <v>8823</v>
      </c>
      <c r="B29" s="214" t="s">
        <v>8824</v>
      </c>
      <c r="C29" s="133" t="s">
        <v>794</v>
      </c>
      <c r="D29" s="133" t="s">
        <v>8825</v>
      </c>
      <c r="E29" s="133" t="s">
        <v>83</v>
      </c>
      <c r="F29" s="133" t="s">
        <v>7897</v>
      </c>
      <c r="G29" s="133" t="s">
        <v>8826</v>
      </c>
      <c r="H29" s="133" t="s">
        <v>8747</v>
      </c>
      <c r="R29" s="23"/>
      <c r="S29" s="23"/>
      <c r="T29" s="64" t="s">
        <v>5241</v>
      </c>
      <c r="U29" s="64">
        <f>COUNTIFS('1.아이디어LIST'!$G$11:G1064,'(참고)재직자'!T29)</f>
        <v>0</v>
      </c>
    </row>
    <row r="30" spans="1:21">
      <c r="A30" s="214" t="s">
        <v>8827</v>
      </c>
      <c r="B30" s="214" t="s">
        <v>8828</v>
      </c>
      <c r="C30" s="133" t="s">
        <v>9</v>
      </c>
      <c r="D30" s="133" t="s">
        <v>5241</v>
      </c>
      <c r="E30" s="133" t="s">
        <v>83</v>
      </c>
      <c r="F30" s="133" t="s">
        <v>7897</v>
      </c>
      <c r="G30" s="133" t="s">
        <v>8829</v>
      </c>
      <c r="H30" s="133" t="s">
        <v>8747</v>
      </c>
      <c r="R30" s="23"/>
      <c r="S30" s="23"/>
      <c r="T30" s="64" t="s">
        <v>5149</v>
      </c>
      <c r="U30" s="64">
        <f>COUNTIFS('1.아이디어LIST'!$G$11:G1065,'(참고)재직자'!T30)</f>
        <v>1</v>
      </c>
    </row>
    <row r="31" spans="1:21">
      <c r="A31" s="214" t="s">
        <v>8830</v>
      </c>
      <c r="B31" s="214" t="s">
        <v>8831</v>
      </c>
      <c r="C31" s="133" t="s">
        <v>2146</v>
      </c>
      <c r="D31" s="133" t="s">
        <v>2197</v>
      </c>
      <c r="E31" s="133" t="s">
        <v>83</v>
      </c>
      <c r="F31" s="133" t="s">
        <v>7897</v>
      </c>
      <c r="G31" s="133" t="s">
        <v>8765</v>
      </c>
      <c r="H31" s="133" t="s">
        <v>8747</v>
      </c>
      <c r="R31" s="23"/>
      <c r="S31" s="23"/>
      <c r="T31" s="64" t="s">
        <v>8832</v>
      </c>
      <c r="U31" s="64">
        <f>COUNTIFS('1.아이디어LIST'!$G$11:G1066,'(참고)재직자'!T31)</f>
        <v>0</v>
      </c>
    </row>
    <row r="32" spans="1:21">
      <c r="A32" s="214" t="s">
        <v>8833</v>
      </c>
      <c r="B32" s="214" t="s">
        <v>8834</v>
      </c>
      <c r="C32" s="133" t="s">
        <v>2146</v>
      </c>
      <c r="D32" s="133" t="s">
        <v>2197</v>
      </c>
      <c r="E32" s="133" t="s">
        <v>83</v>
      </c>
      <c r="F32" s="133" t="s">
        <v>7897</v>
      </c>
      <c r="G32" s="133" t="s">
        <v>8765</v>
      </c>
      <c r="H32" s="133" t="s">
        <v>8747</v>
      </c>
      <c r="R32" s="23"/>
      <c r="S32" s="23"/>
      <c r="T32" s="64" t="s">
        <v>4383</v>
      </c>
      <c r="U32" s="64">
        <f>COUNTIFS('1.아이디어LIST'!$G$11:G1067,'(참고)재직자'!T32)</f>
        <v>11</v>
      </c>
    </row>
    <row r="33" spans="1:21">
      <c r="A33" s="214" t="s">
        <v>8835</v>
      </c>
      <c r="B33" s="214" t="s">
        <v>8836</v>
      </c>
      <c r="C33" s="133" t="s">
        <v>2146</v>
      </c>
      <c r="D33" s="133" t="s">
        <v>2197</v>
      </c>
      <c r="E33" s="133" t="s">
        <v>83</v>
      </c>
      <c r="F33" s="133" t="s">
        <v>7897</v>
      </c>
      <c r="G33" s="133" t="s">
        <v>8746</v>
      </c>
      <c r="H33" s="133" t="s">
        <v>8747</v>
      </c>
      <c r="R33" s="23"/>
      <c r="S33" s="23"/>
      <c r="T33" s="64" t="s">
        <v>4394</v>
      </c>
      <c r="U33" s="64">
        <f>COUNTIFS('1.아이디어LIST'!$G$11:G1068,'(참고)재직자'!T33)</f>
        <v>1</v>
      </c>
    </row>
    <row r="34" spans="1:21">
      <c r="A34" s="214" t="s">
        <v>8837</v>
      </c>
      <c r="B34" s="214" t="s">
        <v>8838</v>
      </c>
      <c r="C34" s="133" t="s">
        <v>2146</v>
      </c>
      <c r="D34" s="133" t="s">
        <v>8839</v>
      </c>
      <c r="E34" s="133" t="s">
        <v>83</v>
      </c>
      <c r="F34" s="133" t="s">
        <v>8840</v>
      </c>
      <c r="G34" s="133" t="s">
        <v>8746</v>
      </c>
      <c r="H34" s="133" t="s">
        <v>8747</v>
      </c>
      <c r="R34" s="23"/>
      <c r="S34" s="23"/>
      <c r="T34" s="64" t="s">
        <v>4636</v>
      </c>
      <c r="U34" s="64">
        <f>COUNTIFS('1.아이디어LIST'!$G$11:G1069,'(참고)재직자'!T34)</f>
        <v>10</v>
      </c>
    </row>
    <row r="35" spans="1:21">
      <c r="A35" s="214" t="s">
        <v>8841</v>
      </c>
      <c r="B35" s="214" t="s">
        <v>8842</v>
      </c>
      <c r="C35" s="133" t="s">
        <v>8</v>
      </c>
      <c r="D35" s="133" t="s">
        <v>1522</v>
      </c>
      <c r="E35" s="133" t="s">
        <v>63</v>
      </c>
      <c r="F35" s="133" t="s">
        <v>338</v>
      </c>
      <c r="G35" s="133" t="s">
        <v>8820</v>
      </c>
      <c r="H35" s="133" t="s">
        <v>8747</v>
      </c>
      <c r="R35" s="23"/>
      <c r="S35" s="23"/>
      <c r="T35" s="64" t="s">
        <v>4789</v>
      </c>
      <c r="U35" s="64">
        <f>COUNTIFS('1.아이디어LIST'!$G$11:G1070,'(참고)재직자'!T35)</f>
        <v>6</v>
      </c>
    </row>
    <row r="36" spans="1:21">
      <c r="A36" s="214" t="s">
        <v>8843</v>
      </c>
      <c r="B36" s="214" t="s">
        <v>8844</v>
      </c>
      <c r="C36" s="133" t="s">
        <v>8</v>
      </c>
      <c r="D36" s="133" t="s">
        <v>818</v>
      </c>
      <c r="E36" s="133" t="s">
        <v>63</v>
      </c>
      <c r="F36" s="133" t="s">
        <v>338</v>
      </c>
      <c r="G36" s="133" t="s">
        <v>8820</v>
      </c>
      <c r="H36" s="133" t="s">
        <v>8747</v>
      </c>
      <c r="R36" s="23"/>
      <c r="S36" s="23"/>
      <c r="T36" s="64" t="s">
        <v>4484</v>
      </c>
      <c r="U36" s="64">
        <f>COUNTIFS('1.아이디어LIST'!$G$11:G1071,'(참고)재직자'!T36)</f>
        <v>3</v>
      </c>
    </row>
    <row r="37" spans="1:21">
      <c r="A37" s="214" t="s">
        <v>2747</v>
      </c>
      <c r="B37" s="214" t="s">
        <v>2748</v>
      </c>
      <c r="C37" s="133" t="s">
        <v>8</v>
      </c>
      <c r="D37" s="133" t="s">
        <v>2076</v>
      </c>
      <c r="E37" s="133" t="s">
        <v>63</v>
      </c>
      <c r="F37" s="133" t="s">
        <v>338</v>
      </c>
      <c r="G37" s="133" t="s">
        <v>8820</v>
      </c>
      <c r="H37" s="133" t="s">
        <v>8747</v>
      </c>
      <c r="R37" s="23"/>
      <c r="S37" s="23"/>
      <c r="T37" s="64" t="s">
        <v>4497</v>
      </c>
      <c r="U37" s="64">
        <f>COUNTIFS('1.아이디어LIST'!$G$11:G1072,'(참고)재직자'!T37)</f>
        <v>4</v>
      </c>
    </row>
    <row r="38" spans="1:21">
      <c r="A38" s="214" t="s">
        <v>8845</v>
      </c>
      <c r="B38" s="214" t="s">
        <v>8846</v>
      </c>
      <c r="C38" s="133" t="s">
        <v>8</v>
      </c>
      <c r="D38" s="133" t="s">
        <v>154</v>
      </c>
      <c r="E38" s="133" t="s">
        <v>63</v>
      </c>
      <c r="F38" s="133" t="s">
        <v>338</v>
      </c>
      <c r="G38" s="133" t="s">
        <v>8820</v>
      </c>
      <c r="H38" s="133" t="s">
        <v>8747</v>
      </c>
      <c r="R38" s="23"/>
      <c r="S38" s="23"/>
      <c r="T38" s="64" t="s">
        <v>8847</v>
      </c>
      <c r="U38" s="64">
        <f>COUNTIFS('1.아이디어LIST'!$G$11:G1073,'(참고)재직자'!T38)</f>
        <v>0</v>
      </c>
    </row>
    <row r="39" spans="1:21">
      <c r="A39" s="214" t="s">
        <v>8848</v>
      </c>
      <c r="B39" s="214" t="s">
        <v>834</v>
      </c>
      <c r="C39" s="133" t="s">
        <v>8</v>
      </c>
      <c r="D39" s="133" t="s">
        <v>1132</v>
      </c>
      <c r="E39" s="133" t="s">
        <v>63</v>
      </c>
      <c r="F39" s="133" t="s">
        <v>338</v>
      </c>
      <c r="G39" s="133" t="s">
        <v>8820</v>
      </c>
      <c r="H39" s="133" t="s">
        <v>8747</v>
      </c>
      <c r="R39" s="23"/>
      <c r="S39" s="23" t="s">
        <v>8849</v>
      </c>
      <c r="T39" s="64" t="s">
        <v>248</v>
      </c>
      <c r="U39" s="64">
        <f>COUNTIFS('1.아이디어LIST'!$G$11:G1074,'(참고)재직자'!T39)</f>
        <v>22</v>
      </c>
    </row>
    <row r="40" spans="1:21">
      <c r="A40" s="214" t="s">
        <v>8850</v>
      </c>
      <c r="B40" s="214" t="s">
        <v>8851</v>
      </c>
      <c r="C40" s="133" t="s">
        <v>8</v>
      </c>
      <c r="D40" s="133" t="s">
        <v>1041</v>
      </c>
      <c r="E40" s="133" t="s">
        <v>63</v>
      </c>
      <c r="F40" s="133" t="s">
        <v>338</v>
      </c>
      <c r="G40" s="133" t="s">
        <v>8820</v>
      </c>
      <c r="H40" s="133" t="s">
        <v>8747</v>
      </c>
      <c r="R40" s="23"/>
      <c r="S40" s="23"/>
      <c r="T40" s="64" t="s">
        <v>339</v>
      </c>
      <c r="U40" s="64">
        <f>COUNTIFS('1.아이디어LIST'!$G$11:G1075,'(참고)재직자'!T40)</f>
        <v>44</v>
      </c>
    </row>
    <row r="41" spans="1:21">
      <c r="A41" s="214" t="s">
        <v>8852</v>
      </c>
      <c r="B41" s="214" t="s">
        <v>8853</v>
      </c>
      <c r="C41" s="133" t="s">
        <v>8</v>
      </c>
      <c r="D41" s="133" t="s">
        <v>1368</v>
      </c>
      <c r="E41" s="133" t="s">
        <v>63</v>
      </c>
      <c r="F41" s="133" t="s">
        <v>338</v>
      </c>
      <c r="G41" s="133" t="s">
        <v>8820</v>
      </c>
      <c r="H41" s="133" t="s">
        <v>8747</v>
      </c>
      <c r="R41" s="23"/>
      <c r="S41" s="23"/>
      <c r="T41" s="64" t="s">
        <v>477</v>
      </c>
      <c r="U41" s="64">
        <f>COUNTIFS('1.아이디어LIST'!$G$11:G1076,'(참고)재직자'!T41)</f>
        <v>5</v>
      </c>
    </row>
    <row r="42" spans="1:21">
      <c r="A42" s="214" t="s">
        <v>2298</v>
      </c>
      <c r="B42" s="214" t="s">
        <v>2300</v>
      </c>
      <c r="C42" s="133" t="s">
        <v>8</v>
      </c>
      <c r="D42" s="133" t="s">
        <v>2299</v>
      </c>
      <c r="E42" s="133" t="s">
        <v>63</v>
      </c>
      <c r="F42" s="133" t="s">
        <v>338</v>
      </c>
      <c r="G42" s="133" t="s">
        <v>8820</v>
      </c>
      <c r="H42" s="133" t="s">
        <v>8747</v>
      </c>
      <c r="R42" s="23"/>
      <c r="S42" s="23"/>
      <c r="T42" s="64" t="s">
        <v>456</v>
      </c>
      <c r="U42" s="64">
        <f>COUNTIFS('1.아이디어LIST'!$G$11:G1077,'(참고)재직자'!T42)</f>
        <v>10</v>
      </c>
    </row>
    <row r="43" spans="1:21">
      <c r="A43" s="214" t="s">
        <v>8854</v>
      </c>
      <c r="B43" s="214" t="s">
        <v>8855</v>
      </c>
      <c r="C43" s="133" t="s">
        <v>10</v>
      </c>
      <c r="D43" s="133" t="s">
        <v>6148</v>
      </c>
      <c r="E43" s="133" t="s">
        <v>63</v>
      </c>
      <c r="F43" s="133" t="s">
        <v>338</v>
      </c>
      <c r="G43" s="133" t="s">
        <v>8820</v>
      </c>
      <c r="H43" s="133" t="s">
        <v>8747</v>
      </c>
      <c r="R43" s="23"/>
      <c r="S43" s="23"/>
      <c r="T43" s="64" t="s">
        <v>910</v>
      </c>
      <c r="U43" s="64">
        <f>COUNTIFS('1.아이디어LIST'!$G$11:G1077,'(참고)재직자'!T43)</f>
        <v>26</v>
      </c>
    </row>
    <row r="44" spans="1:21">
      <c r="A44" s="214" t="s">
        <v>8856</v>
      </c>
      <c r="B44" s="214" t="s">
        <v>8857</v>
      </c>
      <c r="C44" s="133" t="s">
        <v>8</v>
      </c>
      <c r="D44" s="133" t="s">
        <v>8858</v>
      </c>
      <c r="E44" s="133" t="s">
        <v>83</v>
      </c>
      <c r="F44" s="133" t="s">
        <v>338</v>
      </c>
      <c r="G44" s="133" t="s">
        <v>8765</v>
      </c>
      <c r="H44" s="133" t="s">
        <v>8747</v>
      </c>
      <c r="R44" s="23"/>
      <c r="S44" s="23"/>
      <c r="T44" s="64" t="s">
        <v>895</v>
      </c>
      <c r="U44" s="64">
        <f>COUNTIFS('1.아이디어LIST'!$G$11:G1078,'(참고)재직자'!T44)</f>
        <v>1</v>
      </c>
    </row>
    <row r="45" spans="1:21">
      <c r="A45" s="214" t="s">
        <v>8859</v>
      </c>
      <c r="B45" s="214" t="s">
        <v>8860</v>
      </c>
      <c r="C45" s="133" t="s">
        <v>237</v>
      </c>
      <c r="D45" s="133" t="s">
        <v>290</v>
      </c>
      <c r="E45" s="133" t="s">
        <v>83</v>
      </c>
      <c r="F45" s="133" t="s">
        <v>338</v>
      </c>
      <c r="G45" s="133" t="s">
        <v>300</v>
      </c>
      <c r="H45" s="133" t="s">
        <v>8747</v>
      </c>
      <c r="R45" s="23"/>
      <c r="S45" s="23"/>
      <c r="T45" s="64" t="s">
        <v>1286</v>
      </c>
      <c r="U45" s="64">
        <f>COUNTIFS('1.아이디어LIST'!$G$11:G1079,'(참고)재직자'!T45)</f>
        <v>14</v>
      </c>
    </row>
    <row r="46" spans="1:21">
      <c r="A46" s="214" t="s">
        <v>2207</v>
      </c>
      <c r="B46" s="214" t="s">
        <v>2209</v>
      </c>
      <c r="C46" s="133" t="s">
        <v>399</v>
      </c>
      <c r="D46" s="133" t="s">
        <v>2208</v>
      </c>
      <c r="E46" s="133" t="s">
        <v>83</v>
      </c>
      <c r="F46" s="133" t="s">
        <v>338</v>
      </c>
      <c r="G46" s="133" t="s">
        <v>8755</v>
      </c>
      <c r="H46" s="133" t="s">
        <v>8747</v>
      </c>
      <c r="R46" s="23"/>
      <c r="S46" s="23"/>
      <c r="T46" s="64" t="s">
        <v>96</v>
      </c>
      <c r="U46" s="64">
        <f>COUNTIFS('1.아이디어LIST'!$G$11:G1080,'(참고)재직자'!T46)</f>
        <v>25</v>
      </c>
    </row>
    <row r="47" spans="1:21">
      <c r="A47" s="214" t="s">
        <v>4954</v>
      </c>
      <c r="B47" s="214" t="s">
        <v>4955</v>
      </c>
      <c r="C47" s="133" t="s">
        <v>10</v>
      </c>
      <c r="D47" s="133" t="s">
        <v>4163</v>
      </c>
      <c r="E47" s="133" t="s">
        <v>83</v>
      </c>
      <c r="F47" s="133" t="s">
        <v>338</v>
      </c>
      <c r="G47" s="133" t="s">
        <v>8861</v>
      </c>
      <c r="H47" s="133" t="s">
        <v>8747</v>
      </c>
      <c r="R47" s="23"/>
      <c r="S47" s="23"/>
      <c r="T47" s="64" t="s">
        <v>932</v>
      </c>
      <c r="U47" s="64">
        <f>COUNTIFS('1.아이디어LIST'!$G$11:G1081,'(참고)재직자'!T47)</f>
        <v>15</v>
      </c>
    </row>
    <row r="48" spans="1:21">
      <c r="A48" s="214" t="s">
        <v>8862</v>
      </c>
      <c r="B48" s="214" t="s">
        <v>8863</v>
      </c>
      <c r="C48" s="133" t="s">
        <v>399</v>
      </c>
      <c r="D48" s="133" t="s">
        <v>5690</v>
      </c>
      <c r="E48" s="133" t="s">
        <v>83</v>
      </c>
      <c r="F48" s="133" t="s">
        <v>338</v>
      </c>
      <c r="G48" s="133" t="s">
        <v>8808</v>
      </c>
      <c r="H48" s="133" t="s">
        <v>8747</v>
      </c>
      <c r="R48" s="23"/>
      <c r="S48" s="23"/>
      <c r="T48" s="64" t="s">
        <v>918</v>
      </c>
      <c r="U48" s="64">
        <f>COUNTIFS('1.아이디어LIST'!$G$11:G1082,'(참고)재직자'!T48)</f>
        <v>14</v>
      </c>
    </row>
    <row r="49" spans="1:21">
      <c r="A49" s="214" t="s">
        <v>8864</v>
      </c>
      <c r="B49" s="214" t="s">
        <v>8865</v>
      </c>
      <c r="C49" s="133" t="s">
        <v>10</v>
      </c>
      <c r="D49" s="133" t="s">
        <v>6012</v>
      </c>
      <c r="E49" s="133" t="s">
        <v>63</v>
      </c>
      <c r="F49" s="133" t="s">
        <v>338</v>
      </c>
      <c r="G49" s="133" t="s">
        <v>8820</v>
      </c>
      <c r="H49" s="133" t="s">
        <v>8747</v>
      </c>
      <c r="R49" s="23"/>
      <c r="S49" s="23"/>
      <c r="T49" s="64" t="s">
        <v>809</v>
      </c>
      <c r="U49" s="64">
        <f>COUNTIFS('1.아이디어LIST'!$G$11:G1083,'(참고)재직자'!T49)</f>
        <v>21</v>
      </c>
    </row>
    <row r="50" spans="1:21">
      <c r="A50" s="214" t="s">
        <v>8866</v>
      </c>
      <c r="B50" s="214" t="s">
        <v>8867</v>
      </c>
      <c r="C50" s="133" t="s">
        <v>8</v>
      </c>
      <c r="D50" s="133" t="s">
        <v>8868</v>
      </c>
      <c r="E50" s="133" t="s">
        <v>63</v>
      </c>
      <c r="F50" s="133" t="s">
        <v>338</v>
      </c>
      <c r="G50" s="133" t="s">
        <v>8820</v>
      </c>
      <c r="H50" s="133" t="s">
        <v>8747</v>
      </c>
      <c r="R50" s="23"/>
      <c r="S50" s="23"/>
      <c r="T50" s="64" t="s">
        <v>8869</v>
      </c>
      <c r="U50" s="64">
        <f>COUNTIFS('1.아이디어LIST'!$G$11:G1084,'(참고)재직자'!T50)</f>
        <v>0</v>
      </c>
    </row>
    <row r="51" spans="1:21">
      <c r="A51" s="214" t="s">
        <v>2460</v>
      </c>
      <c r="B51" s="214" t="s">
        <v>2461</v>
      </c>
      <c r="C51" s="133" t="s">
        <v>8</v>
      </c>
      <c r="D51" s="133" t="s">
        <v>2214</v>
      </c>
      <c r="E51" s="133" t="s">
        <v>63</v>
      </c>
      <c r="F51" s="133" t="s">
        <v>338</v>
      </c>
      <c r="G51" s="133" t="s">
        <v>8820</v>
      </c>
      <c r="H51" s="133" t="s">
        <v>8747</v>
      </c>
      <c r="R51" s="23"/>
      <c r="S51" s="23"/>
      <c r="T51" s="64" t="s">
        <v>8870</v>
      </c>
      <c r="U51" s="64">
        <f>COUNTIFS('1.아이디어LIST'!$G$11:G1085,'(참고)재직자'!T51)</f>
        <v>0</v>
      </c>
    </row>
    <row r="52" spans="1:21">
      <c r="A52" s="214" t="s">
        <v>2498</v>
      </c>
      <c r="B52" s="214" t="s">
        <v>2499</v>
      </c>
      <c r="C52" s="133" t="s">
        <v>8</v>
      </c>
      <c r="D52" s="133" t="s">
        <v>1562</v>
      </c>
      <c r="E52" s="133" t="s">
        <v>63</v>
      </c>
      <c r="F52" s="133" t="s">
        <v>338</v>
      </c>
      <c r="G52" s="133" t="s">
        <v>8820</v>
      </c>
      <c r="H52" s="133" t="s">
        <v>8747</v>
      </c>
      <c r="R52" s="23"/>
      <c r="S52" s="23"/>
      <c r="T52" s="64" t="s">
        <v>8871</v>
      </c>
      <c r="U52" s="64">
        <f>COUNTIFS('1.아이디어LIST'!$G$11:G1086,'(참고)재직자'!T52)</f>
        <v>0</v>
      </c>
    </row>
    <row r="53" spans="1:21">
      <c r="A53" s="214" t="s">
        <v>756</v>
      </c>
      <c r="B53" s="214" t="s">
        <v>758</v>
      </c>
      <c r="C53" s="133" t="s">
        <v>8</v>
      </c>
      <c r="D53" s="133" t="s">
        <v>757</v>
      </c>
      <c r="E53" s="133" t="s">
        <v>63</v>
      </c>
      <c r="F53" s="133" t="s">
        <v>338</v>
      </c>
      <c r="G53" s="133" t="s">
        <v>8820</v>
      </c>
      <c r="H53" s="133" t="s">
        <v>8747</v>
      </c>
      <c r="R53" s="23"/>
      <c r="S53" s="23"/>
      <c r="T53" s="64" t="s">
        <v>8872</v>
      </c>
      <c r="U53" s="64">
        <f>COUNTIFS('1.아이디어LIST'!$G$11:G1087,'(참고)재직자'!T53)</f>
        <v>0</v>
      </c>
    </row>
    <row r="54" spans="1:21">
      <c r="A54" s="214" t="s">
        <v>8873</v>
      </c>
      <c r="B54" s="214" t="s">
        <v>8874</v>
      </c>
      <c r="C54" s="133" t="s">
        <v>10</v>
      </c>
      <c r="D54" s="133" t="s">
        <v>8875</v>
      </c>
      <c r="E54" s="133" t="s">
        <v>63</v>
      </c>
      <c r="F54" s="133" t="s">
        <v>338</v>
      </c>
      <c r="G54" s="133" t="s">
        <v>8820</v>
      </c>
      <c r="H54" s="133" t="s">
        <v>8747</v>
      </c>
      <c r="R54" s="23"/>
      <c r="S54" s="23"/>
      <c r="T54" s="64" t="s">
        <v>8876</v>
      </c>
      <c r="U54" s="64">
        <f>COUNTIFS('1.아이디어LIST'!$G$11:G1088,'(참고)재직자'!T54)</f>
        <v>0</v>
      </c>
    </row>
    <row r="55" spans="1:21">
      <c r="A55" s="214" t="s">
        <v>3675</v>
      </c>
      <c r="B55" s="214" t="s">
        <v>3677</v>
      </c>
      <c r="C55" s="133" t="s">
        <v>10</v>
      </c>
      <c r="D55" s="133" t="s">
        <v>3676</v>
      </c>
      <c r="E55" s="133" t="s">
        <v>63</v>
      </c>
      <c r="F55" s="133" t="s">
        <v>338</v>
      </c>
      <c r="G55" s="133" t="s">
        <v>8820</v>
      </c>
      <c r="H55" s="133" t="s">
        <v>8747</v>
      </c>
      <c r="R55" s="23"/>
      <c r="S55" s="23"/>
      <c r="T55" s="64" t="s">
        <v>8877</v>
      </c>
      <c r="U55" s="64">
        <f>COUNTIFS('1.아이디어LIST'!$G$11:G1089,'(참고)재직자'!T55)</f>
        <v>0</v>
      </c>
    </row>
    <row r="56" spans="1:21">
      <c r="A56" s="214" t="s">
        <v>8878</v>
      </c>
      <c r="B56" s="214" t="s">
        <v>8879</v>
      </c>
      <c r="C56" s="133" t="s">
        <v>8</v>
      </c>
      <c r="D56" s="133" t="s">
        <v>8880</v>
      </c>
      <c r="E56" s="133" t="s">
        <v>63</v>
      </c>
      <c r="F56" s="133" t="s">
        <v>338</v>
      </c>
      <c r="G56" s="133" t="s">
        <v>8820</v>
      </c>
      <c r="H56" s="133" t="s">
        <v>8747</v>
      </c>
      <c r="R56" s="23"/>
      <c r="S56" s="23"/>
      <c r="T56" s="64" t="s">
        <v>8881</v>
      </c>
      <c r="U56" s="64">
        <f>COUNTIFS('1.아이디어LIST'!$G$11:G1090,'(참고)재직자'!T56)</f>
        <v>0</v>
      </c>
    </row>
    <row r="57" spans="1:21">
      <c r="A57" s="214" t="s">
        <v>8882</v>
      </c>
      <c r="B57" s="214" t="s">
        <v>8883</v>
      </c>
      <c r="C57" s="133" t="s">
        <v>8</v>
      </c>
      <c r="D57" s="133" t="s">
        <v>8884</v>
      </c>
      <c r="E57" s="133" t="s">
        <v>63</v>
      </c>
      <c r="F57" s="133" t="s">
        <v>338</v>
      </c>
      <c r="G57" s="133" t="s">
        <v>8820</v>
      </c>
      <c r="H57" s="133" t="s">
        <v>8747</v>
      </c>
      <c r="R57" s="23"/>
      <c r="S57" s="23"/>
      <c r="T57" s="64" t="s">
        <v>8885</v>
      </c>
      <c r="U57" s="64">
        <f>COUNTIFS('1.아이디어LIST'!$G$11:G1091,'(참고)재직자'!T57)</f>
        <v>0</v>
      </c>
    </row>
    <row r="58" spans="1:21">
      <c r="A58" s="214" t="s">
        <v>8886</v>
      </c>
      <c r="B58" s="214" t="s">
        <v>8887</v>
      </c>
      <c r="C58" s="133" t="s">
        <v>8</v>
      </c>
      <c r="D58" s="133" t="s">
        <v>1398</v>
      </c>
      <c r="E58" s="133" t="s">
        <v>63</v>
      </c>
      <c r="F58" s="133" t="s">
        <v>338</v>
      </c>
      <c r="G58" s="133" t="s">
        <v>8820</v>
      </c>
      <c r="H58" s="133" t="s">
        <v>8747</v>
      </c>
      <c r="R58" s="23"/>
      <c r="S58" s="23"/>
      <c r="T58" s="64" t="s">
        <v>8888</v>
      </c>
      <c r="U58" s="64">
        <f>COUNTIFS('1.아이디어LIST'!$G$11:G1092,'(참고)재직자'!T58)</f>
        <v>0</v>
      </c>
    </row>
    <row r="59" spans="1:21">
      <c r="A59" s="214" t="s">
        <v>1674</v>
      </c>
      <c r="B59" s="214" t="s">
        <v>1675</v>
      </c>
      <c r="C59" s="133" t="s">
        <v>8</v>
      </c>
      <c r="D59" s="133" t="s">
        <v>1406</v>
      </c>
      <c r="E59" s="133" t="s">
        <v>63</v>
      </c>
      <c r="F59" s="133" t="s">
        <v>338</v>
      </c>
      <c r="G59" s="133" t="s">
        <v>8820</v>
      </c>
      <c r="H59" s="133" t="s">
        <v>8747</v>
      </c>
      <c r="R59" s="23"/>
      <c r="S59" s="23"/>
      <c r="T59" s="64" t="s">
        <v>8889</v>
      </c>
      <c r="U59" s="64">
        <f>COUNTIFS('1.아이디어LIST'!$G$11:G1093,'(참고)재직자'!T59)</f>
        <v>0</v>
      </c>
    </row>
    <row r="60" spans="1:21">
      <c r="A60" s="214" t="s">
        <v>3132</v>
      </c>
      <c r="B60" s="214" t="s">
        <v>3133</v>
      </c>
      <c r="C60" s="133" t="s">
        <v>8</v>
      </c>
      <c r="D60" s="133" t="s">
        <v>2380</v>
      </c>
      <c r="E60" s="133" t="s">
        <v>63</v>
      </c>
      <c r="F60" s="133" t="s">
        <v>338</v>
      </c>
      <c r="G60" s="133" t="s">
        <v>8820</v>
      </c>
      <c r="H60" s="133" t="s">
        <v>8747</v>
      </c>
      <c r="R60" s="23"/>
      <c r="S60" s="23"/>
      <c r="T60" s="64" t="s">
        <v>8890</v>
      </c>
      <c r="U60" s="64">
        <f>COUNTIFS('1.아이디어LIST'!$G$11:G1094,'(참고)재직자'!T60)</f>
        <v>0</v>
      </c>
    </row>
    <row r="61" spans="1:21">
      <c r="A61" s="214" t="s">
        <v>8891</v>
      </c>
      <c r="B61" s="214" t="s">
        <v>8892</v>
      </c>
      <c r="C61" s="133" t="s">
        <v>10</v>
      </c>
      <c r="D61" s="133" t="s">
        <v>6381</v>
      </c>
      <c r="E61" s="133" t="s">
        <v>63</v>
      </c>
      <c r="F61" s="133" t="s">
        <v>338</v>
      </c>
      <c r="G61" s="133" t="s">
        <v>8820</v>
      </c>
      <c r="H61" s="133" t="s">
        <v>8747</v>
      </c>
      <c r="R61" s="23"/>
      <c r="S61" s="23"/>
      <c r="T61" s="64" t="s">
        <v>8893</v>
      </c>
      <c r="U61" s="64">
        <f>COUNTIFS('1.아이디어LIST'!$G$11:G1095,'(참고)재직자'!T61)</f>
        <v>0</v>
      </c>
    </row>
    <row r="62" spans="1:21">
      <c r="A62" s="214" t="s">
        <v>8894</v>
      </c>
      <c r="B62" s="214" t="s">
        <v>8895</v>
      </c>
      <c r="C62" s="133" t="s">
        <v>10</v>
      </c>
      <c r="D62" s="133" t="s">
        <v>4914</v>
      </c>
      <c r="E62" s="133" t="s">
        <v>63</v>
      </c>
      <c r="F62" s="133" t="s">
        <v>338</v>
      </c>
      <c r="G62" s="133" t="s">
        <v>8820</v>
      </c>
      <c r="H62" s="133" t="s">
        <v>8747</v>
      </c>
      <c r="R62" s="23"/>
      <c r="S62" s="23"/>
      <c r="T62" s="64" t="s">
        <v>8896</v>
      </c>
      <c r="U62" s="64">
        <f>COUNTIFS('1.아이디어LIST'!$G$11:G1096,'(참고)재직자'!T62)</f>
        <v>0</v>
      </c>
    </row>
    <row r="63" spans="1:21">
      <c r="A63" s="214" t="s">
        <v>8897</v>
      </c>
      <c r="B63" s="214" t="s">
        <v>8898</v>
      </c>
      <c r="C63" s="133" t="s">
        <v>8</v>
      </c>
      <c r="D63" s="133" t="s">
        <v>277</v>
      </c>
      <c r="E63" s="133" t="s">
        <v>63</v>
      </c>
      <c r="F63" s="133" t="s">
        <v>338</v>
      </c>
      <c r="G63" s="133" t="s">
        <v>8820</v>
      </c>
      <c r="H63" s="133" t="s">
        <v>8747</v>
      </c>
      <c r="R63" s="23"/>
      <c r="S63" s="23"/>
      <c r="T63" s="64" t="s">
        <v>8899</v>
      </c>
      <c r="U63" s="64">
        <f>COUNTIFS('1.아이디어LIST'!$G$11:G1097,'(참고)재직자'!T63)</f>
        <v>0</v>
      </c>
    </row>
    <row r="64" spans="1:21">
      <c r="A64" s="214" t="s">
        <v>8900</v>
      </c>
      <c r="B64" s="214" t="s">
        <v>8901</v>
      </c>
      <c r="C64" s="133" t="s">
        <v>10</v>
      </c>
      <c r="D64" s="133" t="s">
        <v>3855</v>
      </c>
      <c r="E64" s="133" t="s">
        <v>63</v>
      </c>
      <c r="F64" s="133" t="s">
        <v>338</v>
      </c>
      <c r="G64" s="133" t="s">
        <v>8820</v>
      </c>
      <c r="H64" s="133" t="s">
        <v>8747</v>
      </c>
      <c r="R64" s="23"/>
      <c r="S64" s="23"/>
      <c r="T64" s="64" t="s">
        <v>8902</v>
      </c>
      <c r="U64" s="64">
        <f>COUNTIFS('1.아이디어LIST'!$G$11:G1098,'(참고)재직자'!T64)</f>
        <v>0</v>
      </c>
    </row>
    <row r="65" spans="1:21">
      <c r="A65" s="214" t="s">
        <v>8903</v>
      </c>
      <c r="B65" s="214" t="s">
        <v>8904</v>
      </c>
      <c r="C65" s="133" t="s">
        <v>10</v>
      </c>
      <c r="D65" s="133" t="s">
        <v>8905</v>
      </c>
      <c r="E65" s="133" t="s">
        <v>63</v>
      </c>
      <c r="F65" s="133" t="s">
        <v>338</v>
      </c>
      <c r="G65" s="133" t="s">
        <v>8820</v>
      </c>
      <c r="H65" s="133" t="s">
        <v>8747</v>
      </c>
      <c r="R65" s="23"/>
      <c r="S65" s="23"/>
      <c r="T65" s="64" t="s">
        <v>8906</v>
      </c>
      <c r="U65" s="64">
        <f>COUNTIFS('1.아이디어LIST'!$G$11:G1099,'(참고)재직자'!T65)</f>
        <v>0</v>
      </c>
    </row>
    <row r="66" spans="1:21">
      <c r="A66" s="214" t="s">
        <v>8907</v>
      </c>
      <c r="B66" s="214" t="s">
        <v>8908</v>
      </c>
      <c r="C66" s="133" t="s">
        <v>10</v>
      </c>
      <c r="D66" s="133" t="s">
        <v>8909</v>
      </c>
      <c r="E66" s="133" t="s">
        <v>63</v>
      </c>
      <c r="F66" s="133" t="s">
        <v>338</v>
      </c>
      <c r="G66" s="133" t="s">
        <v>8820</v>
      </c>
      <c r="H66" s="133" t="s">
        <v>8747</v>
      </c>
      <c r="R66" s="23"/>
      <c r="S66" s="23"/>
      <c r="T66" s="64" t="s">
        <v>8910</v>
      </c>
      <c r="U66" s="64">
        <f>COUNTIFS('1.아이디어LIST'!$G$11:G1100,'(참고)재직자'!T66)</f>
        <v>0</v>
      </c>
    </row>
    <row r="67" spans="1:21">
      <c r="A67" s="214" t="s">
        <v>8911</v>
      </c>
      <c r="B67" s="214" t="s">
        <v>8912</v>
      </c>
      <c r="C67" s="133" t="s">
        <v>8</v>
      </c>
      <c r="D67" s="133" t="s">
        <v>1701</v>
      </c>
      <c r="E67" s="133" t="s">
        <v>63</v>
      </c>
      <c r="F67" s="133" t="s">
        <v>338</v>
      </c>
      <c r="G67" s="133" t="s">
        <v>8820</v>
      </c>
      <c r="H67" s="133" t="s">
        <v>8747</v>
      </c>
      <c r="R67" s="23"/>
      <c r="S67" s="23"/>
      <c r="T67" s="64" t="s">
        <v>8913</v>
      </c>
      <c r="U67" s="64">
        <f>COUNTIFS('1.아이디어LIST'!$G$11:G1101,'(참고)재직자'!T67)</f>
        <v>0</v>
      </c>
    </row>
    <row r="68" spans="1:21">
      <c r="A68" s="214" t="s">
        <v>8914</v>
      </c>
      <c r="B68" s="214" t="s">
        <v>8915</v>
      </c>
      <c r="C68" s="133" t="s">
        <v>10</v>
      </c>
      <c r="D68" s="133" t="s">
        <v>8916</v>
      </c>
      <c r="E68" s="133" t="s">
        <v>63</v>
      </c>
      <c r="F68" s="133" t="s">
        <v>338</v>
      </c>
      <c r="G68" s="133" t="s">
        <v>8820</v>
      </c>
      <c r="H68" s="133" t="s">
        <v>8747</v>
      </c>
      <c r="R68" s="23"/>
      <c r="S68" s="23"/>
      <c r="T68" s="64" t="s">
        <v>8917</v>
      </c>
      <c r="U68" s="64">
        <f>COUNTIFS('1.아이디어LIST'!$G$11:G1102,'(참고)재직자'!T68)</f>
        <v>0</v>
      </c>
    </row>
    <row r="69" spans="1:21">
      <c r="A69" s="214" t="s">
        <v>8918</v>
      </c>
      <c r="B69" s="214" t="s">
        <v>8919</v>
      </c>
      <c r="C69" s="133" t="s">
        <v>10</v>
      </c>
      <c r="D69" s="133" t="s">
        <v>5335</v>
      </c>
      <c r="E69" s="133" t="s">
        <v>63</v>
      </c>
      <c r="F69" s="133" t="s">
        <v>338</v>
      </c>
      <c r="G69" s="133" t="s">
        <v>8820</v>
      </c>
      <c r="H69" s="133" t="s">
        <v>8747</v>
      </c>
      <c r="R69" s="23"/>
      <c r="S69" s="23"/>
      <c r="T69" s="64" t="s">
        <v>8920</v>
      </c>
      <c r="U69" s="64">
        <f>COUNTIFS('1.아이디어LIST'!$G$11:G1103,'(참고)재직자'!T69)</f>
        <v>0</v>
      </c>
    </row>
    <row r="70" spans="1:21">
      <c r="A70" s="214" t="s">
        <v>8921</v>
      </c>
      <c r="B70" s="214" t="s">
        <v>8922</v>
      </c>
      <c r="C70" s="133" t="s">
        <v>10</v>
      </c>
      <c r="D70" s="133" t="s">
        <v>8923</v>
      </c>
      <c r="E70" s="133" t="s">
        <v>63</v>
      </c>
      <c r="F70" s="133" t="s">
        <v>338</v>
      </c>
      <c r="G70" s="133" t="s">
        <v>8820</v>
      </c>
      <c r="H70" s="133" t="s">
        <v>8747</v>
      </c>
      <c r="R70" s="23"/>
      <c r="S70" s="23"/>
      <c r="T70" s="64" t="s">
        <v>8924</v>
      </c>
      <c r="U70" s="64">
        <f>COUNTIFS('1.아이디어LIST'!$G$11:G1104,'(참고)재직자'!T70)</f>
        <v>0</v>
      </c>
    </row>
    <row r="71" spans="1:21">
      <c r="A71" s="214" t="s">
        <v>8925</v>
      </c>
      <c r="B71" s="214" t="s">
        <v>8926</v>
      </c>
      <c r="C71" s="133" t="s">
        <v>10</v>
      </c>
      <c r="D71" s="133" t="s">
        <v>8021</v>
      </c>
      <c r="E71" s="133" t="s">
        <v>63</v>
      </c>
      <c r="F71" s="133" t="s">
        <v>338</v>
      </c>
      <c r="G71" s="133" t="s">
        <v>8820</v>
      </c>
      <c r="H71" s="133" t="s">
        <v>8747</v>
      </c>
      <c r="R71" s="23"/>
      <c r="S71" s="23"/>
      <c r="T71" s="64" t="s">
        <v>8927</v>
      </c>
      <c r="U71" s="64">
        <f>COUNTIFS('1.아이디어LIST'!$G$11:G1105,'(참고)재직자'!T71)</f>
        <v>0</v>
      </c>
    </row>
    <row r="72" spans="1:21">
      <c r="A72" s="214" t="s">
        <v>8928</v>
      </c>
      <c r="B72" s="214" t="s">
        <v>8929</v>
      </c>
      <c r="C72" s="133" t="s">
        <v>10</v>
      </c>
      <c r="D72" s="133" t="s">
        <v>8930</v>
      </c>
      <c r="E72" s="133" t="s">
        <v>63</v>
      </c>
      <c r="F72" s="133" t="s">
        <v>338</v>
      </c>
      <c r="G72" s="133" t="s">
        <v>8820</v>
      </c>
      <c r="H72" s="133" t="s">
        <v>8747</v>
      </c>
      <c r="R72" s="23"/>
      <c r="S72" s="23"/>
      <c r="T72" s="64" t="s">
        <v>8931</v>
      </c>
      <c r="U72" s="64">
        <f>COUNTIFS('1.아이디어LIST'!$G$11:G1106,'(참고)재직자'!T72)</f>
        <v>0</v>
      </c>
    </row>
    <row r="73" spans="1:21">
      <c r="A73" s="214" t="s">
        <v>8932</v>
      </c>
      <c r="B73" s="214" t="s">
        <v>8933</v>
      </c>
      <c r="C73" s="133" t="s">
        <v>10</v>
      </c>
      <c r="D73" s="133" t="s">
        <v>6405</v>
      </c>
      <c r="E73" s="133" t="s">
        <v>63</v>
      </c>
      <c r="F73" s="133" t="s">
        <v>338</v>
      </c>
      <c r="G73" s="133" t="s">
        <v>8820</v>
      </c>
      <c r="H73" s="133" t="s">
        <v>8747</v>
      </c>
      <c r="R73" s="23"/>
      <c r="S73" s="23"/>
      <c r="T73" s="64" t="s">
        <v>8934</v>
      </c>
      <c r="U73" s="64">
        <f>COUNTIFS('1.아이디어LIST'!$G$11:G1107,'(참고)재직자'!T73)</f>
        <v>0</v>
      </c>
    </row>
    <row r="74" spans="1:21">
      <c r="A74" s="214" t="s">
        <v>8935</v>
      </c>
      <c r="B74" s="214" t="s">
        <v>8936</v>
      </c>
      <c r="C74" s="133" t="s">
        <v>10</v>
      </c>
      <c r="D74" s="133" t="s">
        <v>7390</v>
      </c>
      <c r="E74" s="133" t="s">
        <v>63</v>
      </c>
      <c r="F74" s="133" t="s">
        <v>338</v>
      </c>
      <c r="G74" s="133" t="s">
        <v>8820</v>
      </c>
      <c r="H74" s="133" t="s">
        <v>8747</v>
      </c>
      <c r="R74" s="23"/>
      <c r="S74" s="23"/>
      <c r="T74" s="64" t="s">
        <v>8937</v>
      </c>
      <c r="U74" s="64">
        <f>COUNTIFS('1.아이디어LIST'!$G$11:G1108,'(참고)재직자'!T74)</f>
        <v>0</v>
      </c>
    </row>
    <row r="75" spans="1:21">
      <c r="A75" s="214" t="s">
        <v>8938</v>
      </c>
      <c r="B75" s="214" t="s">
        <v>8939</v>
      </c>
      <c r="C75" s="133" t="s">
        <v>10</v>
      </c>
      <c r="D75" s="133" t="s">
        <v>5293</v>
      </c>
      <c r="E75" s="133" t="s">
        <v>63</v>
      </c>
      <c r="F75" s="133" t="s">
        <v>338</v>
      </c>
      <c r="G75" s="133" t="s">
        <v>8820</v>
      </c>
      <c r="H75" s="133" t="s">
        <v>8747</v>
      </c>
      <c r="R75" s="23"/>
      <c r="S75" s="23"/>
      <c r="T75" s="64" t="s">
        <v>589</v>
      </c>
      <c r="U75" s="64">
        <f>COUNTIFS('1.아이디어LIST'!$G$11:G1109,'(참고)재직자'!T75)</f>
        <v>23</v>
      </c>
    </row>
    <row r="76" spans="1:21">
      <c r="A76" s="214" t="s">
        <v>8940</v>
      </c>
      <c r="B76" s="214" t="s">
        <v>8941</v>
      </c>
      <c r="C76" s="133" t="s">
        <v>10</v>
      </c>
      <c r="D76" s="133" t="s">
        <v>8942</v>
      </c>
      <c r="E76" s="133" t="s">
        <v>63</v>
      </c>
      <c r="F76" s="133" t="s">
        <v>338</v>
      </c>
      <c r="G76" s="133" t="s">
        <v>8820</v>
      </c>
      <c r="H76" s="133" t="s">
        <v>8747</v>
      </c>
      <c r="R76" s="23"/>
      <c r="S76" s="23"/>
      <c r="T76" s="64" t="s">
        <v>781</v>
      </c>
      <c r="U76" s="64">
        <f>COUNTIFS('1.아이디어LIST'!$G$11:G1110,'(참고)재직자'!T76)</f>
        <v>11</v>
      </c>
    </row>
    <row r="77" spans="1:21">
      <c r="A77" s="214" t="s">
        <v>8943</v>
      </c>
      <c r="B77" s="214" t="s">
        <v>8944</v>
      </c>
      <c r="C77" s="133" t="s">
        <v>10</v>
      </c>
      <c r="D77" s="133" t="s">
        <v>3198</v>
      </c>
      <c r="E77" s="133" t="s">
        <v>63</v>
      </c>
      <c r="F77" s="133" t="s">
        <v>338</v>
      </c>
      <c r="G77" s="133" t="s">
        <v>8820</v>
      </c>
      <c r="H77" s="133" t="s">
        <v>8747</v>
      </c>
      <c r="R77" s="23"/>
      <c r="S77" s="23"/>
      <c r="T77" s="64" t="s">
        <v>8945</v>
      </c>
      <c r="U77" s="64">
        <f>COUNTIFS('1.아이디어LIST'!$G$11:G1111,'(참고)재직자'!T77)</f>
        <v>0</v>
      </c>
    </row>
    <row r="78" spans="1:21">
      <c r="A78" s="214" t="s">
        <v>8946</v>
      </c>
      <c r="B78" s="214" t="s">
        <v>8947</v>
      </c>
      <c r="C78" s="133" t="s">
        <v>10</v>
      </c>
      <c r="D78" s="133" t="s">
        <v>8948</v>
      </c>
      <c r="E78" s="133" t="s">
        <v>63</v>
      </c>
      <c r="F78" s="133" t="s">
        <v>338</v>
      </c>
      <c r="G78" s="133" t="s">
        <v>8820</v>
      </c>
      <c r="H78" s="133" t="s">
        <v>8747</v>
      </c>
      <c r="R78" s="23"/>
      <c r="S78" s="23"/>
      <c r="T78" s="64" t="s">
        <v>8949</v>
      </c>
      <c r="U78" s="64">
        <f>COUNTIFS('1.아이디어LIST'!$G$11:G1112,'(참고)재직자'!T78)</f>
        <v>0</v>
      </c>
    </row>
    <row r="79" spans="1:21">
      <c r="A79" s="214" t="s">
        <v>8950</v>
      </c>
      <c r="B79" s="214" t="s">
        <v>8951</v>
      </c>
      <c r="C79" s="133" t="s">
        <v>10</v>
      </c>
      <c r="D79" s="133" t="s">
        <v>5893</v>
      </c>
      <c r="E79" s="133" t="s">
        <v>63</v>
      </c>
      <c r="F79" s="133" t="s">
        <v>338</v>
      </c>
      <c r="G79" s="133" t="s">
        <v>8820</v>
      </c>
      <c r="H79" s="133" t="s">
        <v>8747</v>
      </c>
      <c r="R79" s="23"/>
      <c r="S79" s="23"/>
      <c r="T79" s="64" t="s">
        <v>639</v>
      </c>
      <c r="U79" s="64">
        <f>COUNTIFS('1.아이디어LIST'!$G$11:G1113,'(참고)재직자'!T79)</f>
        <v>4</v>
      </c>
    </row>
    <row r="80" spans="1:21">
      <c r="A80" s="214" t="s">
        <v>1992</v>
      </c>
      <c r="B80" s="214" t="s">
        <v>1993</v>
      </c>
      <c r="C80" s="133" t="s">
        <v>8</v>
      </c>
      <c r="D80" s="133" t="s">
        <v>995</v>
      </c>
      <c r="E80" s="133" t="s">
        <v>63</v>
      </c>
      <c r="F80" s="133" t="s">
        <v>338</v>
      </c>
      <c r="G80" s="133" t="s">
        <v>8820</v>
      </c>
      <c r="H80" s="133" t="s">
        <v>8747</v>
      </c>
      <c r="R80" s="23"/>
      <c r="S80" s="23"/>
      <c r="T80" s="64" t="s">
        <v>488</v>
      </c>
      <c r="U80" s="64">
        <f>COUNTIFS('1.아이디어LIST'!$G$11:G1114,'(참고)재직자'!T80)</f>
        <v>11</v>
      </c>
    </row>
    <row r="81" spans="1:21">
      <c r="A81" s="214" t="s">
        <v>8952</v>
      </c>
      <c r="B81" s="214" t="s">
        <v>8953</v>
      </c>
      <c r="C81" s="133" t="s">
        <v>10</v>
      </c>
      <c r="D81" s="133" t="s">
        <v>5843</v>
      </c>
      <c r="E81" s="133" t="s">
        <v>63</v>
      </c>
      <c r="F81" s="133" t="s">
        <v>338</v>
      </c>
      <c r="G81" s="133" t="s">
        <v>8820</v>
      </c>
      <c r="H81" s="133" t="s">
        <v>8747</v>
      </c>
      <c r="R81" s="23"/>
      <c r="S81" s="23"/>
      <c r="T81" s="64" t="s">
        <v>669</v>
      </c>
      <c r="U81" s="64">
        <f>COUNTIFS('1.아이디어LIST'!$G$11:G1115,'(참고)재직자'!T81)</f>
        <v>13</v>
      </c>
    </row>
    <row r="82" spans="1:21">
      <c r="A82" s="214" t="s">
        <v>8954</v>
      </c>
      <c r="B82" s="214" t="s">
        <v>8955</v>
      </c>
      <c r="C82" s="133" t="s">
        <v>10</v>
      </c>
      <c r="D82" s="133" t="s">
        <v>8956</v>
      </c>
      <c r="E82" s="133" t="s">
        <v>63</v>
      </c>
      <c r="F82" s="133" t="s">
        <v>338</v>
      </c>
      <c r="G82" s="133" t="s">
        <v>8820</v>
      </c>
      <c r="H82" s="133" t="s">
        <v>8747</v>
      </c>
      <c r="R82" s="23"/>
      <c r="S82" s="23"/>
      <c r="T82" s="64" t="s">
        <v>8957</v>
      </c>
      <c r="U82" s="64">
        <f>COUNTIFS('1.아이디어LIST'!$G$11:G1116,'(참고)재직자'!T82)</f>
        <v>0</v>
      </c>
    </row>
    <row r="83" spans="1:21">
      <c r="A83" s="214" t="s">
        <v>8307</v>
      </c>
      <c r="B83" s="214" t="s">
        <v>8958</v>
      </c>
      <c r="C83" s="133" t="s">
        <v>10</v>
      </c>
      <c r="D83" s="133" t="s">
        <v>7955</v>
      </c>
      <c r="E83" s="133" t="s">
        <v>63</v>
      </c>
      <c r="F83" s="133" t="s">
        <v>338</v>
      </c>
      <c r="G83" s="133" t="s">
        <v>8820</v>
      </c>
      <c r="H83" s="133" t="s">
        <v>8747</v>
      </c>
      <c r="R83" s="23"/>
      <c r="S83" s="23"/>
      <c r="T83" s="64" t="s">
        <v>8959</v>
      </c>
      <c r="U83" s="64">
        <f>COUNTIFS('1.아이디어LIST'!$G$11:G1117,'(참고)재직자'!T83)</f>
        <v>0</v>
      </c>
    </row>
    <row r="84" spans="1:21">
      <c r="A84" s="214" t="s">
        <v>8960</v>
      </c>
      <c r="B84" s="214" t="s">
        <v>8961</v>
      </c>
      <c r="C84" s="133" t="s">
        <v>10</v>
      </c>
      <c r="D84" s="133" t="s">
        <v>6250</v>
      </c>
      <c r="E84" s="133" t="s">
        <v>63</v>
      </c>
      <c r="F84" s="133" t="s">
        <v>338</v>
      </c>
      <c r="G84" s="133" t="s">
        <v>8820</v>
      </c>
      <c r="H84" s="133" t="s">
        <v>8747</v>
      </c>
      <c r="R84" s="23"/>
      <c r="S84" s="23"/>
      <c r="T84" s="64" t="s">
        <v>8962</v>
      </c>
      <c r="U84" s="64">
        <f>COUNTIFS('1.아이디어LIST'!$G$11:G1118,'(참고)재직자'!T84)</f>
        <v>0</v>
      </c>
    </row>
    <row r="85" spans="1:21">
      <c r="A85" s="214" t="s">
        <v>8963</v>
      </c>
      <c r="B85" s="214" t="s">
        <v>8964</v>
      </c>
      <c r="C85" s="133" t="s">
        <v>8</v>
      </c>
      <c r="D85" s="133" t="s">
        <v>2054</v>
      </c>
      <c r="E85" s="133" t="s">
        <v>63</v>
      </c>
      <c r="F85" s="133" t="s">
        <v>338</v>
      </c>
      <c r="G85" s="133" t="s">
        <v>8820</v>
      </c>
      <c r="H85" s="133" t="s">
        <v>8747</v>
      </c>
      <c r="R85" s="23"/>
      <c r="S85" s="23"/>
      <c r="T85" s="64" t="s">
        <v>6871</v>
      </c>
      <c r="U85" s="64">
        <f>COUNTIFS('1.아이디어LIST'!$G$11:G1119,'(참고)재직자'!T85)</f>
        <v>0</v>
      </c>
    </row>
    <row r="86" spans="1:21">
      <c r="A86" s="214" t="s">
        <v>8965</v>
      </c>
      <c r="B86" s="214" t="s">
        <v>8966</v>
      </c>
      <c r="C86" s="133" t="s">
        <v>8</v>
      </c>
      <c r="D86" s="133" t="s">
        <v>1047</v>
      </c>
      <c r="E86" s="133" t="s">
        <v>63</v>
      </c>
      <c r="F86" s="133" t="s">
        <v>338</v>
      </c>
      <c r="G86" s="133" t="s">
        <v>8820</v>
      </c>
      <c r="H86" s="133" t="s">
        <v>8747</v>
      </c>
      <c r="R86" s="23"/>
      <c r="S86" s="23"/>
      <c r="T86" s="64" t="s">
        <v>8967</v>
      </c>
      <c r="U86" s="64">
        <f>COUNTIFS('1.아이디어LIST'!$G$11:G1120,'(참고)재직자'!T86)</f>
        <v>0</v>
      </c>
    </row>
    <row r="87" spans="1:21">
      <c r="A87" s="214" t="s">
        <v>4515</v>
      </c>
      <c r="B87" s="214" t="s">
        <v>4516</v>
      </c>
      <c r="C87" s="133" t="s">
        <v>9</v>
      </c>
      <c r="D87" s="133" t="s">
        <v>8968</v>
      </c>
      <c r="E87" s="133" t="s">
        <v>83</v>
      </c>
      <c r="F87" s="133" t="s">
        <v>338</v>
      </c>
      <c r="G87" s="133" t="s">
        <v>8776</v>
      </c>
      <c r="H87" s="133" t="s">
        <v>8747</v>
      </c>
      <c r="R87" s="23"/>
      <c r="S87" s="23"/>
      <c r="T87" s="64" t="s">
        <v>8969</v>
      </c>
      <c r="U87" s="64">
        <f>COUNTIFS('1.아이디어LIST'!$G$11:G1121,'(참고)재직자'!T87)</f>
        <v>0</v>
      </c>
    </row>
    <row r="88" spans="1:21">
      <c r="A88" s="214" t="s">
        <v>8970</v>
      </c>
      <c r="B88" s="214" t="s">
        <v>8971</v>
      </c>
      <c r="C88" s="133" t="s">
        <v>9</v>
      </c>
      <c r="D88" s="133" t="s">
        <v>4636</v>
      </c>
      <c r="E88" s="133" t="s">
        <v>83</v>
      </c>
      <c r="F88" s="133" t="s">
        <v>338</v>
      </c>
      <c r="G88" s="133" t="s">
        <v>8776</v>
      </c>
      <c r="H88" s="133" t="s">
        <v>8747</v>
      </c>
      <c r="R88" s="23"/>
      <c r="S88" s="23"/>
      <c r="T88" s="64" t="s">
        <v>2054</v>
      </c>
      <c r="U88" s="64">
        <f>COUNTIFS('1.아이디어LIST'!$G$11:G1122,'(참고)재직자'!T88)</f>
        <v>13</v>
      </c>
    </row>
    <row r="89" spans="1:21">
      <c r="A89" s="214" t="s">
        <v>8972</v>
      </c>
      <c r="B89" s="214" t="s">
        <v>8973</v>
      </c>
      <c r="C89" s="133" t="s">
        <v>8</v>
      </c>
      <c r="D89" s="133" t="s">
        <v>686</v>
      </c>
      <c r="E89" s="133" t="s">
        <v>63</v>
      </c>
      <c r="F89" s="133" t="s">
        <v>338</v>
      </c>
      <c r="G89" s="133" t="s">
        <v>8765</v>
      </c>
      <c r="H89" s="133" t="s">
        <v>8747</v>
      </c>
      <c r="R89" s="23"/>
      <c r="S89" s="23"/>
      <c r="T89" s="64" t="s">
        <v>3832</v>
      </c>
      <c r="U89" s="64">
        <f>COUNTIFS('1.아이디어LIST'!$G$11:G1123,'(참고)재직자'!T89)</f>
        <v>1</v>
      </c>
    </row>
    <row r="90" spans="1:21">
      <c r="A90" s="214" t="s">
        <v>4294</v>
      </c>
      <c r="B90" s="214" t="s">
        <v>4295</v>
      </c>
      <c r="C90" s="133" t="s">
        <v>10</v>
      </c>
      <c r="D90" s="133" t="s">
        <v>4282</v>
      </c>
      <c r="E90" s="133" t="s">
        <v>83</v>
      </c>
      <c r="F90" s="133" t="s">
        <v>338</v>
      </c>
      <c r="G90" s="133" t="s">
        <v>8826</v>
      </c>
      <c r="H90" s="133" t="s">
        <v>8747</v>
      </c>
      <c r="R90" s="23"/>
      <c r="S90" s="23"/>
      <c r="T90" s="64" t="s">
        <v>2076</v>
      </c>
      <c r="U90" s="64">
        <f>COUNTIFS('1.아이디어LIST'!$G$11:G1124,'(참고)재직자'!T90)</f>
        <v>54</v>
      </c>
    </row>
    <row r="91" spans="1:21">
      <c r="A91" s="214" t="s">
        <v>8974</v>
      </c>
      <c r="B91" s="214" t="s">
        <v>8975</v>
      </c>
      <c r="C91" s="133" t="s">
        <v>178</v>
      </c>
      <c r="D91" s="133" t="s">
        <v>8976</v>
      </c>
      <c r="E91" s="133" t="s">
        <v>83</v>
      </c>
      <c r="F91" s="133" t="s">
        <v>338</v>
      </c>
      <c r="G91" s="133" t="s">
        <v>8861</v>
      </c>
      <c r="H91" s="133" t="s">
        <v>8747</v>
      </c>
      <c r="R91" s="23"/>
      <c r="S91" s="23"/>
      <c r="T91" s="64" t="s">
        <v>8977</v>
      </c>
      <c r="U91" s="64">
        <f>COUNTIFS('1.아이디어LIST'!$G$11:G1125,'(참고)재직자'!T91)</f>
        <v>0</v>
      </c>
    </row>
    <row r="92" spans="1:21">
      <c r="A92" s="214" t="s">
        <v>8978</v>
      </c>
      <c r="B92" s="214" t="s">
        <v>8863</v>
      </c>
      <c r="C92" s="133" t="s">
        <v>178</v>
      </c>
      <c r="D92" s="133" t="s">
        <v>8979</v>
      </c>
      <c r="E92" s="133" t="s">
        <v>178</v>
      </c>
      <c r="F92" s="133" t="s">
        <v>338</v>
      </c>
      <c r="G92" s="133" t="s">
        <v>8820</v>
      </c>
      <c r="H92" s="133" t="s">
        <v>8747</v>
      </c>
      <c r="R92" s="23"/>
      <c r="S92" s="23"/>
      <c r="T92" s="64" t="s">
        <v>1047</v>
      </c>
      <c r="U92" s="64">
        <f>COUNTIFS('1.아이디어LIST'!$G$11:G1126,'(참고)재직자'!T92)</f>
        <v>30</v>
      </c>
    </row>
    <row r="93" spans="1:21">
      <c r="A93" s="214" t="s">
        <v>5914</v>
      </c>
      <c r="B93" s="214" t="s">
        <v>5915</v>
      </c>
      <c r="C93" s="133" t="s">
        <v>2146</v>
      </c>
      <c r="D93" s="133" t="s">
        <v>5908</v>
      </c>
      <c r="E93" s="133" t="s">
        <v>83</v>
      </c>
      <c r="F93" s="133" t="s">
        <v>338</v>
      </c>
      <c r="G93" s="133" t="s">
        <v>8980</v>
      </c>
      <c r="H93" s="133" t="s">
        <v>8747</v>
      </c>
      <c r="R93" s="23"/>
      <c r="S93" s="23"/>
      <c r="T93" s="64" t="s">
        <v>8981</v>
      </c>
      <c r="U93" s="64">
        <f>COUNTIFS('1.아이디어LIST'!$G$11:G1127,'(참고)재직자'!T93)</f>
        <v>0</v>
      </c>
    </row>
    <row r="94" spans="1:21">
      <c r="A94" s="214" t="s">
        <v>4713</v>
      </c>
      <c r="B94" s="214" t="s">
        <v>4714</v>
      </c>
      <c r="C94" s="133" t="s">
        <v>9</v>
      </c>
      <c r="D94" s="133" t="s">
        <v>4695</v>
      </c>
      <c r="E94" s="133" t="s">
        <v>83</v>
      </c>
      <c r="F94" s="133" t="s">
        <v>338</v>
      </c>
      <c r="G94" s="133" t="s">
        <v>8776</v>
      </c>
      <c r="H94" s="133" t="s">
        <v>8747</v>
      </c>
      <c r="R94" s="23"/>
      <c r="S94" s="23"/>
      <c r="T94" s="64" t="s">
        <v>1419</v>
      </c>
      <c r="U94" s="64">
        <f>COUNTIFS('1.아이디어LIST'!$G$11:G1128,'(참고)재직자'!T94)</f>
        <v>21</v>
      </c>
    </row>
    <row r="95" spans="1:21">
      <c r="A95" s="214" t="s">
        <v>2122</v>
      </c>
      <c r="B95" s="214" t="s">
        <v>2123</v>
      </c>
      <c r="C95" s="133" t="s">
        <v>8</v>
      </c>
      <c r="D95" s="133" t="s">
        <v>456</v>
      </c>
      <c r="E95" s="133" t="s">
        <v>83</v>
      </c>
      <c r="F95" s="133" t="s">
        <v>338</v>
      </c>
      <c r="G95" s="133" t="s">
        <v>8982</v>
      </c>
      <c r="H95" s="133" t="s">
        <v>8747</v>
      </c>
      <c r="R95" s="23"/>
      <c r="S95" s="23"/>
      <c r="T95" s="64" t="s">
        <v>1041</v>
      </c>
      <c r="U95" s="64">
        <f>COUNTIFS('1.아이디어LIST'!$G$11:G1129,'(참고)재직자'!T95)</f>
        <v>17</v>
      </c>
    </row>
    <row r="96" spans="1:21">
      <c r="A96" s="214" t="s">
        <v>3939</v>
      </c>
      <c r="B96" s="214" t="s">
        <v>3940</v>
      </c>
      <c r="C96" s="133" t="s">
        <v>9</v>
      </c>
      <c r="D96" s="133" t="s">
        <v>1286</v>
      </c>
      <c r="E96" s="133" t="s">
        <v>83</v>
      </c>
      <c r="F96" s="133" t="s">
        <v>338</v>
      </c>
      <c r="G96" s="133" t="s">
        <v>8983</v>
      </c>
      <c r="H96" s="133" t="s">
        <v>8747</v>
      </c>
      <c r="R96" s="23"/>
      <c r="S96" s="23"/>
      <c r="T96" s="64" t="s">
        <v>1889</v>
      </c>
      <c r="U96" s="64">
        <f>COUNTIFS('1.아이디어LIST'!$G$11:G1130,'(참고)재직자'!T96)</f>
        <v>4</v>
      </c>
    </row>
    <row r="97" spans="1:21">
      <c r="A97" s="214" t="s">
        <v>8984</v>
      </c>
      <c r="B97" s="214" t="s">
        <v>8985</v>
      </c>
      <c r="C97" s="133" t="s">
        <v>8</v>
      </c>
      <c r="D97" s="133" t="s">
        <v>918</v>
      </c>
      <c r="E97" s="133" t="s">
        <v>83</v>
      </c>
      <c r="F97" s="133" t="s">
        <v>338</v>
      </c>
      <c r="G97" s="133" t="s">
        <v>8986</v>
      </c>
      <c r="H97" s="133" t="s">
        <v>8747</v>
      </c>
      <c r="R97" s="23"/>
      <c r="S97" s="23"/>
      <c r="T97" s="64" t="s">
        <v>1562</v>
      </c>
      <c r="U97" s="64">
        <f>COUNTIFS('1.아이디어LIST'!$G$11:G1131,'(참고)재직자'!T97)</f>
        <v>21</v>
      </c>
    </row>
    <row r="98" spans="1:21">
      <c r="A98" s="214" t="s">
        <v>337</v>
      </c>
      <c r="B98" s="214" t="s">
        <v>340</v>
      </c>
      <c r="C98" s="133" t="s">
        <v>8</v>
      </c>
      <c r="D98" s="133" t="s">
        <v>339</v>
      </c>
      <c r="E98" s="133" t="s">
        <v>83</v>
      </c>
      <c r="F98" s="133" t="s">
        <v>338</v>
      </c>
      <c r="G98" s="133" t="s">
        <v>8987</v>
      </c>
      <c r="H98" s="133" t="s">
        <v>8747</v>
      </c>
      <c r="R98" s="23"/>
      <c r="S98" s="23"/>
      <c r="T98" s="64" t="s">
        <v>1653</v>
      </c>
      <c r="U98" s="64">
        <f>COUNTIFS('1.아이디어LIST'!$G$11:G1132,'(참고)재직자'!T98)</f>
        <v>5</v>
      </c>
    </row>
    <row r="99" spans="1:21">
      <c r="A99" s="214" t="s">
        <v>4130</v>
      </c>
      <c r="B99" s="214" t="s">
        <v>4131</v>
      </c>
      <c r="C99" s="133" t="s">
        <v>10</v>
      </c>
      <c r="D99" s="133" t="s">
        <v>3370</v>
      </c>
      <c r="E99" s="133" t="s">
        <v>83</v>
      </c>
      <c r="F99" s="133" t="s">
        <v>338</v>
      </c>
      <c r="G99" s="133" t="s">
        <v>8987</v>
      </c>
      <c r="H99" s="133" t="s">
        <v>8747</v>
      </c>
      <c r="R99" s="23"/>
      <c r="S99" s="23"/>
      <c r="T99" s="64" t="s">
        <v>1398</v>
      </c>
      <c r="U99" s="64">
        <f>COUNTIFS('1.아이디어LIST'!$G$11:G1133,'(참고)재직자'!T99)</f>
        <v>4</v>
      </c>
    </row>
    <row r="100" spans="1:21">
      <c r="A100" s="214" t="s">
        <v>4313</v>
      </c>
      <c r="B100" s="214" t="s">
        <v>4314</v>
      </c>
      <c r="C100" s="133" t="s">
        <v>10</v>
      </c>
      <c r="D100" s="133" t="s">
        <v>4920</v>
      </c>
      <c r="E100" s="133" t="s">
        <v>83</v>
      </c>
      <c r="F100" s="133" t="s">
        <v>338</v>
      </c>
      <c r="G100" s="133" t="s">
        <v>8765</v>
      </c>
      <c r="H100" s="133" t="s">
        <v>8747</v>
      </c>
      <c r="R100" s="23"/>
      <c r="S100" s="23"/>
      <c r="T100" s="64" t="s">
        <v>8988</v>
      </c>
      <c r="U100" s="64">
        <f>COUNTIFS('1.아이디어LIST'!$G$11:G1134,'(참고)재직자'!T100)</f>
        <v>0</v>
      </c>
    </row>
    <row r="101" spans="1:21">
      <c r="A101" s="214" t="s">
        <v>8989</v>
      </c>
      <c r="B101" s="214" t="s">
        <v>8990</v>
      </c>
      <c r="C101" s="133" t="s">
        <v>8</v>
      </c>
      <c r="D101" s="133" t="s">
        <v>910</v>
      </c>
      <c r="E101" s="133" t="s">
        <v>83</v>
      </c>
      <c r="F101" s="133" t="s">
        <v>338</v>
      </c>
      <c r="G101" s="133" t="s">
        <v>8983</v>
      </c>
      <c r="H101" s="133" t="s">
        <v>8747</v>
      </c>
      <c r="R101" s="23"/>
      <c r="S101" s="23"/>
      <c r="T101" s="64" t="s">
        <v>2100</v>
      </c>
      <c r="U101" s="64">
        <f>COUNTIFS('1.아이디어LIST'!$G$11:G1135,'(참고)재직자'!T101)</f>
        <v>10</v>
      </c>
    </row>
    <row r="102" spans="1:21">
      <c r="A102" s="214" t="s">
        <v>2109</v>
      </c>
      <c r="B102" s="214" t="s">
        <v>2111</v>
      </c>
      <c r="C102" s="133" t="s">
        <v>237</v>
      </c>
      <c r="D102" s="133" t="s">
        <v>2110</v>
      </c>
      <c r="E102" s="133" t="s">
        <v>83</v>
      </c>
      <c r="F102" s="133" t="s">
        <v>338</v>
      </c>
      <c r="G102" s="133" t="s">
        <v>8991</v>
      </c>
      <c r="H102" s="133" t="s">
        <v>8747</v>
      </c>
      <c r="R102" s="23"/>
      <c r="S102" s="23"/>
      <c r="T102" s="64" t="s">
        <v>8992</v>
      </c>
      <c r="U102" s="64">
        <f>COUNTIFS('1.아이디어LIST'!$G$11:G1136,'(참고)재직자'!T102)</f>
        <v>0</v>
      </c>
    </row>
    <row r="103" spans="1:21">
      <c r="A103" s="214" t="s">
        <v>4897</v>
      </c>
      <c r="B103" s="214" t="s">
        <v>4898</v>
      </c>
      <c r="C103" s="133" t="s">
        <v>9</v>
      </c>
      <c r="D103" s="133" t="s">
        <v>4459</v>
      </c>
      <c r="E103" s="133" t="s">
        <v>83</v>
      </c>
      <c r="F103" s="133" t="s">
        <v>338</v>
      </c>
      <c r="G103" s="133" t="s">
        <v>8776</v>
      </c>
      <c r="H103" s="133" t="s">
        <v>8747</v>
      </c>
      <c r="R103" s="23"/>
      <c r="S103" s="23"/>
      <c r="T103" s="64" t="s">
        <v>8993</v>
      </c>
      <c r="U103" s="64">
        <f>COUNTIFS('1.아이디어LIST'!$G$11:G1137,'(참고)재직자'!T103)</f>
        <v>0</v>
      </c>
    </row>
    <row r="104" spans="1:21">
      <c r="A104" s="214" t="s">
        <v>8994</v>
      </c>
      <c r="B104" s="214" t="s">
        <v>8995</v>
      </c>
      <c r="C104" s="133" t="s">
        <v>10</v>
      </c>
      <c r="D104" s="133" t="s">
        <v>4336</v>
      </c>
      <c r="E104" s="133" t="s">
        <v>83</v>
      </c>
      <c r="F104" s="133" t="s">
        <v>338</v>
      </c>
      <c r="G104" s="133" t="s">
        <v>8776</v>
      </c>
      <c r="H104" s="133" t="s">
        <v>8747</v>
      </c>
      <c r="R104" s="23"/>
      <c r="S104" s="23"/>
      <c r="T104" s="64" t="s">
        <v>2380</v>
      </c>
      <c r="U104" s="64">
        <f>COUNTIFS('1.아이디어LIST'!$G$11:G1138,'(참고)재직자'!T104)</f>
        <v>6</v>
      </c>
    </row>
    <row r="105" spans="1:21">
      <c r="A105" s="214" t="s">
        <v>8996</v>
      </c>
      <c r="B105" s="214" t="s">
        <v>8997</v>
      </c>
      <c r="C105" s="133" t="s">
        <v>237</v>
      </c>
      <c r="D105" s="133" t="s">
        <v>239</v>
      </c>
      <c r="E105" s="133" t="s">
        <v>83</v>
      </c>
      <c r="F105" s="133" t="s">
        <v>338</v>
      </c>
      <c r="G105" s="133" t="s">
        <v>8991</v>
      </c>
      <c r="H105" s="133" t="s">
        <v>8747</v>
      </c>
      <c r="R105" s="23"/>
      <c r="S105" s="23"/>
      <c r="T105" s="64" t="s">
        <v>818</v>
      </c>
      <c r="U105" s="64">
        <f>COUNTIFS('1.아이디어LIST'!$G$11:G1139,'(참고)재직자'!T105)</f>
        <v>29</v>
      </c>
    </row>
    <row r="106" spans="1:21">
      <c r="A106" s="214" t="s">
        <v>4255</v>
      </c>
      <c r="B106" s="214" t="s">
        <v>4256</v>
      </c>
      <c r="C106" s="133" t="s">
        <v>10</v>
      </c>
      <c r="D106" s="133" t="s">
        <v>871</v>
      </c>
      <c r="E106" s="133" t="s">
        <v>83</v>
      </c>
      <c r="F106" s="133" t="s">
        <v>338</v>
      </c>
      <c r="G106" s="133" t="s">
        <v>8987</v>
      </c>
      <c r="H106" s="133" t="s">
        <v>8747</v>
      </c>
      <c r="R106" s="23"/>
      <c r="S106" s="23"/>
      <c r="T106" s="64" t="s">
        <v>1701</v>
      </c>
      <c r="U106" s="64">
        <f>COUNTIFS('1.아이디어LIST'!$G$11:G1140,'(참고)재직자'!T106)</f>
        <v>17</v>
      </c>
    </row>
    <row r="107" spans="1:21">
      <c r="A107" s="214" t="s">
        <v>8998</v>
      </c>
      <c r="B107" s="214" t="s">
        <v>8999</v>
      </c>
      <c r="C107" s="133" t="s">
        <v>794</v>
      </c>
      <c r="D107" s="133" t="s">
        <v>796</v>
      </c>
      <c r="E107" s="133" t="s">
        <v>83</v>
      </c>
      <c r="F107" s="133" t="s">
        <v>338</v>
      </c>
      <c r="G107" s="133" t="s">
        <v>8826</v>
      </c>
      <c r="H107" s="133" t="s">
        <v>8747</v>
      </c>
      <c r="R107" s="23"/>
      <c r="S107" s="23"/>
      <c r="T107" s="64" t="s">
        <v>3033</v>
      </c>
      <c r="U107" s="64">
        <f>COUNTIFS('1.아이디어LIST'!$G$11:G1141,'(참고)재직자'!T107)</f>
        <v>1</v>
      </c>
    </row>
    <row r="108" spans="1:21">
      <c r="A108" s="214" t="s">
        <v>9000</v>
      </c>
      <c r="B108" s="214" t="s">
        <v>9001</v>
      </c>
      <c r="C108" s="133" t="s">
        <v>2146</v>
      </c>
      <c r="D108" s="133" t="s">
        <v>5640</v>
      </c>
      <c r="E108" s="133" t="s">
        <v>83</v>
      </c>
      <c r="F108" s="133" t="s">
        <v>338</v>
      </c>
      <c r="G108" s="133" t="s">
        <v>8768</v>
      </c>
      <c r="H108" s="133" t="s">
        <v>8747</v>
      </c>
      <c r="R108" s="23"/>
      <c r="S108" s="23"/>
      <c r="T108" s="64" t="s">
        <v>1368</v>
      </c>
      <c r="U108" s="64">
        <f>COUNTIFS('1.아이디어LIST'!$G$11:G1142,'(참고)재직자'!T108)</f>
        <v>31</v>
      </c>
    </row>
    <row r="109" spans="1:21">
      <c r="A109" s="214" t="s">
        <v>9002</v>
      </c>
      <c r="B109" s="214" t="s">
        <v>4544</v>
      </c>
      <c r="C109" s="133" t="s">
        <v>9</v>
      </c>
      <c r="D109" s="133" t="s">
        <v>4584</v>
      </c>
      <c r="E109" s="133" t="s">
        <v>83</v>
      </c>
      <c r="F109" s="133" t="s">
        <v>338</v>
      </c>
      <c r="G109" s="133" t="s">
        <v>8776</v>
      </c>
      <c r="H109" s="133" t="s">
        <v>8747</v>
      </c>
      <c r="R109" s="23"/>
      <c r="S109" s="23"/>
      <c r="T109" s="64" t="s">
        <v>1728</v>
      </c>
      <c r="U109" s="64">
        <f>COUNTIFS('1.아이디어LIST'!$G$11:G1143,'(참고)재직자'!T109)</f>
        <v>2</v>
      </c>
    </row>
    <row r="110" spans="1:21">
      <c r="A110" s="214" t="s">
        <v>5369</v>
      </c>
      <c r="B110" s="214" t="s">
        <v>5370</v>
      </c>
      <c r="C110" s="133" t="s">
        <v>8</v>
      </c>
      <c r="D110" s="133" t="s">
        <v>781</v>
      </c>
      <c r="E110" s="133" t="s">
        <v>83</v>
      </c>
      <c r="F110" s="133" t="s">
        <v>338</v>
      </c>
      <c r="G110" s="133" t="s">
        <v>8826</v>
      </c>
      <c r="H110" s="133" t="s">
        <v>8747</v>
      </c>
      <c r="R110" s="23"/>
      <c r="S110" s="23"/>
      <c r="T110" s="64" t="s">
        <v>1406</v>
      </c>
      <c r="U110" s="64">
        <f>COUNTIFS('1.아이디어LIST'!$G$11:G1144,'(참고)재직자'!T110)</f>
        <v>6</v>
      </c>
    </row>
    <row r="111" spans="1:21">
      <c r="A111" s="214" t="s">
        <v>5786</v>
      </c>
      <c r="B111" s="214" t="s">
        <v>5787</v>
      </c>
      <c r="C111" s="133" t="s">
        <v>399</v>
      </c>
      <c r="D111" s="133" t="s">
        <v>2362</v>
      </c>
      <c r="E111" s="133" t="s">
        <v>83</v>
      </c>
      <c r="F111" s="133" t="s">
        <v>338</v>
      </c>
      <c r="G111" s="133" t="s">
        <v>9003</v>
      </c>
      <c r="H111" s="133" t="s">
        <v>8747</v>
      </c>
      <c r="R111" s="23"/>
      <c r="S111" s="23"/>
      <c r="T111" s="64" t="s">
        <v>1413</v>
      </c>
      <c r="U111" s="64">
        <f>COUNTIFS('1.아이디어LIST'!$G$11:G1145,'(참고)재직자'!T111)</f>
        <v>35</v>
      </c>
    </row>
    <row r="112" spans="1:21">
      <c r="A112" s="214" t="s">
        <v>5412</v>
      </c>
      <c r="B112" s="214" t="s">
        <v>5413</v>
      </c>
      <c r="C112" s="133" t="s">
        <v>794</v>
      </c>
      <c r="D112" s="133" t="s">
        <v>5388</v>
      </c>
      <c r="E112" s="133" t="s">
        <v>83</v>
      </c>
      <c r="F112" s="133" t="s">
        <v>338</v>
      </c>
      <c r="G112" s="133" t="s">
        <v>8826</v>
      </c>
      <c r="H112" s="133" t="s">
        <v>8747</v>
      </c>
      <c r="R112" s="23"/>
      <c r="S112" s="23"/>
      <c r="T112" s="64" t="s">
        <v>66</v>
      </c>
      <c r="U112" s="64">
        <f>COUNTIFS('1.아이디어LIST'!$G$11:G1146,'(참고)재직자'!T112)</f>
        <v>10</v>
      </c>
    </row>
    <row r="113" spans="1:21">
      <c r="A113" s="214" t="s">
        <v>9004</v>
      </c>
      <c r="B113" s="214" t="s">
        <v>9005</v>
      </c>
      <c r="C113" s="133" t="s">
        <v>8</v>
      </c>
      <c r="D113" s="133" t="s">
        <v>9006</v>
      </c>
      <c r="E113" s="133" t="s">
        <v>63</v>
      </c>
      <c r="F113" s="133" t="s">
        <v>338</v>
      </c>
      <c r="G113" s="133" t="s">
        <v>8820</v>
      </c>
      <c r="H113" s="133" t="s">
        <v>8747</v>
      </c>
      <c r="R113" s="23"/>
      <c r="S113" s="23"/>
      <c r="T113" s="64" t="s">
        <v>1132</v>
      </c>
      <c r="U113" s="64">
        <f>COUNTIFS('1.아이디어LIST'!$G$11:G1147,'(참고)재직자'!T113)</f>
        <v>30</v>
      </c>
    </row>
    <row r="114" spans="1:21">
      <c r="A114" s="214" t="s">
        <v>9007</v>
      </c>
      <c r="B114" s="214" t="s">
        <v>9008</v>
      </c>
      <c r="C114" s="133" t="s">
        <v>10</v>
      </c>
      <c r="D114" s="133" t="s">
        <v>6374</v>
      </c>
      <c r="E114" s="133" t="s">
        <v>63</v>
      </c>
      <c r="F114" s="133" t="s">
        <v>338</v>
      </c>
      <c r="G114" s="133" t="s">
        <v>8820</v>
      </c>
      <c r="H114" s="133" t="s">
        <v>8747</v>
      </c>
      <c r="R114" s="23"/>
      <c r="S114" s="23"/>
      <c r="T114" s="64" t="s">
        <v>995</v>
      </c>
      <c r="U114" s="64">
        <f>COUNTIFS('1.아이디어LIST'!$G$11:G1148,'(참고)재직자'!T114)</f>
        <v>57</v>
      </c>
    </row>
    <row r="115" spans="1:21">
      <c r="A115" s="214" t="s">
        <v>9009</v>
      </c>
      <c r="B115" s="214" t="s">
        <v>9010</v>
      </c>
      <c r="C115" s="133" t="s">
        <v>10</v>
      </c>
      <c r="D115" s="133" t="s">
        <v>1826</v>
      </c>
      <c r="E115" s="133" t="s">
        <v>63</v>
      </c>
      <c r="F115" s="133" t="s">
        <v>338</v>
      </c>
      <c r="G115" s="133" t="s">
        <v>8820</v>
      </c>
      <c r="H115" s="133" t="s">
        <v>8747</v>
      </c>
      <c r="R115" s="23"/>
      <c r="S115" s="23"/>
      <c r="T115" s="64" t="s">
        <v>2214</v>
      </c>
      <c r="U115" s="64">
        <f>COUNTIFS('1.아이디어LIST'!$G$11:G1149,'(참고)재직자'!T115)</f>
        <v>3</v>
      </c>
    </row>
    <row r="116" spans="1:21">
      <c r="A116" s="214" t="s">
        <v>9011</v>
      </c>
      <c r="B116" s="214" t="s">
        <v>9012</v>
      </c>
      <c r="C116" s="133" t="s">
        <v>10</v>
      </c>
      <c r="D116" s="133" t="s">
        <v>9013</v>
      </c>
      <c r="E116" s="133" t="s">
        <v>63</v>
      </c>
      <c r="F116" s="133" t="s">
        <v>338</v>
      </c>
      <c r="G116" s="133" t="s">
        <v>8820</v>
      </c>
      <c r="H116" s="133" t="s">
        <v>8747</v>
      </c>
      <c r="P116" t="s">
        <v>9014</v>
      </c>
      <c r="R116" s="23"/>
      <c r="S116" s="23"/>
      <c r="T116" s="64" t="s">
        <v>1522</v>
      </c>
      <c r="U116" s="64">
        <f>COUNTIFS('1.아이디어LIST'!$G$11:G1150,'(참고)재직자'!T116)</f>
        <v>25</v>
      </c>
    </row>
    <row r="117" spans="1:21">
      <c r="A117" s="214" t="s">
        <v>9015</v>
      </c>
      <c r="B117" s="214" t="s">
        <v>9016</v>
      </c>
      <c r="C117" s="133" t="s">
        <v>10</v>
      </c>
      <c r="D117" s="133" t="s">
        <v>6283</v>
      </c>
      <c r="E117" s="133" t="s">
        <v>63</v>
      </c>
      <c r="F117" s="133" t="s">
        <v>338</v>
      </c>
      <c r="G117" s="133" t="s">
        <v>8820</v>
      </c>
      <c r="H117" s="133" t="s">
        <v>8747</v>
      </c>
      <c r="R117" s="23"/>
      <c r="S117" s="23"/>
      <c r="T117" s="64" t="s">
        <v>277</v>
      </c>
      <c r="U117" s="64">
        <f>COUNTIFS('1.아이디어LIST'!$G$11:G1151,'(참고)재직자'!T117)</f>
        <v>16</v>
      </c>
    </row>
    <row r="118" spans="1:21">
      <c r="A118" s="214" t="s">
        <v>9017</v>
      </c>
      <c r="B118" s="214" t="s">
        <v>9018</v>
      </c>
      <c r="C118" s="133" t="s">
        <v>178</v>
      </c>
      <c r="D118" s="133" t="s">
        <v>9019</v>
      </c>
      <c r="E118" s="133" t="s">
        <v>178</v>
      </c>
      <c r="F118" s="133" t="s">
        <v>338</v>
      </c>
      <c r="G118" s="133" t="s">
        <v>9020</v>
      </c>
      <c r="H118" s="133" t="s">
        <v>8747</v>
      </c>
      <c r="R118" s="23"/>
      <c r="S118" s="23"/>
      <c r="T118" s="64" t="s">
        <v>2299</v>
      </c>
      <c r="U118" s="64">
        <f>COUNTIFS('1.아이디어LIST'!$G$11:G1152,'(참고)재직자'!T118)</f>
        <v>5</v>
      </c>
    </row>
    <row r="119" spans="1:21">
      <c r="A119" s="214" t="s">
        <v>9021</v>
      </c>
      <c r="B119" s="214" t="s">
        <v>9022</v>
      </c>
      <c r="C119" s="133" t="s">
        <v>8</v>
      </c>
      <c r="D119" s="133" t="s">
        <v>639</v>
      </c>
      <c r="E119" s="133" t="s">
        <v>83</v>
      </c>
      <c r="F119" s="133" t="s">
        <v>338</v>
      </c>
      <c r="G119" s="133" t="s">
        <v>8765</v>
      </c>
      <c r="H119" s="133" t="s">
        <v>8747</v>
      </c>
      <c r="R119" s="23"/>
      <c r="S119" s="23"/>
      <c r="T119" s="64" t="s">
        <v>757</v>
      </c>
      <c r="U119" s="64">
        <f>COUNTIFS('1.아이디어LIST'!$G$11:G1153,'(참고)재직자'!T119)</f>
        <v>8</v>
      </c>
    </row>
    <row r="120" spans="1:21">
      <c r="A120" s="214" t="s">
        <v>9023</v>
      </c>
      <c r="B120" s="214" t="s">
        <v>8753</v>
      </c>
      <c r="C120" s="133" t="s">
        <v>8</v>
      </c>
      <c r="D120" s="133" t="s">
        <v>488</v>
      </c>
      <c r="E120" s="133" t="s">
        <v>83</v>
      </c>
      <c r="F120" s="133" t="s">
        <v>338</v>
      </c>
      <c r="G120" s="133" t="s">
        <v>8765</v>
      </c>
      <c r="H120" s="133" t="s">
        <v>8747</v>
      </c>
      <c r="R120" s="23"/>
      <c r="S120" s="23"/>
      <c r="T120" s="64" t="s">
        <v>154</v>
      </c>
      <c r="U120" s="64">
        <f>COUNTIFS('1.아이디어LIST'!$G$11:G1154,'(참고)재직자'!T120)</f>
        <v>15</v>
      </c>
    </row>
    <row r="121" spans="1:21">
      <c r="A121" s="214" t="s">
        <v>9024</v>
      </c>
      <c r="B121" s="214" t="s">
        <v>9025</v>
      </c>
      <c r="C121" s="133" t="s">
        <v>2146</v>
      </c>
      <c r="D121" s="133" t="s">
        <v>5634</v>
      </c>
      <c r="E121" s="133" t="s">
        <v>83</v>
      </c>
      <c r="F121" s="133" t="s">
        <v>338</v>
      </c>
      <c r="G121" s="133" t="s">
        <v>8768</v>
      </c>
      <c r="H121" s="133" t="s">
        <v>8747</v>
      </c>
      <c r="R121" s="23"/>
      <c r="S121" s="23"/>
      <c r="T121" s="64" t="s">
        <v>9026</v>
      </c>
      <c r="U121" s="64">
        <f>COUNTIFS('1.아이디어LIST'!$G$11:G1155,'(참고)재직자'!T121)</f>
        <v>0</v>
      </c>
    </row>
    <row r="122" spans="1:21">
      <c r="A122" s="214" t="s">
        <v>668</v>
      </c>
      <c r="B122" s="214" t="s">
        <v>670</v>
      </c>
      <c r="C122" s="133" t="s">
        <v>8</v>
      </c>
      <c r="D122" s="133" t="s">
        <v>669</v>
      </c>
      <c r="E122" s="133" t="s">
        <v>83</v>
      </c>
      <c r="F122" s="133" t="s">
        <v>338</v>
      </c>
      <c r="G122" s="133" t="s">
        <v>8765</v>
      </c>
      <c r="H122" s="133" t="s">
        <v>8747</v>
      </c>
      <c r="R122" s="23"/>
      <c r="S122" s="23"/>
      <c r="T122" s="65" t="s">
        <v>8759</v>
      </c>
      <c r="U122" s="23">
        <f>SUM(U28:U121)</f>
        <v>771</v>
      </c>
    </row>
    <row r="123" spans="1:21">
      <c r="A123" s="214" t="s">
        <v>1265</v>
      </c>
      <c r="B123" s="214" t="s">
        <v>1266</v>
      </c>
      <c r="C123" s="133" t="s">
        <v>8</v>
      </c>
      <c r="D123" s="133" t="s">
        <v>910</v>
      </c>
      <c r="E123" s="133" t="s">
        <v>83</v>
      </c>
      <c r="F123" s="133" t="s">
        <v>338</v>
      </c>
      <c r="G123" s="133" t="s">
        <v>8983</v>
      </c>
      <c r="H123" s="133" t="s">
        <v>8747</v>
      </c>
      <c r="R123" s="23"/>
      <c r="S123" s="23"/>
      <c r="T123" s="25" t="s">
        <v>9027</v>
      </c>
      <c r="U123" s="23">
        <f>U5+U12+U14+U18+U27+U122</f>
        <v>807</v>
      </c>
    </row>
    <row r="124" spans="1:21">
      <c r="A124" s="214" t="s">
        <v>7491</v>
      </c>
      <c r="B124" s="214" t="s">
        <v>7492</v>
      </c>
      <c r="C124" s="133" t="s">
        <v>10</v>
      </c>
      <c r="D124" s="133" t="s">
        <v>6012</v>
      </c>
      <c r="E124" s="133" t="s">
        <v>63</v>
      </c>
      <c r="F124" s="133" t="s">
        <v>338</v>
      </c>
      <c r="G124" s="133" t="s">
        <v>9028</v>
      </c>
      <c r="H124" s="133" t="s">
        <v>8747</v>
      </c>
    </row>
    <row r="125" spans="1:21">
      <c r="A125" s="214" t="s">
        <v>6011</v>
      </c>
      <c r="B125" s="214" t="s">
        <v>6013</v>
      </c>
      <c r="C125" s="133" t="s">
        <v>10</v>
      </c>
      <c r="D125" s="133" t="s">
        <v>6012</v>
      </c>
      <c r="E125" s="133" t="s">
        <v>63</v>
      </c>
      <c r="F125" s="133" t="s">
        <v>338</v>
      </c>
      <c r="G125" s="133" t="s">
        <v>8826</v>
      </c>
      <c r="H125" s="133" t="s">
        <v>8747</v>
      </c>
    </row>
    <row r="126" spans="1:21">
      <c r="A126" s="214" t="s">
        <v>3444</v>
      </c>
      <c r="B126" s="214" t="s">
        <v>3445</v>
      </c>
      <c r="C126" s="133" t="s">
        <v>8</v>
      </c>
      <c r="D126" s="133" t="s">
        <v>818</v>
      </c>
      <c r="E126" s="133" t="s">
        <v>63</v>
      </c>
      <c r="F126" s="133" t="s">
        <v>338</v>
      </c>
      <c r="G126" s="133" t="s">
        <v>8820</v>
      </c>
      <c r="H126" s="133" t="s">
        <v>8747</v>
      </c>
    </row>
    <row r="127" spans="1:21">
      <c r="A127" s="214" t="s">
        <v>6546</v>
      </c>
      <c r="B127" s="214" t="s">
        <v>5213</v>
      </c>
      <c r="C127" s="133" t="s">
        <v>8132</v>
      </c>
      <c r="D127" s="133" t="s">
        <v>85</v>
      </c>
      <c r="E127" s="133" t="s">
        <v>83</v>
      </c>
      <c r="F127" s="133" t="s">
        <v>338</v>
      </c>
      <c r="G127" s="133" t="s">
        <v>8755</v>
      </c>
      <c r="H127" s="133" t="s">
        <v>8747</v>
      </c>
    </row>
    <row r="128" spans="1:21">
      <c r="A128" s="214" t="s">
        <v>7185</v>
      </c>
      <c r="B128" s="214" t="s">
        <v>7186</v>
      </c>
      <c r="C128" s="133" t="s">
        <v>8</v>
      </c>
      <c r="D128" s="133" t="s">
        <v>686</v>
      </c>
      <c r="E128" s="133" t="s">
        <v>63</v>
      </c>
      <c r="F128" s="133" t="s">
        <v>338</v>
      </c>
      <c r="G128" s="133" t="s">
        <v>9028</v>
      </c>
      <c r="H128" s="133" t="s">
        <v>8747</v>
      </c>
    </row>
    <row r="129" spans="1:8">
      <c r="A129" s="214" t="s">
        <v>9029</v>
      </c>
      <c r="B129" s="214" t="s">
        <v>188</v>
      </c>
      <c r="C129" s="133" t="s">
        <v>8132</v>
      </c>
      <c r="D129" s="133" t="s">
        <v>85</v>
      </c>
      <c r="E129" s="133" t="s">
        <v>83</v>
      </c>
      <c r="F129" s="133" t="s">
        <v>338</v>
      </c>
      <c r="G129" s="133" t="s">
        <v>8755</v>
      </c>
      <c r="H129" s="133" t="s">
        <v>8747</v>
      </c>
    </row>
    <row r="130" spans="1:8">
      <c r="A130" s="214" t="s">
        <v>6028</v>
      </c>
      <c r="B130" s="214" t="s">
        <v>6029</v>
      </c>
      <c r="C130" s="133" t="s">
        <v>8</v>
      </c>
      <c r="D130" s="133" t="s">
        <v>440</v>
      </c>
      <c r="E130" s="133" t="s">
        <v>63</v>
      </c>
      <c r="F130" s="133" t="s">
        <v>338</v>
      </c>
      <c r="G130" s="133" t="s">
        <v>8820</v>
      </c>
      <c r="H130" s="133" t="s">
        <v>8747</v>
      </c>
    </row>
    <row r="131" spans="1:8">
      <c r="A131" s="214" t="s">
        <v>705</v>
      </c>
      <c r="B131" s="214" t="s">
        <v>706</v>
      </c>
      <c r="C131" s="133" t="s">
        <v>8</v>
      </c>
      <c r="D131" s="133" t="s">
        <v>440</v>
      </c>
      <c r="E131" s="133" t="s">
        <v>63</v>
      </c>
      <c r="F131" s="133" t="s">
        <v>338</v>
      </c>
      <c r="G131" s="133" t="s">
        <v>8820</v>
      </c>
      <c r="H131" s="133" t="s">
        <v>8747</v>
      </c>
    </row>
    <row r="132" spans="1:8">
      <c r="A132" s="214" t="s">
        <v>9030</v>
      </c>
      <c r="B132" s="214" t="s">
        <v>9031</v>
      </c>
      <c r="C132" s="133" t="s">
        <v>8</v>
      </c>
      <c r="D132" s="133" t="s">
        <v>818</v>
      </c>
      <c r="E132" s="133" t="s">
        <v>63</v>
      </c>
      <c r="F132" s="133" t="s">
        <v>338</v>
      </c>
      <c r="G132" s="133" t="s">
        <v>9032</v>
      </c>
      <c r="H132" s="133" t="s">
        <v>8747</v>
      </c>
    </row>
    <row r="133" spans="1:8">
      <c r="A133" s="214" t="s">
        <v>7872</v>
      </c>
      <c r="B133" s="214" t="s">
        <v>7873</v>
      </c>
      <c r="C133" s="133" t="s">
        <v>8</v>
      </c>
      <c r="D133" s="133" t="s">
        <v>818</v>
      </c>
      <c r="E133" s="133" t="s">
        <v>63</v>
      </c>
      <c r="F133" s="133" t="s">
        <v>338</v>
      </c>
      <c r="G133" s="133" t="s">
        <v>9028</v>
      </c>
      <c r="H133" s="133" t="s">
        <v>8747</v>
      </c>
    </row>
    <row r="134" spans="1:8">
      <c r="A134" s="214" t="s">
        <v>9033</v>
      </c>
      <c r="B134" s="214" t="s">
        <v>9034</v>
      </c>
      <c r="C134" s="133" t="s">
        <v>8</v>
      </c>
      <c r="D134" s="133" t="s">
        <v>686</v>
      </c>
      <c r="E134" s="133" t="s">
        <v>63</v>
      </c>
      <c r="F134" s="133" t="s">
        <v>338</v>
      </c>
      <c r="G134" s="133" t="s">
        <v>8826</v>
      </c>
      <c r="H134" s="133" t="s">
        <v>8747</v>
      </c>
    </row>
    <row r="135" spans="1:8">
      <c r="A135" s="214" t="s">
        <v>698</v>
      </c>
      <c r="B135" s="214" t="s">
        <v>699</v>
      </c>
      <c r="C135" s="133" t="s">
        <v>8</v>
      </c>
      <c r="D135" s="133" t="s">
        <v>686</v>
      </c>
      <c r="E135" s="133" t="s">
        <v>63</v>
      </c>
      <c r="F135" s="133" t="s">
        <v>338</v>
      </c>
      <c r="G135" s="133" t="s">
        <v>8983</v>
      </c>
      <c r="H135" s="133" t="s">
        <v>8747</v>
      </c>
    </row>
    <row r="136" spans="1:8">
      <c r="A136" s="214" t="s">
        <v>9035</v>
      </c>
      <c r="B136" s="214" t="s">
        <v>9036</v>
      </c>
      <c r="C136" s="133" t="s">
        <v>8</v>
      </c>
      <c r="D136" s="133" t="s">
        <v>639</v>
      </c>
      <c r="E136" s="133" t="s">
        <v>83</v>
      </c>
      <c r="F136" s="133" t="s">
        <v>338</v>
      </c>
      <c r="G136" s="133" t="s">
        <v>8820</v>
      </c>
      <c r="H136" s="133" t="s">
        <v>8747</v>
      </c>
    </row>
    <row r="137" spans="1:8">
      <c r="A137" s="214" t="s">
        <v>2790</v>
      </c>
      <c r="B137" s="214" t="s">
        <v>2791</v>
      </c>
      <c r="C137" s="133" t="s">
        <v>8</v>
      </c>
      <c r="D137" s="133" t="s">
        <v>995</v>
      </c>
      <c r="E137" s="133" t="s">
        <v>63</v>
      </c>
      <c r="F137" s="133" t="s">
        <v>338</v>
      </c>
      <c r="G137" s="133" t="s">
        <v>8820</v>
      </c>
      <c r="H137" s="133" t="s">
        <v>8747</v>
      </c>
    </row>
    <row r="138" spans="1:8">
      <c r="A138" s="214" t="s">
        <v>6727</v>
      </c>
      <c r="B138" s="214" t="s">
        <v>6728</v>
      </c>
      <c r="C138" s="133" t="s">
        <v>8</v>
      </c>
      <c r="D138" s="133" t="s">
        <v>488</v>
      </c>
      <c r="E138" s="133" t="s">
        <v>83</v>
      </c>
      <c r="F138" s="133" t="s">
        <v>338</v>
      </c>
      <c r="G138" s="133" t="s">
        <v>8820</v>
      </c>
      <c r="H138" s="133" t="s">
        <v>8747</v>
      </c>
    </row>
    <row r="139" spans="1:8">
      <c r="A139" s="214" t="s">
        <v>5240</v>
      </c>
      <c r="B139" s="214" t="s">
        <v>5242</v>
      </c>
      <c r="C139" s="133" t="s">
        <v>9</v>
      </c>
      <c r="D139" s="133" t="s">
        <v>5241</v>
      </c>
      <c r="E139" s="133" t="s">
        <v>83</v>
      </c>
      <c r="F139" s="133" t="s">
        <v>338</v>
      </c>
      <c r="G139" s="133" t="s">
        <v>8829</v>
      </c>
      <c r="H139" s="133" t="s">
        <v>8747</v>
      </c>
    </row>
    <row r="140" spans="1:8">
      <c r="A140" s="214" t="s">
        <v>9037</v>
      </c>
      <c r="B140" s="214" t="s">
        <v>9038</v>
      </c>
      <c r="C140" s="133" t="s">
        <v>8</v>
      </c>
      <c r="D140" s="133" t="s">
        <v>1419</v>
      </c>
      <c r="E140" s="133" t="s">
        <v>63</v>
      </c>
      <c r="F140" s="133" t="s">
        <v>338</v>
      </c>
      <c r="G140" s="133" t="s">
        <v>8820</v>
      </c>
      <c r="H140" s="133" t="s">
        <v>8747</v>
      </c>
    </row>
    <row r="141" spans="1:8">
      <c r="A141" s="214" t="s">
        <v>3362</v>
      </c>
      <c r="B141" s="214" t="s">
        <v>3363</v>
      </c>
      <c r="C141" s="133" t="s">
        <v>8</v>
      </c>
      <c r="D141" s="133" t="s">
        <v>995</v>
      </c>
      <c r="E141" s="133" t="s">
        <v>63</v>
      </c>
      <c r="F141" s="133" t="s">
        <v>338</v>
      </c>
      <c r="G141" s="133" t="s">
        <v>8820</v>
      </c>
      <c r="H141" s="133" t="s">
        <v>8747</v>
      </c>
    </row>
    <row r="142" spans="1:8">
      <c r="A142" s="214" t="s">
        <v>7590</v>
      </c>
      <c r="B142" s="214" t="s">
        <v>7591</v>
      </c>
      <c r="C142" s="133" t="s">
        <v>8</v>
      </c>
      <c r="D142" s="133" t="s">
        <v>1047</v>
      </c>
      <c r="E142" s="133" t="s">
        <v>63</v>
      </c>
      <c r="F142" s="133" t="s">
        <v>338</v>
      </c>
      <c r="G142" s="133" t="s">
        <v>9028</v>
      </c>
      <c r="H142" s="133" t="s">
        <v>8747</v>
      </c>
    </row>
    <row r="143" spans="1:8">
      <c r="A143" s="214" t="s">
        <v>9039</v>
      </c>
      <c r="B143" s="214" t="s">
        <v>2845</v>
      </c>
      <c r="C143" s="133" t="s">
        <v>8</v>
      </c>
      <c r="D143" s="133" t="s">
        <v>248</v>
      </c>
      <c r="E143" s="133" t="s">
        <v>83</v>
      </c>
      <c r="F143" s="133" t="s">
        <v>338</v>
      </c>
      <c r="G143" s="133" t="s">
        <v>9032</v>
      </c>
      <c r="H143" s="133" t="s">
        <v>8747</v>
      </c>
    </row>
    <row r="144" spans="1:8">
      <c r="A144" s="214" t="s">
        <v>4034</v>
      </c>
      <c r="B144" s="214" t="s">
        <v>4035</v>
      </c>
      <c r="C144" s="133" t="s">
        <v>8</v>
      </c>
      <c r="D144" s="133" t="s">
        <v>1132</v>
      </c>
      <c r="E144" s="133" t="s">
        <v>63</v>
      </c>
      <c r="F144" s="133" t="s">
        <v>338</v>
      </c>
      <c r="G144" s="133" t="s">
        <v>9028</v>
      </c>
      <c r="H144" s="133" t="s">
        <v>8747</v>
      </c>
    </row>
    <row r="145" spans="1:8">
      <c r="A145" s="214" t="s">
        <v>9040</v>
      </c>
      <c r="B145" s="214" t="s">
        <v>9041</v>
      </c>
      <c r="C145" s="133" t="s">
        <v>8</v>
      </c>
      <c r="D145" s="133" t="s">
        <v>686</v>
      </c>
      <c r="E145" s="133" t="s">
        <v>63</v>
      </c>
      <c r="F145" s="133" t="s">
        <v>338</v>
      </c>
      <c r="G145" s="133" t="s">
        <v>8983</v>
      </c>
      <c r="H145" s="133" t="s">
        <v>8747</v>
      </c>
    </row>
    <row r="146" spans="1:8">
      <c r="A146" s="214" t="s">
        <v>4124</v>
      </c>
      <c r="B146" s="214" t="s">
        <v>4125</v>
      </c>
      <c r="C146" s="133" t="s">
        <v>10</v>
      </c>
      <c r="D146" s="133" t="s">
        <v>3370</v>
      </c>
      <c r="E146" s="133" t="s">
        <v>83</v>
      </c>
      <c r="F146" s="133" t="s">
        <v>338</v>
      </c>
      <c r="G146" s="133" t="s">
        <v>8987</v>
      </c>
      <c r="H146" s="133" t="s">
        <v>8747</v>
      </c>
    </row>
    <row r="147" spans="1:8">
      <c r="A147" s="214" t="s">
        <v>4197</v>
      </c>
      <c r="B147" s="214" t="s">
        <v>4198</v>
      </c>
      <c r="C147" s="133" t="s">
        <v>10</v>
      </c>
      <c r="D147" s="133" t="s">
        <v>3370</v>
      </c>
      <c r="E147" s="133" t="s">
        <v>83</v>
      </c>
      <c r="F147" s="133" t="s">
        <v>338</v>
      </c>
      <c r="G147" s="133" t="s">
        <v>8765</v>
      </c>
      <c r="H147" s="133" t="s">
        <v>8747</v>
      </c>
    </row>
    <row r="148" spans="1:8">
      <c r="A148" s="214" t="s">
        <v>661</v>
      </c>
      <c r="B148" s="214" t="s">
        <v>662</v>
      </c>
      <c r="C148" s="133" t="s">
        <v>8</v>
      </c>
      <c r="D148" s="133" t="s">
        <v>639</v>
      </c>
      <c r="E148" s="133" t="s">
        <v>83</v>
      </c>
      <c r="F148" s="133" t="s">
        <v>338</v>
      </c>
      <c r="G148" s="133" t="s">
        <v>8820</v>
      </c>
      <c r="H148" s="133" t="s">
        <v>8747</v>
      </c>
    </row>
    <row r="149" spans="1:8">
      <c r="A149" s="214" t="s">
        <v>1548</v>
      </c>
      <c r="B149" s="214" t="s">
        <v>1549</v>
      </c>
      <c r="C149" s="133" t="s">
        <v>8</v>
      </c>
      <c r="D149" s="133" t="s">
        <v>1522</v>
      </c>
      <c r="E149" s="133" t="s">
        <v>63</v>
      </c>
      <c r="F149" s="133" t="s">
        <v>338</v>
      </c>
      <c r="G149" s="133" t="s">
        <v>8987</v>
      </c>
      <c r="H149" s="133" t="s">
        <v>8747</v>
      </c>
    </row>
    <row r="150" spans="1:8">
      <c r="A150" s="214" t="s">
        <v>9042</v>
      </c>
      <c r="B150" s="214" t="s">
        <v>3217</v>
      </c>
      <c r="C150" s="133" t="s">
        <v>2146</v>
      </c>
      <c r="D150" s="133" t="s">
        <v>2197</v>
      </c>
      <c r="E150" s="133" t="s">
        <v>83</v>
      </c>
      <c r="F150" s="133" t="s">
        <v>338</v>
      </c>
      <c r="G150" s="133" t="s">
        <v>8755</v>
      </c>
      <c r="H150" s="133" t="s">
        <v>8747</v>
      </c>
    </row>
    <row r="151" spans="1:8">
      <c r="A151" s="214" t="s">
        <v>9043</v>
      </c>
      <c r="B151" s="214" t="s">
        <v>9044</v>
      </c>
      <c r="C151" s="133" t="s">
        <v>10</v>
      </c>
      <c r="D151" s="133" t="s">
        <v>9013</v>
      </c>
      <c r="E151" s="133" t="s">
        <v>63</v>
      </c>
      <c r="F151" s="133" t="s">
        <v>338</v>
      </c>
      <c r="G151" s="133" t="s">
        <v>8820</v>
      </c>
      <c r="H151" s="133" t="s">
        <v>8747</v>
      </c>
    </row>
    <row r="152" spans="1:8">
      <c r="A152" s="214" t="s">
        <v>5012</v>
      </c>
      <c r="B152" s="214" t="s">
        <v>5013</v>
      </c>
      <c r="C152" s="133" t="s">
        <v>9</v>
      </c>
      <c r="D152" s="133" t="s">
        <v>4789</v>
      </c>
      <c r="E152" s="133" t="s">
        <v>83</v>
      </c>
      <c r="F152" s="133" t="s">
        <v>338</v>
      </c>
      <c r="G152" s="133" t="s">
        <v>8776</v>
      </c>
      <c r="H152" s="133" t="s">
        <v>8747</v>
      </c>
    </row>
    <row r="153" spans="1:8">
      <c r="A153" s="214" t="s">
        <v>9045</v>
      </c>
      <c r="B153" s="214" t="s">
        <v>9046</v>
      </c>
      <c r="C153" s="133" t="s">
        <v>10</v>
      </c>
      <c r="D153" s="133" t="s">
        <v>7390</v>
      </c>
      <c r="E153" s="133" t="s">
        <v>63</v>
      </c>
      <c r="F153" s="133" t="s">
        <v>338</v>
      </c>
      <c r="G153" s="133" t="s">
        <v>8820</v>
      </c>
      <c r="H153" s="133" t="s">
        <v>8747</v>
      </c>
    </row>
    <row r="154" spans="1:8">
      <c r="A154" s="214" t="s">
        <v>9047</v>
      </c>
      <c r="B154" s="214" t="s">
        <v>1654</v>
      </c>
      <c r="C154" s="133" t="s">
        <v>8</v>
      </c>
      <c r="D154" s="133" t="s">
        <v>781</v>
      </c>
      <c r="E154" s="133" t="s">
        <v>83</v>
      </c>
      <c r="F154" s="133" t="s">
        <v>338</v>
      </c>
      <c r="G154" s="133" t="s">
        <v>8826</v>
      </c>
      <c r="H154" s="133" t="s">
        <v>8747</v>
      </c>
    </row>
    <row r="155" spans="1:8">
      <c r="A155" s="214" t="s">
        <v>9048</v>
      </c>
      <c r="B155" s="214" t="s">
        <v>9049</v>
      </c>
      <c r="C155" s="133" t="s">
        <v>10</v>
      </c>
      <c r="D155" s="133" t="s">
        <v>4216</v>
      </c>
      <c r="E155" s="133" t="s">
        <v>83</v>
      </c>
      <c r="F155" s="133" t="s">
        <v>338</v>
      </c>
      <c r="G155" s="133" t="s">
        <v>8776</v>
      </c>
      <c r="H155" s="133" t="s">
        <v>8747</v>
      </c>
    </row>
    <row r="156" spans="1:8">
      <c r="A156" s="214" t="s">
        <v>7769</v>
      </c>
      <c r="B156" s="214" t="s">
        <v>7770</v>
      </c>
      <c r="C156" s="133" t="s">
        <v>8</v>
      </c>
      <c r="D156" s="133" t="s">
        <v>1406</v>
      </c>
      <c r="E156" s="133" t="s">
        <v>63</v>
      </c>
      <c r="F156" s="133" t="s">
        <v>338</v>
      </c>
      <c r="G156" s="133" t="s">
        <v>9028</v>
      </c>
      <c r="H156" s="133" t="s">
        <v>8747</v>
      </c>
    </row>
    <row r="157" spans="1:8">
      <c r="A157" s="214" t="s">
        <v>9050</v>
      </c>
      <c r="B157" s="214" t="s">
        <v>9051</v>
      </c>
      <c r="C157" s="133" t="s">
        <v>2146</v>
      </c>
      <c r="D157" s="133" t="s">
        <v>2148</v>
      </c>
      <c r="E157" s="133" t="s">
        <v>83</v>
      </c>
      <c r="F157" s="133" t="s">
        <v>338</v>
      </c>
      <c r="G157" s="133" t="s">
        <v>9052</v>
      </c>
      <c r="H157" s="133" t="s">
        <v>8747</v>
      </c>
    </row>
    <row r="158" spans="1:8">
      <c r="A158" s="214" t="s">
        <v>3357</v>
      </c>
      <c r="B158" s="214" t="s">
        <v>3358</v>
      </c>
      <c r="C158" s="133" t="s">
        <v>8</v>
      </c>
      <c r="D158" s="133" t="s">
        <v>1522</v>
      </c>
      <c r="E158" s="133" t="s">
        <v>63</v>
      </c>
      <c r="F158" s="133" t="s">
        <v>338</v>
      </c>
      <c r="G158" s="133" t="s">
        <v>9028</v>
      </c>
      <c r="H158" s="133" t="s">
        <v>8747</v>
      </c>
    </row>
    <row r="159" spans="1:8">
      <c r="A159" s="214" t="s">
        <v>9053</v>
      </c>
      <c r="B159" s="214" t="s">
        <v>9054</v>
      </c>
      <c r="C159" s="133" t="s">
        <v>8</v>
      </c>
      <c r="D159" s="133" t="s">
        <v>277</v>
      </c>
      <c r="E159" s="133" t="s">
        <v>63</v>
      </c>
      <c r="F159" s="133" t="s">
        <v>338</v>
      </c>
      <c r="G159" s="133" t="s">
        <v>8826</v>
      </c>
      <c r="H159" s="133" t="s">
        <v>8747</v>
      </c>
    </row>
    <row r="160" spans="1:8">
      <c r="A160" s="214" t="s">
        <v>9055</v>
      </c>
      <c r="B160" s="214" t="s">
        <v>9056</v>
      </c>
      <c r="C160" s="133" t="s">
        <v>8</v>
      </c>
      <c r="D160" s="133" t="s">
        <v>277</v>
      </c>
      <c r="E160" s="133" t="s">
        <v>63</v>
      </c>
      <c r="F160" s="133" t="s">
        <v>338</v>
      </c>
      <c r="G160" s="133" t="s">
        <v>8820</v>
      </c>
      <c r="H160" s="133" t="s">
        <v>8747</v>
      </c>
    </row>
    <row r="161" spans="1:9">
      <c r="A161" s="214" t="s">
        <v>2879</v>
      </c>
      <c r="B161" s="214" t="s">
        <v>2880</v>
      </c>
      <c r="C161" s="133" t="s">
        <v>8</v>
      </c>
      <c r="D161" s="133" t="s">
        <v>1368</v>
      </c>
      <c r="E161" s="133" t="s">
        <v>63</v>
      </c>
      <c r="F161" s="133" t="s">
        <v>338</v>
      </c>
      <c r="G161" s="133" t="s">
        <v>8820</v>
      </c>
      <c r="H161" s="133" t="s">
        <v>8747</v>
      </c>
    </row>
    <row r="162" spans="1:9">
      <c r="A162" s="214" t="s">
        <v>9057</v>
      </c>
      <c r="B162" s="214" t="s">
        <v>9058</v>
      </c>
      <c r="C162" s="133" t="s">
        <v>178</v>
      </c>
      <c r="D162" s="133" t="s">
        <v>8979</v>
      </c>
      <c r="E162" s="133" t="s">
        <v>178</v>
      </c>
      <c r="F162" s="133" t="s">
        <v>338</v>
      </c>
      <c r="G162" s="133" t="s">
        <v>8820</v>
      </c>
      <c r="H162" s="133" t="s">
        <v>8747</v>
      </c>
    </row>
    <row r="163" spans="1:9">
      <c r="A163" s="214" t="s">
        <v>7791</v>
      </c>
      <c r="B163" s="214" t="s">
        <v>7792</v>
      </c>
      <c r="C163" s="133" t="s">
        <v>8</v>
      </c>
      <c r="D163" s="133" t="s">
        <v>1419</v>
      </c>
      <c r="E163" s="133" t="s">
        <v>63</v>
      </c>
      <c r="F163" s="133" t="s">
        <v>338</v>
      </c>
      <c r="G163" s="133" t="s">
        <v>9028</v>
      </c>
      <c r="H163" s="133" t="s">
        <v>8747</v>
      </c>
    </row>
    <row r="164" spans="1:9">
      <c r="A164" s="214" t="s">
        <v>808</v>
      </c>
      <c r="B164" s="214" t="s">
        <v>810</v>
      </c>
      <c r="C164" s="133" t="s">
        <v>8</v>
      </c>
      <c r="D164" s="133" t="s">
        <v>809</v>
      </c>
      <c r="E164" s="133" t="s">
        <v>63</v>
      </c>
      <c r="F164" s="133" t="s">
        <v>338</v>
      </c>
      <c r="G164" s="133" t="s">
        <v>8986</v>
      </c>
      <c r="H164" s="133" t="s">
        <v>8747</v>
      </c>
    </row>
    <row r="165" spans="1:9">
      <c r="A165" s="214" t="s">
        <v>3761</v>
      </c>
      <c r="B165" s="214" t="s">
        <v>3762</v>
      </c>
      <c r="C165" s="133" t="s">
        <v>8</v>
      </c>
      <c r="D165" s="133" t="s">
        <v>277</v>
      </c>
      <c r="E165" s="133" t="s">
        <v>63</v>
      </c>
      <c r="F165" s="133" t="s">
        <v>338</v>
      </c>
      <c r="G165" s="133" t="s">
        <v>8820</v>
      </c>
      <c r="H165" s="133" t="s">
        <v>8747</v>
      </c>
    </row>
    <row r="166" spans="1:9">
      <c r="A166" s="214" t="s">
        <v>9059</v>
      </c>
      <c r="B166" s="214" t="s">
        <v>9060</v>
      </c>
      <c r="C166" s="133" t="s">
        <v>10</v>
      </c>
      <c r="D166" s="133" t="s">
        <v>9061</v>
      </c>
      <c r="E166" s="133" t="s">
        <v>63</v>
      </c>
      <c r="F166" s="133" t="s">
        <v>109</v>
      </c>
      <c r="G166" s="133" t="s">
        <v>8820</v>
      </c>
      <c r="H166" s="133" t="s">
        <v>8747</v>
      </c>
    </row>
    <row r="167" spans="1:9">
      <c r="A167" s="214" t="s">
        <v>4567</v>
      </c>
      <c r="B167" s="214" t="s">
        <v>4568</v>
      </c>
      <c r="C167" s="133" t="s">
        <v>9</v>
      </c>
      <c r="D167" s="133" t="s">
        <v>3541</v>
      </c>
      <c r="E167" s="133" t="s">
        <v>3539</v>
      </c>
      <c r="F167" s="133" t="s">
        <v>109</v>
      </c>
      <c r="G167" s="133" t="s">
        <v>8776</v>
      </c>
      <c r="H167" s="133" t="s">
        <v>8747</v>
      </c>
    </row>
    <row r="168" spans="1:9">
      <c r="A168" s="214" t="s">
        <v>9062</v>
      </c>
      <c r="B168" s="214" t="s">
        <v>9063</v>
      </c>
      <c r="C168" s="133" t="s">
        <v>8</v>
      </c>
      <c r="D168" s="133" t="s">
        <v>1419</v>
      </c>
      <c r="E168" s="133" t="s">
        <v>63</v>
      </c>
      <c r="F168" s="133" t="s">
        <v>109</v>
      </c>
      <c r="G168" s="133" t="s">
        <v>8820</v>
      </c>
      <c r="H168" s="133" t="s">
        <v>8747</v>
      </c>
    </row>
    <row r="169" spans="1:9">
      <c r="A169" s="214" t="s">
        <v>9064</v>
      </c>
      <c r="B169" s="214" t="s">
        <v>9065</v>
      </c>
      <c r="C169" s="133" t="s">
        <v>10</v>
      </c>
      <c r="D169" s="133" t="s">
        <v>3103</v>
      </c>
      <c r="E169" s="133" t="s">
        <v>63</v>
      </c>
      <c r="F169" s="133" t="s">
        <v>109</v>
      </c>
      <c r="G169" s="133" t="s">
        <v>8820</v>
      </c>
      <c r="H169" s="133" t="s">
        <v>8747</v>
      </c>
    </row>
    <row r="170" spans="1:9">
      <c r="A170" s="214" t="s">
        <v>7651</v>
      </c>
      <c r="B170" s="214" t="s">
        <v>7653</v>
      </c>
      <c r="C170" s="133" t="s">
        <v>10</v>
      </c>
      <c r="D170" s="133" t="s">
        <v>7652</v>
      </c>
      <c r="E170" s="133" t="s">
        <v>63</v>
      </c>
      <c r="F170" s="133" t="s">
        <v>109</v>
      </c>
      <c r="G170" s="133" t="s">
        <v>8820</v>
      </c>
      <c r="H170" s="133" t="s">
        <v>8747</v>
      </c>
    </row>
    <row r="171" spans="1:9">
      <c r="A171" s="214" t="s">
        <v>4503</v>
      </c>
      <c r="B171" s="214" t="s">
        <v>4504</v>
      </c>
      <c r="C171" s="133" t="s">
        <v>9</v>
      </c>
      <c r="D171" s="133" t="s">
        <v>4497</v>
      </c>
      <c r="E171" s="133" t="s">
        <v>3539</v>
      </c>
      <c r="F171" s="133" t="s">
        <v>109</v>
      </c>
      <c r="G171" s="133" t="s">
        <v>8776</v>
      </c>
      <c r="H171" s="133" t="s">
        <v>8747</v>
      </c>
    </row>
    <row r="172" spans="1:9">
      <c r="A172" s="214" t="s">
        <v>3831</v>
      </c>
      <c r="B172" s="214" t="s">
        <v>3833</v>
      </c>
      <c r="C172" s="133" t="s">
        <v>8</v>
      </c>
      <c r="D172" s="133" t="s">
        <v>9066</v>
      </c>
      <c r="E172" s="133" t="s">
        <v>63</v>
      </c>
      <c r="F172" s="133" t="s">
        <v>109</v>
      </c>
      <c r="G172" s="133" t="s">
        <v>8820</v>
      </c>
      <c r="H172" s="133" t="s">
        <v>8747</v>
      </c>
    </row>
    <row r="173" spans="1:9">
      <c r="A173" s="214" t="s">
        <v>9067</v>
      </c>
      <c r="B173" s="214" t="s">
        <v>9068</v>
      </c>
      <c r="C173" s="133" t="s">
        <v>8</v>
      </c>
      <c r="D173" s="133" t="s">
        <v>1413</v>
      </c>
      <c r="E173" s="133" t="s">
        <v>63</v>
      </c>
      <c r="F173" s="133" t="s">
        <v>109</v>
      </c>
      <c r="G173" s="133" t="s">
        <v>8820</v>
      </c>
      <c r="H173" s="133" t="s">
        <v>8747</v>
      </c>
      <c r="I173" s="23" t="s">
        <v>63</v>
      </c>
    </row>
    <row r="174" spans="1:9">
      <c r="A174" s="214" t="s">
        <v>9069</v>
      </c>
      <c r="B174" s="214" t="s">
        <v>9070</v>
      </c>
      <c r="C174" s="133" t="s">
        <v>178</v>
      </c>
      <c r="D174" s="133" t="s">
        <v>9071</v>
      </c>
      <c r="E174" s="133" t="s">
        <v>178</v>
      </c>
      <c r="F174" s="133" t="s">
        <v>109</v>
      </c>
      <c r="G174" s="133" t="s">
        <v>9072</v>
      </c>
      <c r="H174" s="133" t="s">
        <v>8747</v>
      </c>
      <c r="I174" s="23" t="s">
        <v>63</v>
      </c>
    </row>
    <row r="175" spans="1:9">
      <c r="A175" s="214" t="s">
        <v>9073</v>
      </c>
      <c r="B175" s="214" t="s">
        <v>9074</v>
      </c>
      <c r="C175" s="133" t="s">
        <v>8</v>
      </c>
      <c r="D175" s="133" t="s">
        <v>477</v>
      </c>
      <c r="E175" s="133" t="s">
        <v>83</v>
      </c>
      <c r="F175" s="133" t="s">
        <v>109</v>
      </c>
      <c r="G175" s="133" t="s">
        <v>8982</v>
      </c>
      <c r="H175" s="133" t="s">
        <v>8747</v>
      </c>
      <c r="I175" s="23" t="s">
        <v>63</v>
      </c>
    </row>
    <row r="176" spans="1:9">
      <c r="A176" s="214" t="s">
        <v>9075</v>
      </c>
      <c r="B176" s="214" t="s">
        <v>9076</v>
      </c>
      <c r="C176" s="133" t="s">
        <v>399</v>
      </c>
      <c r="D176" s="133" t="s">
        <v>8769</v>
      </c>
      <c r="E176" s="133" t="s">
        <v>83</v>
      </c>
      <c r="F176" s="133" t="s">
        <v>109</v>
      </c>
      <c r="G176" s="133" t="s">
        <v>8755</v>
      </c>
      <c r="H176" s="133" t="s">
        <v>8747</v>
      </c>
      <c r="I176" s="23" t="s">
        <v>63</v>
      </c>
    </row>
    <row r="177" spans="1:9">
      <c r="A177" s="214" t="s">
        <v>5491</v>
      </c>
      <c r="B177" s="214" t="s">
        <v>5493</v>
      </c>
      <c r="C177" s="133" t="s">
        <v>794</v>
      </c>
      <c r="D177" s="133" t="s">
        <v>5492</v>
      </c>
      <c r="E177" s="133" t="s">
        <v>83</v>
      </c>
      <c r="F177" s="133" t="s">
        <v>109</v>
      </c>
      <c r="G177" s="133" t="s">
        <v>8826</v>
      </c>
      <c r="H177" s="133" t="s">
        <v>8747</v>
      </c>
      <c r="I177" s="23" t="s">
        <v>63</v>
      </c>
    </row>
    <row r="178" spans="1:9">
      <c r="A178" s="214" t="s">
        <v>4087</v>
      </c>
      <c r="B178" s="214" t="s">
        <v>4088</v>
      </c>
      <c r="C178" s="133" t="s">
        <v>10</v>
      </c>
      <c r="D178" s="133" t="s">
        <v>4064</v>
      </c>
      <c r="E178" s="133" t="s">
        <v>83</v>
      </c>
      <c r="F178" s="133" t="s">
        <v>109</v>
      </c>
      <c r="G178" s="133" t="s">
        <v>8776</v>
      </c>
      <c r="H178" s="133" t="s">
        <v>8747</v>
      </c>
      <c r="I178" s="23" t="s">
        <v>63</v>
      </c>
    </row>
    <row r="179" spans="1:9">
      <c r="A179" s="214" t="s">
        <v>9077</v>
      </c>
      <c r="B179" s="214" t="s">
        <v>9078</v>
      </c>
      <c r="C179" s="133" t="s">
        <v>10</v>
      </c>
      <c r="D179" s="133" t="s">
        <v>4301</v>
      </c>
      <c r="E179" s="133" t="s">
        <v>83</v>
      </c>
      <c r="F179" s="133" t="s">
        <v>109</v>
      </c>
      <c r="G179" s="133" t="s">
        <v>8765</v>
      </c>
      <c r="H179" s="133" t="s">
        <v>8747</v>
      </c>
      <c r="I179" s="23" t="s">
        <v>63</v>
      </c>
    </row>
    <row r="180" spans="1:9">
      <c r="A180" s="214" t="s">
        <v>4758</v>
      </c>
      <c r="B180" s="214" t="s">
        <v>4759</v>
      </c>
      <c r="C180" s="133" t="s">
        <v>399</v>
      </c>
      <c r="D180" s="133" t="s">
        <v>1375</v>
      </c>
      <c r="E180" s="133" t="s">
        <v>83</v>
      </c>
      <c r="F180" s="133" t="s">
        <v>109</v>
      </c>
      <c r="G180" s="133" t="s">
        <v>8755</v>
      </c>
      <c r="H180" s="133" t="s">
        <v>8747</v>
      </c>
      <c r="I180" s="23" t="s">
        <v>63</v>
      </c>
    </row>
    <row r="181" spans="1:9">
      <c r="A181" s="214" t="s">
        <v>247</v>
      </c>
      <c r="B181" s="214" t="s">
        <v>249</v>
      </c>
      <c r="C181" s="133" t="s">
        <v>8</v>
      </c>
      <c r="D181" s="133" t="s">
        <v>248</v>
      </c>
      <c r="E181" s="133" t="s">
        <v>83</v>
      </c>
      <c r="F181" s="133" t="s">
        <v>109</v>
      </c>
      <c r="G181" s="133" t="s">
        <v>8765</v>
      </c>
      <c r="H181" s="133" t="s">
        <v>8747</v>
      </c>
      <c r="I181" s="23" t="s">
        <v>63</v>
      </c>
    </row>
    <row r="182" spans="1:9">
      <c r="A182" s="214" t="s">
        <v>9079</v>
      </c>
      <c r="B182" s="214" t="s">
        <v>5671</v>
      </c>
      <c r="C182" s="133" t="s">
        <v>178</v>
      </c>
      <c r="D182" s="133" t="s">
        <v>9080</v>
      </c>
      <c r="E182" s="133" t="s">
        <v>83</v>
      </c>
      <c r="F182" s="133" t="s">
        <v>109</v>
      </c>
      <c r="G182" s="133" t="s">
        <v>9081</v>
      </c>
      <c r="H182" s="133" t="s">
        <v>8747</v>
      </c>
      <c r="I182" s="23" t="s">
        <v>63</v>
      </c>
    </row>
    <row r="183" spans="1:9">
      <c r="A183" s="214" t="s">
        <v>9082</v>
      </c>
      <c r="B183" s="214" t="s">
        <v>9083</v>
      </c>
      <c r="C183" s="133" t="s">
        <v>10</v>
      </c>
      <c r="D183" s="133" t="s">
        <v>4187</v>
      </c>
      <c r="E183" s="133" t="s">
        <v>83</v>
      </c>
      <c r="F183" s="133" t="s">
        <v>109</v>
      </c>
      <c r="G183" s="133" t="s">
        <v>9084</v>
      </c>
      <c r="H183" s="133" t="s">
        <v>8747</v>
      </c>
      <c r="I183" s="23" t="s">
        <v>63</v>
      </c>
    </row>
    <row r="184" spans="1:9">
      <c r="A184" s="214" t="s">
        <v>9085</v>
      </c>
      <c r="B184" s="214" t="s">
        <v>9086</v>
      </c>
      <c r="C184" s="133" t="s">
        <v>8</v>
      </c>
      <c r="D184" s="133" t="s">
        <v>96</v>
      </c>
      <c r="E184" s="133" t="s">
        <v>83</v>
      </c>
      <c r="F184" s="133" t="s">
        <v>109</v>
      </c>
      <c r="G184" s="133" t="s">
        <v>9084</v>
      </c>
      <c r="H184" s="133" t="s">
        <v>8747</v>
      </c>
      <c r="I184" s="23" t="s">
        <v>63</v>
      </c>
    </row>
    <row r="185" spans="1:9">
      <c r="A185" s="214" t="s">
        <v>9087</v>
      </c>
      <c r="B185" s="214" t="s">
        <v>9088</v>
      </c>
      <c r="C185" s="133" t="s">
        <v>8132</v>
      </c>
      <c r="D185" s="133" t="s">
        <v>8751</v>
      </c>
      <c r="E185" s="133" t="s">
        <v>83</v>
      </c>
      <c r="F185" s="133" t="s">
        <v>109</v>
      </c>
      <c r="G185" s="133" t="s">
        <v>9089</v>
      </c>
      <c r="H185" s="133" t="s">
        <v>8747</v>
      </c>
      <c r="I185" s="23" t="s">
        <v>63</v>
      </c>
    </row>
    <row r="186" spans="1:9">
      <c r="A186" s="214" t="s">
        <v>9090</v>
      </c>
      <c r="B186" s="214" t="s">
        <v>9091</v>
      </c>
      <c r="C186" s="133" t="s">
        <v>178</v>
      </c>
      <c r="D186" s="133" t="s">
        <v>9092</v>
      </c>
      <c r="E186" s="133" t="s">
        <v>83</v>
      </c>
      <c r="F186" s="133" t="s">
        <v>109</v>
      </c>
      <c r="G186" s="133" t="s">
        <v>8776</v>
      </c>
      <c r="H186" s="133" t="s">
        <v>8747</v>
      </c>
      <c r="I186" s="23" t="s">
        <v>63</v>
      </c>
    </row>
    <row r="187" spans="1:9">
      <c r="A187" s="214" t="s">
        <v>9093</v>
      </c>
      <c r="B187" s="214" t="s">
        <v>4807</v>
      </c>
      <c r="C187" s="133" t="s">
        <v>9</v>
      </c>
      <c r="D187" s="133" t="s">
        <v>4789</v>
      </c>
      <c r="E187" s="133" t="s">
        <v>83</v>
      </c>
      <c r="F187" s="133" t="s">
        <v>109</v>
      </c>
      <c r="G187" s="133" t="s">
        <v>8776</v>
      </c>
      <c r="H187" s="133" t="s">
        <v>8747</v>
      </c>
      <c r="I187" s="23" t="s">
        <v>63</v>
      </c>
    </row>
    <row r="188" spans="1:9">
      <c r="A188" s="214" t="s">
        <v>9094</v>
      </c>
      <c r="B188" s="214" t="s">
        <v>9095</v>
      </c>
      <c r="C188" s="133" t="s">
        <v>2146</v>
      </c>
      <c r="D188" s="133" t="s">
        <v>2197</v>
      </c>
      <c r="E188" s="133" t="s">
        <v>83</v>
      </c>
      <c r="F188" s="133" t="s">
        <v>109</v>
      </c>
      <c r="G188" s="133" t="s">
        <v>8980</v>
      </c>
      <c r="H188" s="133" t="s">
        <v>8747</v>
      </c>
      <c r="I188" s="23" t="s">
        <v>63</v>
      </c>
    </row>
    <row r="189" spans="1:9">
      <c r="A189" s="214" t="s">
        <v>6902</v>
      </c>
      <c r="B189" s="214" t="s">
        <v>6903</v>
      </c>
      <c r="C189" s="133" t="s">
        <v>399</v>
      </c>
      <c r="D189" s="133" t="s">
        <v>401</v>
      </c>
      <c r="E189" s="133" t="s">
        <v>83</v>
      </c>
      <c r="F189" s="133" t="s">
        <v>109</v>
      </c>
      <c r="G189" s="133" t="s">
        <v>8755</v>
      </c>
      <c r="H189" s="133" t="s">
        <v>8747</v>
      </c>
      <c r="I189" s="23" t="s">
        <v>63</v>
      </c>
    </row>
    <row r="190" spans="1:9">
      <c r="A190" s="214" t="s">
        <v>901</v>
      </c>
      <c r="B190" s="214" t="s">
        <v>902</v>
      </c>
      <c r="C190" s="133" t="s">
        <v>8</v>
      </c>
      <c r="D190" s="133" t="s">
        <v>9096</v>
      </c>
      <c r="E190" s="133" t="s">
        <v>83</v>
      </c>
      <c r="F190" s="133" t="s">
        <v>109</v>
      </c>
      <c r="G190" s="133" t="s">
        <v>8987</v>
      </c>
      <c r="H190" s="133" t="s">
        <v>8747</v>
      </c>
      <c r="I190" s="23" t="s">
        <v>63</v>
      </c>
    </row>
    <row r="191" spans="1:9">
      <c r="A191" s="214" t="s">
        <v>5621</v>
      </c>
      <c r="B191" s="214" t="s">
        <v>5622</v>
      </c>
      <c r="C191" s="133" t="s">
        <v>2146</v>
      </c>
      <c r="D191" s="133" t="s">
        <v>2148</v>
      </c>
      <c r="E191" s="133" t="s">
        <v>83</v>
      </c>
      <c r="F191" s="133" t="s">
        <v>109</v>
      </c>
      <c r="G191" s="133" t="s">
        <v>9052</v>
      </c>
      <c r="H191" s="133" t="s">
        <v>8747</v>
      </c>
      <c r="I191" s="23" t="s">
        <v>63</v>
      </c>
    </row>
    <row r="192" spans="1:9">
      <c r="A192" s="214" t="s">
        <v>1660</v>
      </c>
      <c r="B192" s="214" t="s">
        <v>1661</v>
      </c>
      <c r="C192" s="133" t="s">
        <v>8</v>
      </c>
      <c r="D192" s="133" t="s">
        <v>932</v>
      </c>
      <c r="E192" s="133" t="s">
        <v>83</v>
      </c>
      <c r="F192" s="133" t="s">
        <v>109</v>
      </c>
      <c r="G192" s="133" t="s">
        <v>8784</v>
      </c>
      <c r="H192" s="133" t="s">
        <v>8747</v>
      </c>
      <c r="I192" s="23" t="s">
        <v>63</v>
      </c>
    </row>
    <row r="193" spans="1:9">
      <c r="A193" s="214" t="s">
        <v>4885</v>
      </c>
      <c r="B193" s="214" t="s">
        <v>4886</v>
      </c>
      <c r="C193" s="133" t="s">
        <v>9</v>
      </c>
      <c r="D193" s="133" t="s">
        <v>4819</v>
      </c>
      <c r="E193" s="133" t="s">
        <v>83</v>
      </c>
      <c r="F193" s="133" t="s">
        <v>109</v>
      </c>
      <c r="G193" s="133" t="s">
        <v>8861</v>
      </c>
      <c r="H193" s="133" t="s">
        <v>8747</v>
      </c>
      <c r="I193" s="23" t="s">
        <v>63</v>
      </c>
    </row>
    <row r="194" spans="1:9">
      <c r="A194" s="214" t="s">
        <v>4237</v>
      </c>
      <c r="B194" s="214" t="s">
        <v>4238</v>
      </c>
      <c r="C194" s="133" t="s">
        <v>10</v>
      </c>
      <c r="D194" s="133" t="s">
        <v>4216</v>
      </c>
      <c r="E194" s="133" t="s">
        <v>83</v>
      </c>
      <c r="F194" s="133" t="s">
        <v>109</v>
      </c>
      <c r="G194" s="133" t="s">
        <v>8776</v>
      </c>
      <c r="H194" s="133" t="s">
        <v>8747</v>
      </c>
      <c r="I194" s="23" t="s">
        <v>63</v>
      </c>
    </row>
    <row r="195" spans="1:9">
      <c r="A195" s="214" t="s">
        <v>5832</v>
      </c>
      <c r="B195" s="214" t="s">
        <v>5833</v>
      </c>
      <c r="C195" s="133" t="s">
        <v>10</v>
      </c>
      <c r="D195" s="133" t="s">
        <v>3103</v>
      </c>
      <c r="E195" s="133" t="s">
        <v>63</v>
      </c>
      <c r="F195" s="133" t="s">
        <v>109</v>
      </c>
      <c r="G195" s="133" t="s">
        <v>9028</v>
      </c>
      <c r="H195" s="133" t="s">
        <v>8747</v>
      </c>
      <c r="I195" s="23" t="s">
        <v>63</v>
      </c>
    </row>
    <row r="196" spans="1:9">
      <c r="A196" s="214" t="s">
        <v>9097</v>
      </c>
      <c r="B196" s="214" t="s">
        <v>9098</v>
      </c>
      <c r="C196" s="133" t="s">
        <v>8</v>
      </c>
      <c r="D196" s="133" t="s">
        <v>1047</v>
      </c>
      <c r="E196" s="133" t="s">
        <v>63</v>
      </c>
      <c r="F196" s="133" t="s">
        <v>109</v>
      </c>
      <c r="G196" s="133" t="s">
        <v>8820</v>
      </c>
      <c r="H196" s="133" t="s">
        <v>8747</v>
      </c>
      <c r="I196" s="23" t="s">
        <v>63</v>
      </c>
    </row>
    <row r="197" spans="1:9">
      <c r="A197" s="214" t="s">
        <v>9099</v>
      </c>
      <c r="B197" s="214" t="s">
        <v>9100</v>
      </c>
      <c r="C197" s="133" t="s">
        <v>8</v>
      </c>
      <c r="D197" s="133" t="s">
        <v>1406</v>
      </c>
      <c r="E197" s="133" t="s">
        <v>63</v>
      </c>
      <c r="F197" s="133" t="s">
        <v>109</v>
      </c>
      <c r="G197" s="133" t="s">
        <v>8820</v>
      </c>
      <c r="H197" s="133" t="s">
        <v>8747</v>
      </c>
      <c r="I197" s="23" t="s">
        <v>63</v>
      </c>
    </row>
    <row r="198" spans="1:9">
      <c r="A198" s="214" t="s">
        <v>9101</v>
      </c>
      <c r="B198" s="214" t="s">
        <v>2934</v>
      </c>
      <c r="C198" s="133" t="s">
        <v>8</v>
      </c>
      <c r="D198" s="133" t="s">
        <v>66</v>
      </c>
      <c r="E198" s="133" t="s">
        <v>63</v>
      </c>
      <c r="F198" s="133" t="s">
        <v>109</v>
      </c>
      <c r="G198" s="133" t="s">
        <v>8820</v>
      </c>
      <c r="H198" s="133" t="s">
        <v>8747</v>
      </c>
      <c r="I198" s="23" t="s">
        <v>63</v>
      </c>
    </row>
    <row r="199" spans="1:9">
      <c r="A199" s="214" t="s">
        <v>6147</v>
      </c>
      <c r="B199" s="214" t="s">
        <v>6149</v>
      </c>
      <c r="C199" s="133" t="s">
        <v>10</v>
      </c>
      <c r="D199" s="133" t="s">
        <v>6148</v>
      </c>
      <c r="E199" s="133" t="s">
        <v>63</v>
      </c>
      <c r="F199" s="133" t="s">
        <v>109</v>
      </c>
      <c r="G199" s="133" t="s">
        <v>9028</v>
      </c>
      <c r="H199" s="133" t="s">
        <v>8747</v>
      </c>
      <c r="I199" s="23" t="s">
        <v>63</v>
      </c>
    </row>
    <row r="200" spans="1:9">
      <c r="A200" s="214" t="s">
        <v>9102</v>
      </c>
      <c r="B200" s="214" t="s">
        <v>9103</v>
      </c>
      <c r="C200" s="133" t="s">
        <v>8</v>
      </c>
      <c r="D200" s="133" t="s">
        <v>1041</v>
      </c>
      <c r="E200" s="133" t="s">
        <v>63</v>
      </c>
      <c r="F200" s="133" t="s">
        <v>109</v>
      </c>
      <c r="G200" s="133" t="s">
        <v>8820</v>
      </c>
      <c r="H200" s="133" t="s">
        <v>8747</v>
      </c>
      <c r="I200" s="23" t="s">
        <v>63</v>
      </c>
    </row>
    <row r="201" spans="1:9">
      <c r="A201" s="214" t="s">
        <v>685</v>
      </c>
      <c r="B201" s="214" t="s">
        <v>687</v>
      </c>
      <c r="C201" s="133" t="s">
        <v>8</v>
      </c>
      <c r="D201" s="133" t="s">
        <v>686</v>
      </c>
      <c r="E201" s="133" t="s">
        <v>63</v>
      </c>
      <c r="F201" s="133" t="s">
        <v>109</v>
      </c>
      <c r="G201" s="133" t="s">
        <v>9104</v>
      </c>
      <c r="H201" s="133" t="s">
        <v>8747</v>
      </c>
      <c r="I201" s="23" t="s">
        <v>63</v>
      </c>
    </row>
    <row r="202" spans="1:9">
      <c r="A202" s="214" t="s">
        <v>2631</v>
      </c>
      <c r="B202" s="214" t="s">
        <v>2632</v>
      </c>
      <c r="C202" s="133" t="s">
        <v>8</v>
      </c>
      <c r="D202" s="133" t="s">
        <v>995</v>
      </c>
      <c r="E202" s="133" t="s">
        <v>63</v>
      </c>
      <c r="F202" s="133" t="s">
        <v>109</v>
      </c>
      <c r="G202" s="133" t="s">
        <v>8826</v>
      </c>
      <c r="H202" s="133" t="s">
        <v>8747</v>
      </c>
      <c r="I202" s="23" t="s">
        <v>63</v>
      </c>
    </row>
    <row r="203" spans="1:9">
      <c r="A203" s="214" t="s">
        <v>9105</v>
      </c>
      <c r="B203" s="214" t="s">
        <v>9106</v>
      </c>
      <c r="C203" s="133" t="s">
        <v>10</v>
      </c>
      <c r="D203" s="133" t="s">
        <v>6374</v>
      </c>
      <c r="E203" s="133" t="s">
        <v>63</v>
      </c>
      <c r="F203" s="133" t="s">
        <v>109</v>
      </c>
      <c r="G203" s="133" t="s">
        <v>8826</v>
      </c>
      <c r="H203" s="133" t="s">
        <v>8747</v>
      </c>
      <c r="I203" s="23" t="s">
        <v>63</v>
      </c>
    </row>
    <row r="204" spans="1:9">
      <c r="A204" s="214" t="s">
        <v>7970</v>
      </c>
      <c r="B204" s="214" t="s">
        <v>7971</v>
      </c>
      <c r="C204" s="133" t="s">
        <v>10</v>
      </c>
      <c r="D204" s="133" t="s">
        <v>6250</v>
      </c>
      <c r="E204" s="133" t="s">
        <v>63</v>
      </c>
      <c r="F204" s="133" t="s">
        <v>109</v>
      </c>
      <c r="G204" s="133" t="s">
        <v>9028</v>
      </c>
      <c r="H204" s="133" t="s">
        <v>8747</v>
      </c>
      <c r="I204" s="23" t="s">
        <v>63</v>
      </c>
    </row>
    <row r="205" spans="1:9">
      <c r="A205" s="214" t="s">
        <v>3704</v>
      </c>
      <c r="B205" s="214" t="s">
        <v>845</v>
      </c>
      <c r="C205" s="133" t="s">
        <v>8</v>
      </c>
      <c r="D205" s="133" t="s">
        <v>154</v>
      </c>
      <c r="E205" s="133" t="s">
        <v>63</v>
      </c>
      <c r="F205" s="133" t="s">
        <v>109</v>
      </c>
      <c r="G205" s="133" t="s">
        <v>8820</v>
      </c>
      <c r="H205" s="133" t="s">
        <v>8747</v>
      </c>
      <c r="I205" s="23" t="s">
        <v>63</v>
      </c>
    </row>
    <row r="206" spans="1:9">
      <c r="A206" s="214" t="s">
        <v>1521</v>
      </c>
      <c r="B206" s="214" t="s">
        <v>1523</v>
      </c>
      <c r="C206" s="133" t="s">
        <v>8</v>
      </c>
      <c r="D206" s="133" t="s">
        <v>1522</v>
      </c>
      <c r="E206" s="133" t="s">
        <v>63</v>
      </c>
      <c r="F206" s="133" t="s">
        <v>109</v>
      </c>
      <c r="G206" s="133" t="s">
        <v>8820</v>
      </c>
      <c r="H206" s="133" t="s">
        <v>8747</v>
      </c>
      <c r="I206" s="23" t="s">
        <v>63</v>
      </c>
    </row>
    <row r="207" spans="1:9">
      <c r="A207" s="214" t="s">
        <v>9107</v>
      </c>
      <c r="B207" s="214" t="s">
        <v>9108</v>
      </c>
      <c r="C207" s="133" t="s">
        <v>8</v>
      </c>
      <c r="D207" s="133" t="s">
        <v>2076</v>
      </c>
      <c r="E207" s="133" t="s">
        <v>63</v>
      </c>
      <c r="F207" s="133" t="s">
        <v>109</v>
      </c>
      <c r="G207" s="133" t="s">
        <v>9028</v>
      </c>
      <c r="H207" s="133" t="s">
        <v>8747</v>
      </c>
      <c r="I207" s="23" t="s">
        <v>63</v>
      </c>
    </row>
    <row r="208" spans="1:9">
      <c r="A208" s="214" t="s">
        <v>9109</v>
      </c>
      <c r="B208" s="214" t="s">
        <v>9110</v>
      </c>
      <c r="C208" s="133" t="s">
        <v>10</v>
      </c>
      <c r="D208" s="133" t="s">
        <v>6381</v>
      </c>
      <c r="E208" s="133" t="s">
        <v>63</v>
      </c>
      <c r="F208" s="133" t="s">
        <v>109</v>
      </c>
      <c r="G208" s="133" t="s">
        <v>8820</v>
      </c>
      <c r="H208" s="133" t="s">
        <v>8747</v>
      </c>
      <c r="I208" s="23" t="s">
        <v>63</v>
      </c>
    </row>
    <row r="209" spans="1:9">
      <c r="A209" s="214" t="s">
        <v>9111</v>
      </c>
      <c r="B209" s="214" t="s">
        <v>9112</v>
      </c>
      <c r="C209" s="133" t="s">
        <v>10</v>
      </c>
      <c r="D209" s="133" t="s">
        <v>4914</v>
      </c>
      <c r="E209" s="133" t="s">
        <v>63</v>
      </c>
      <c r="F209" s="133" t="s">
        <v>109</v>
      </c>
      <c r="G209" s="133" t="s">
        <v>8820</v>
      </c>
      <c r="H209" s="133" t="s">
        <v>8747</v>
      </c>
      <c r="I209" s="23" t="s">
        <v>63</v>
      </c>
    </row>
    <row r="210" spans="1:9">
      <c r="A210" s="214" t="s">
        <v>9113</v>
      </c>
      <c r="B210" s="214" t="s">
        <v>9114</v>
      </c>
      <c r="C210" s="133" t="s">
        <v>10</v>
      </c>
      <c r="D210" s="133" t="s">
        <v>8923</v>
      </c>
      <c r="E210" s="133" t="s">
        <v>63</v>
      </c>
      <c r="F210" s="133" t="s">
        <v>109</v>
      </c>
      <c r="G210" s="133" t="s">
        <v>8820</v>
      </c>
      <c r="H210" s="133" t="s">
        <v>8747</v>
      </c>
      <c r="I210" s="23" t="s">
        <v>63</v>
      </c>
    </row>
    <row r="211" spans="1:9">
      <c r="A211" s="214" t="s">
        <v>9115</v>
      </c>
      <c r="B211" s="214" t="s">
        <v>9116</v>
      </c>
      <c r="C211" s="133" t="s">
        <v>10</v>
      </c>
      <c r="D211" s="133" t="s">
        <v>6405</v>
      </c>
      <c r="E211" s="133" t="s">
        <v>63</v>
      </c>
      <c r="F211" s="133" t="s">
        <v>109</v>
      </c>
      <c r="G211" s="133" t="s">
        <v>8820</v>
      </c>
      <c r="H211" s="133" t="s">
        <v>8747</v>
      </c>
      <c r="I211" s="23" t="s">
        <v>63</v>
      </c>
    </row>
    <row r="212" spans="1:9">
      <c r="A212" s="214" t="s">
        <v>9117</v>
      </c>
      <c r="B212" s="214" t="s">
        <v>9118</v>
      </c>
      <c r="C212" s="133" t="s">
        <v>8</v>
      </c>
      <c r="D212" s="133" t="s">
        <v>781</v>
      </c>
      <c r="E212" s="133" t="s">
        <v>83</v>
      </c>
      <c r="F212" s="133" t="s">
        <v>109</v>
      </c>
      <c r="G212" s="133" t="s">
        <v>8826</v>
      </c>
      <c r="H212" s="133" t="s">
        <v>8747</v>
      </c>
      <c r="I212" s="23" t="s">
        <v>63</v>
      </c>
    </row>
    <row r="213" spans="1:9">
      <c r="A213" s="214" t="s">
        <v>9119</v>
      </c>
      <c r="B213" s="214" t="s">
        <v>9120</v>
      </c>
      <c r="C213" s="133" t="s">
        <v>10</v>
      </c>
      <c r="D213" s="133" t="s">
        <v>9013</v>
      </c>
      <c r="E213" s="133" t="s">
        <v>63</v>
      </c>
      <c r="F213" s="133" t="s">
        <v>109</v>
      </c>
      <c r="G213" s="133" t="s">
        <v>9032</v>
      </c>
      <c r="H213" s="133" t="s">
        <v>8747</v>
      </c>
    </row>
    <row r="214" spans="1:9">
      <c r="A214" s="214" t="s">
        <v>9121</v>
      </c>
      <c r="B214" s="214" t="s">
        <v>8818</v>
      </c>
      <c r="C214" s="133" t="s">
        <v>8</v>
      </c>
      <c r="D214" s="133" t="s">
        <v>1522</v>
      </c>
      <c r="E214" s="133" t="s">
        <v>63</v>
      </c>
      <c r="F214" s="133" t="s">
        <v>109</v>
      </c>
      <c r="G214" s="133" t="s">
        <v>8826</v>
      </c>
      <c r="H214" s="133" t="s">
        <v>8747</v>
      </c>
    </row>
    <row r="215" spans="1:9">
      <c r="A215" s="214" t="s">
        <v>9122</v>
      </c>
      <c r="B215" s="214" t="s">
        <v>9123</v>
      </c>
      <c r="C215" s="133" t="s">
        <v>10</v>
      </c>
      <c r="D215" s="133" t="s">
        <v>6012</v>
      </c>
      <c r="E215" s="133" t="s">
        <v>63</v>
      </c>
      <c r="F215" s="133" t="s">
        <v>109</v>
      </c>
      <c r="G215" s="133" t="s">
        <v>8826</v>
      </c>
      <c r="H215" s="133" t="s">
        <v>8747</v>
      </c>
    </row>
    <row r="216" spans="1:9">
      <c r="A216" s="214" t="s">
        <v>6061</v>
      </c>
      <c r="B216" s="214" t="s">
        <v>6062</v>
      </c>
      <c r="C216" s="133" t="s">
        <v>8</v>
      </c>
      <c r="D216" s="133" t="s">
        <v>651</v>
      </c>
      <c r="E216" s="133" t="s">
        <v>63</v>
      </c>
      <c r="F216" s="133" t="s">
        <v>109</v>
      </c>
      <c r="G216" s="133" t="s">
        <v>9028</v>
      </c>
      <c r="H216" s="133" t="s">
        <v>8747</v>
      </c>
    </row>
    <row r="217" spans="1:9">
      <c r="A217" s="214" t="s">
        <v>9124</v>
      </c>
      <c r="B217" s="214" t="s">
        <v>9125</v>
      </c>
      <c r="C217" s="133" t="s">
        <v>8</v>
      </c>
      <c r="D217" s="133" t="s">
        <v>686</v>
      </c>
      <c r="E217" s="133" t="s">
        <v>63</v>
      </c>
      <c r="F217" s="133" t="s">
        <v>109</v>
      </c>
      <c r="G217" s="133" t="s">
        <v>8826</v>
      </c>
      <c r="H217" s="133" t="s">
        <v>8747</v>
      </c>
    </row>
    <row r="218" spans="1:9">
      <c r="A218" s="214" t="s">
        <v>9126</v>
      </c>
      <c r="B218" s="214" t="s">
        <v>9127</v>
      </c>
      <c r="C218" s="133" t="s">
        <v>8</v>
      </c>
      <c r="D218" s="133" t="s">
        <v>2214</v>
      </c>
      <c r="E218" s="133" t="s">
        <v>63</v>
      </c>
      <c r="F218" s="133" t="s">
        <v>109</v>
      </c>
      <c r="G218" s="133" t="s">
        <v>8820</v>
      </c>
      <c r="H218" s="133" t="s">
        <v>8747</v>
      </c>
    </row>
    <row r="219" spans="1:9">
      <c r="A219" s="214" t="s">
        <v>9128</v>
      </c>
      <c r="B219" s="214" t="s">
        <v>9129</v>
      </c>
      <c r="C219" s="133" t="s">
        <v>10</v>
      </c>
      <c r="D219" s="133" t="s">
        <v>8905</v>
      </c>
      <c r="E219" s="133" t="s">
        <v>63</v>
      </c>
      <c r="F219" s="133" t="s">
        <v>109</v>
      </c>
      <c r="G219" s="133" t="s">
        <v>8820</v>
      </c>
      <c r="H219" s="133" t="s">
        <v>8747</v>
      </c>
    </row>
    <row r="220" spans="1:9">
      <c r="A220" s="214" t="s">
        <v>9130</v>
      </c>
      <c r="B220" s="214" t="s">
        <v>9131</v>
      </c>
      <c r="C220" s="133" t="s">
        <v>178</v>
      </c>
      <c r="D220" s="133" t="s">
        <v>8979</v>
      </c>
      <c r="E220" s="133" t="s">
        <v>178</v>
      </c>
      <c r="F220" s="133" t="s">
        <v>109</v>
      </c>
      <c r="G220" s="133" t="s">
        <v>8820</v>
      </c>
      <c r="H220" s="133" t="s">
        <v>8747</v>
      </c>
    </row>
    <row r="221" spans="1:9">
      <c r="A221" s="214" t="s">
        <v>9132</v>
      </c>
      <c r="B221" s="214" t="s">
        <v>9133</v>
      </c>
      <c r="C221" s="133" t="s">
        <v>8</v>
      </c>
      <c r="D221" s="133" t="s">
        <v>1406</v>
      </c>
      <c r="E221" s="133" t="s">
        <v>63</v>
      </c>
      <c r="F221" s="133" t="s">
        <v>109</v>
      </c>
      <c r="G221" s="133" t="s">
        <v>8820</v>
      </c>
      <c r="H221" s="133" t="s">
        <v>8747</v>
      </c>
    </row>
    <row r="222" spans="1:9">
      <c r="A222" s="214" t="s">
        <v>3395</v>
      </c>
      <c r="B222" s="214" t="s">
        <v>3396</v>
      </c>
      <c r="C222" s="133" t="s">
        <v>8</v>
      </c>
      <c r="D222" s="133" t="s">
        <v>154</v>
      </c>
      <c r="E222" s="133" t="s">
        <v>63</v>
      </c>
      <c r="F222" s="133" t="s">
        <v>109</v>
      </c>
      <c r="G222" s="133" t="s">
        <v>9028</v>
      </c>
      <c r="H222" s="133" t="s">
        <v>8747</v>
      </c>
    </row>
    <row r="223" spans="1:9">
      <c r="A223" s="214" t="s">
        <v>9134</v>
      </c>
      <c r="B223" s="214" t="s">
        <v>9135</v>
      </c>
      <c r="C223" s="133" t="s">
        <v>8</v>
      </c>
      <c r="D223" s="133" t="s">
        <v>1522</v>
      </c>
      <c r="E223" s="133" t="s">
        <v>63</v>
      </c>
      <c r="F223" s="133" t="s">
        <v>109</v>
      </c>
      <c r="G223" s="133" t="s">
        <v>8820</v>
      </c>
      <c r="H223" s="133" t="s">
        <v>8747</v>
      </c>
    </row>
    <row r="224" spans="1:9">
      <c r="A224" s="214" t="s">
        <v>2482</v>
      </c>
      <c r="B224" s="214" t="s">
        <v>670</v>
      </c>
      <c r="C224" s="133" t="s">
        <v>8</v>
      </c>
      <c r="D224" s="133" t="s">
        <v>1562</v>
      </c>
      <c r="E224" s="133" t="s">
        <v>63</v>
      </c>
      <c r="F224" s="133" t="s">
        <v>109</v>
      </c>
      <c r="G224" s="133" t="s">
        <v>8820</v>
      </c>
      <c r="H224" s="133" t="s">
        <v>8747</v>
      </c>
    </row>
    <row r="225" spans="1:8">
      <c r="A225" s="214" t="s">
        <v>9136</v>
      </c>
      <c r="B225" s="214" t="s">
        <v>9137</v>
      </c>
      <c r="C225" s="133" t="s">
        <v>8</v>
      </c>
      <c r="D225" s="133" t="s">
        <v>818</v>
      </c>
      <c r="E225" s="133" t="s">
        <v>63</v>
      </c>
      <c r="F225" s="133" t="s">
        <v>109</v>
      </c>
      <c r="G225" s="133" t="s">
        <v>8820</v>
      </c>
      <c r="H225" s="133" t="s">
        <v>8747</v>
      </c>
    </row>
    <row r="226" spans="1:8">
      <c r="A226" s="214" t="s">
        <v>9138</v>
      </c>
      <c r="B226" s="214" t="s">
        <v>9139</v>
      </c>
      <c r="C226" s="133" t="s">
        <v>8</v>
      </c>
      <c r="D226" s="133" t="s">
        <v>154</v>
      </c>
      <c r="E226" s="133" t="s">
        <v>63</v>
      </c>
      <c r="F226" s="133" t="s">
        <v>109</v>
      </c>
      <c r="G226" s="133" t="s">
        <v>8826</v>
      </c>
      <c r="H226" s="133" t="s">
        <v>8747</v>
      </c>
    </row>
    <row r="227" spans="1:8">
      <c r="A227" s="214" t="s">
        <v>6850</v>
      </c>
      <c r="B227" s="214" t="s">
        <v>6851</v>
      </c>
      <c r="C227" s="133" t="s">
        <v>8</v>
      </c>
      <c r="D227" s="133" t="s">
        <v>8884</v>
      </c>
      <c r="E227" s="133" t="s">
        <v>63</v>
      </c>
      <c r="F227" s="133" t="s">
        <v>109</v>
      </c>
      <c r="G227" s="133" t="s">
        <v>9028</v>
      </c>
      <c r="H227" s="133" t="s">
        <v>8747</v>
      </c>
    </row>
    <row r="228" spans="1:8">
      <c r="A228" s="214" t="s">
        <v>1582</v>
      </c>
      <c r="B228" s="214" t="s">
        <v>1583</v>
      </c>
      <c r="C228" s="133" t="s">
        <v>8</v>
      </c>
      <c r="D228" s="133" t="s">
        <v>1562</v>
      </c>
      <c r="E228" s="133" t="s">
        <v>63</v>
      </c>
      <c r="F228" s="133" t="s">
        <v>109</v>
      </c>
      <c r="G228" s="133" t="s">
        <v>8820</v>
      </c>
      <c r="H228" s="133" t="s">
        <v>8747</v>
      </c>
    </row>
    <row r="229" spans="1:8">
      <c r="A229" s="214" t="s">
        <v>2695</v>
      </c>
      <c r="B229" s="214" t="s">
        <v>2696</v>
      </c>
      <c r="C229" s="133" t="s">
        <v>8</v>
      </c>
      <c r="D229" s="133" t="s">
        <v>2076</v>
      </c>
      <c r="E229" s="133" t="s">
        <v>63</v>
      </c>
      <c r="F229" s="133" t="s">
        <v>109</v>
      </c>
      <c r="G229" s="133" t="s">
        <v>9032</v>
      </c>
      <c r="H229" s="133" t="s">
        <v>8747</v>
      </c>
    </row>
    <row r="230" spans="1:8">
      <c r="A230" s="214" t="s">
        <v>1688</v>
      </c>
      <c r="B230" s="214" t="s">
        <v>1689</v>
      </c>
      <c r="C230" s="133" t="s">
        <v>8</v>
      </c>
      <c r="D230" s="133" t="s">
        <v>1368</v>
      </c>
      <c r="E230" s="133" t="s">
        <v>63</v>
      </c>
      <c r="F230" s="133" t="s">
        <v>109</v>
      </c>
      <c r="G230" s="133" t="s">
        <v>8820</v>
      </c>
      <c r="H230" s="133" t="s">
        <v>8747</v>
      </c>
    </row>
    <row r="231" spans="1:8">
      <c r="A231" s="214" t="s">
        <v>802</v>
      </c>
      <c r="B231" s="214" t="s">
        <v>803</v>
      </c>
      <c r="C231" s="133" t="s">
        <v>8</v>
      </c>
      <c r="D231" s="133" t="s">
        <v>781</v>
      </c>
      <c r="E231" s="133" t="s">
        <v>83</v>
      </c>
      <c r="F231" s="133" t="s">
        <v>109</v>
      </c>
      <c r="G231" s="133" t="s">
        <v>8826</v>
      </c>
      <c r="H231" s="133" t="s">
        <v>8747</v>
      </c>
    </row>
    <row r="232" spans="1:8">
      <c r="A232" s="214" t="s">
        <v>7319</v>
      </c>
      <c r="B232" s="214" t="s">
        <v>7320</v>
      </c>
      <c r="C232" s="133" t="s">
        <v>8</v>
      </c>
      <c r="D232" s="133" t="s">
        <v>918</v>
      </c>
      <c r="E232" s="133" t="s">
        <v>83</v>
      </c>
      <c r="F232" s="133" t="s">
        <v>109</v>
      </c>
      <c r="G232" s="133" t="s">
        <v>8986</v>
      </c>
      <c r="H232" s="133" t="s">
        <v>8747</v>
      </c>
    </row>
    <row r="233" spans="1:8">
      <c r="A233" s="214" t="s">
        <v>844</v>
      </c>
      <c r="B233" s="214" t="s">
        <v>845</v>
      </c>
      <c r="C233" s="133" t="s">
        <v>8</v>
      </c>
      <c r="D233" s="133" t="s">
        <v>2299</v>
      </c>
      <c r="E233" s="133" t="s">
        <v>63</v>
      </c>
      <c r="F233" s="133" t="s">
        <v>109</v>
      </c>
      <c r="G233" s="133" t="s">
        <v>8820</v>
      </c>
      <c r="H233" s="133" t="s">
        <v>8747</v>
      </c>
    </row>
    <row r="234" spans="1:8">
      <c r="A234" s="214" t="s">
        <v>9140</v>
      </c>
      <c r="B234" s="214" t="s">
        <v>9141</v>
      </c>
      <c r="C234" s="133" t="s">
        <v>8</v>
      </c>
      <c r="D234" s="133" t="s">
        <v>1562</v>
      </c>
      <c r="E234" s="133" t="s">
        <v>63</v>
      </c>
      <c r="F234" s="133" t="s">
        <v>109</v>
      </c>
      <c r="G234" s="133" t="s">
        <v>9028</v>
      </c>
      <c r="H234" s="133" t="s">
        <v>8747</v>
      </c>
    </row>
    <row r="235" spans="1:8">
      <c r="A235" s="214" t="s">
        <v>5466</v>
      </c>
      <c r="B235" s="214" t="s">
        <v>5467</v>
      </c>
      <c r="C235" s="133" t="s">
        <v>10</v>
      </c>
      <c r="D235" s="133" t="s">
        <v>7955</v>
      </c>
      <c r="E235" s="133" t="s">
        <v>63</v>
      </c>
      <c r="F235" s="133" t="s">
        <v>109</v>
      </c>
      <c r="G235" s="133" t="s">
        <v>8826</v>
      </c>
      <c r="H235" s="133" t="s">
        <v>8747</v>
      </c>
    </row>
    <row r="236" spans="1:8">
      <c r="A236" s="214" t="s">
        <v>5430</v>
      </c>
      <c r="B236" s="214" t="s">
        <v>5431</v>
      </c>
      <c r="C236" s="133" t="s">
        <v>8</v>
      </c>
      <c r="D236" s="133" t="s">
        <v>8868</v>
      </c>
      <c r="E236" s="133" t="s">
        <v>63</v>
      </c>
      <c r="F236" s="133" t="s">
        <v>109</v>
      </c>
      <c r="G236" s="133" t="s">
        <v>8826</v>
      </c>
      <c r="H236" s="133" t="s">
        <v>8747</v>
      </c>
    </row>
    <row r="237" spans="1:8">
      <c r="A237" s="214" t="s">
        <v>9142</v>
      </c>
      <c r="B237" s="214" t="s">
        <v>9143</v>
      </c>
      <c r="C237" s="133" t="s">
        <v>178</v>
      </c>
      <c r="D237" s="133" t="s">
        <v>8979</v>
      </c>
      <c r="E237" s="133" t="s">
        <v>178</v>
      </c>
      <c r="F237" s="133" t="s">
        <v>109</v>
      </c>
      <c r="G237" s="133" t="s">
        <v>8820</v>
      </c>
      <c r="H237" s="133" t="s">
        <v>8747</v>
      </c>
    </row>
    <row r="238" spans="1:8">
      <c r="A238" s="214" t="s">
        <v>2213</v>
      </c>
      <c r="B238" s="214" t="s">
        <v>2215</v>
      </c>
      <c r="C238" s="133" t="s">
        <v>8</v>
      </c>
      <c r="D238" s="133" t="s">
        <v>809</v>
      </c>
      <c r="E238" s="133" t="s">
        <v>63</v>
      </c>
      <c r="F238" s="133" t="s">
        <v>109</v>
      </c>
      <c r="G238" s="133" t="s">
        <v>8986</v>
      </c>
      <c r="H238" s="133" t="s">
        <v>8747</v>
      </c>
    </row>
    <row r="239" spans="1:8">
      <c r="A239" s="214" t="s">
        <v>909</v>
      </c>
      <c r="B239" s="214" t="s">
        <v>911</v>
      </c>
      <c r="C239" s="133" t="s">
        <v>8</v>
      </c>
      <c r="D239" s="133" t="s">
        <v>910</v>
      </c>
      <c r="E239" s="133" t="s">
        <v>83</v>
      </c>
      <c r="F239" s="133" t="s">
        <v>109</v>
      </c>
      <c r="G239" s="133" t="s">
        <v>9104</v>
      </c>
      <c r="H239" s="133" t="s">
        <v>8747</v>
      </c>
    </row>
    <row r="240" spans="1:8">
      <c r="A240" s="214" t="s">
        <v>3314</v>
      </c>
      <c r="B240" s="214" t="s">
        <v>3315</v>
      </c>
      <c r="C240" s="133" t="s">
        <v>2146</v>
      </c>
      <c r="D240" s="133" t="s">
        <v>2148</v>
      </c>
      <c r="E240" s="133" t="s">
        <v>83</v>
      </c>
      <c r="F240" s="133" t="s">
        <v>109</v>
      </c>
      <c r="G240" s="133" t="s">
        <v>9052</v>
      </c>
      <c r="H240" s="133" t="s">
        <v>8747</v>
      </c>
    </row>
    <row r="241" spans="1:8">
      <c r="A241" s="214" t="s">
        <v>8066</v>
      </c>
      <c r="B241" s="214" t="s">
        <v>8067</v>
      </c>
      <c r="C241" s="133" t="s">
        <v>8</v>
      </c>
      <c r="D241" s="133" t="s">
        <v>1701</v>
      </c>
      <c r="E241" s="133" t="s">
        <v>63</v>
      </c>
      <c r="F241" s="133" t="s">
        <v>109</v>
      </c>
      <c r="G241" s="133" t="s">
        <v>9028</v>
      </c>
      <c r="H241" s="133" t="s">
        <v>8747</v>
      </c>
    </row>
    <row r="242" spans="1:8">
      <c r="A242" s="214" t="s">
        <v>9144</v>
      </c>
      <c r="B242" s="214" t="s">
        <v>9145</v>
      </c>
      <c r="C242" s="133" t="s">
        <v>8</v>
      </c>
      <c r="D242" s="133" t="s">
        <v>1413</v>
      </c>
      <c r="E242" s="133" t="s">
        <v>63</v>
      </c>
      <c r="F242" s="133" t="s">
        <v>109</v>
      </c>
      <c r="G242" s="133" t="s">
        <v>9028</v>
      </c>
      <c r="H242" s="133" t="s">
        <v>8747</v>
      </c>
    </row>
    <row r="243" spans="1:8">
      <c r="A243" s="214" t="s">
        <v>1153</v>
      </c>
      <c r="B243" s="214" t="s">
        <v>1154</v>
      </c>
      <c r="C243" s="133" t="s">
        <v>8</v>
      </c>
      <c r="D243" s="133" t="s">
        <v>918</v>
      </c>
      <c r="E243" s="133" t="s">
        <v>83</v>
      </c>
      <c r="F243" s="133" t="s">
        <v>109</v>
      </c>
      <c r="G243" s="133" t="s">
        <v>8986</v>
      </c>
      <c r="H243" s="133" t="s">
        <v>8747</v>
      </c>
    </row>
    <row r="244" spans="1:8">
      <c r="A244" s="214" t="s">
        <v>9146</v>
      </c>
      <c r="B244" s="214" t="s">
        <v>9147</v>
      </c>
      <c r="C244" s="133" t="s">
        <v>8</v>
      </c>
      <c r="D244" s="133" t="s">
        <v>66</v>
      </c>
      <c r="E244" s="133" t="s">
        <v>63</v>
      </c>
      <c r="F244" s="133" t="s">
        <v>109</v>
      </c>
      <c r="G244" s="133" t="s">
        <v>8820</v>
      </c>
      <c r="H244" s="133" t="s">
        <v>8747</v>
      </c>
    </row>
    <row r="245" spans="1:8">
      <c r="A245" s="214" t="s">
        <v>1224</v>
      </c>
      <c r="B245" s="214" t="s">
        <v>1225</v>
      </c>
      <c r="C245" s="133" t="s">
        <v>8</v>
      </c>
      <c r="D245" s="133" t="s">
        <v>910</v>
      </c>
      <c r="E245" s="133" t="s">
        <v>83</v>
      </c>
      <c r="F245" s="133" t="s">
        <v>109</v>
      </c>
      <c r="G245" s="133" t="s">
        <v>9104</v>
      </c>
      <c r="H245" s="133" t="s">
        <v>8747</v>
      </c>
    </row>
    <row r="246" spans="1:8">
      <c r="A246" s="214" t="s">
        <v>9148</v>
      </c>
      <c r="B246" s="214" t="s">
        <v>9149</v>
      </c>
      <c r="C246" s="133" t="s">
        <v>8</v>
      </c>
      <c r="D246" s="133" t="s">
        <v>8884</v>
      </c>
      <c r="E246" s="133" t="s">
        <v>63</v>
      </c>
      <c r="F246" s="133" t="s">
        <v>109</v>
      </c>
      <c r="G246" s="133" t="s">
        <v>8820</v>
      </c>
      <c r="H246" s="133" t="s">
        <v>8747</v>
      </c>
    </row>
    <row r="247" spans="1:8">
      <c r="A247" s="214" t="s">
        <v>750</v>
      </c>
      <c r="B247" s="214" t="s">
        <v>751</v>
      </c>
      <c r="C247" s="133" t="s">
        <v>8</v>
      </c>
      <c r="D247" s="133" t="s">
        <v>488</v>
      </c>
      <c r="E247" s="133" t="s">
        <v>83</v>
      </c>
      <c r="F247" s="133" t="s">
        <v>109</v>
      </c>
      <c r="G247" s="133" t="s">
        <v>9032</v>
      </c>
      <c r="H247" s="133" t="s">
        <v>8747</v>
      </c>
    </row>
    <row r="248" spans="1:8">
      <c r="A248" s="214" t="s">
        <v>4801</v>
      </c>
      <c r="B248" s="214" t="s">
        <v>4802</v>
      </c>
      <c r="C248" s="133" t="s">
        <v>9</v>
      </c>
      <c r="D248" s="133" t="s">
        <v>4789</v>
      </c>
      <c r="E248" s="133" t="s">
        <v>83</v>
      </c>
      <c r="F248" s="133" t="s">
        <v>109</v>
      </c>
      <c r="G248" s="133" t="s">
        <v>8776</v>
      </c>
      <c r="H248" s="133" t="s">
        <v>8747</v>
      </c>
    </row>
    <row r="249" spans="1:8">
      <c r="A249" s="214" t="s">
        <v>9150</v>
      </c>
      <c r="B249" s="214" t="s">
        <v>9151</v>
      </c>
      <c r="C249" s="133" t="s">
        <v>8</v>
      </c>
      <c r="D249" s="133" t="s">
        <v>488</v>
      </c>
      <c r="E249" s="133" t="s">
        <v>83</v>
      </c>
      <c r="F249" s="133" t="s">
        <v>109</v>
      </c>
      <c r="G249" s="133" t="s">
        <v>8820</v>
      </c>
      <c r="H249" s="133" t="s">
        <v>8747</v>
      </c>
    </row>
    <row r="250" spans="1:8">
      <c r="A250" s="214" t="s">
        <v>1040</v>
      </c>
      <c r="B250" s="214" t="s">
        <v>1042</v>
      </c>
      <c r="C250" s="133" t="s">
        <v>8</v>
      </c>
      <c r="D250" s="133" t="s">
        <v>1041</v>
      </c>
      <c r="E250" s="133" t="s">
        <v>63</v>
      </c>
      <c r="F250" s="133" t="s">
        <v>109</v>
      </c>
      <c r="G250" s="133" t="s">
        <v>8820</v>
      </c>
      <c r="H250" s="133" t="s">
        <v>8747</v>
      </c>
    </row>
    <row r="251" spans="1:8">
      <c r="A251" s="214" t="s">
        <v>9152</v>
      </c>
      <c r="B251" s="214" t="s">
        <v>9153</v>
      </c>
      <c r="C251" s="133" t="s">
        <v>10</v>
      </c>
      <c r="D251" s="133" t="s">
        <v>8905</v>
      </c>
      <c r="E251" s="133" t="s">
        <v>63</v>
      </c>
      <c r="F251" s="133" t="s">
        <v>109</v>
      </c>
      <c r="G251" s="133" t="s">
        <v>9028</v>
      </c>
      <c r="H251" s="133" t="s">
        <v>8747</v>
      </c>
    </row>
    <row r="252" spans="1:8">
      <c r="A252" s="214" t="s">
        <v>2714</v>
      </c>
      <c r="B252" s="214" t="s">
        <v>2715</v>
      </c>
      <c r="C252" s="133" t="s">
        <v>8</v>
      </c>
      <c r="D252" s="133" t="s">
        <v>2076</v>
      </c>
      <c r="E252" s="133" t="s">
        <v>63</v>
      </c>
      <c r="F252" s="133" t="s">
        <v>109</v>
      </c>
      <c r="G252" s="133" t="s">
        <v>8820</v>
      </c>
      <c r="H252" s="133" t="s">
        <v>8747</v>
      </c>
    </row>
    <row r="253" spans="1:8">
      <c r="A253" s="214" t="s">
        <v>1961</v>
      </c>
      <c r="B253" s="214" t="s">
        <v>1962</v>
      </c>
      <c r="C253" s="133" t="s">
        <v>8</v>
      </c>
      <c r="D253" s="133" t="s">
        <v>1413</v>
      </c>
      <c r="E253" s="133" t="s">
        <v>63</v>
      </c>
      <c r="F253" s="133" t="s">
        <v>109</v>
      </c>
      <c r="G253" s="133" t="s">
        <v>8820</v>
      </c>
      <c r="H253" s="133" t="s">
        <v>8747</v>
      </c>
    </row>
    <row r="254" spans="1:8">
      <c r="A254" s="214" t="s">
        <v>1405</v>
      </c>
      <c r="B254" s="214" t="s">
        <v>1407</v>
      </c>
      <c r="C254" s="133" t="s">
        <v>8</v>
      </c>
      <c r="D254" s="133" t="s">
        <v>1406</v>
      </c>
      <c r="E254" s="133" t="s">
        <v>63</v>
      </c>
      <c r="F254" s="133" t="s">
        <v>109</v>
      </c>
      <c r="G254" s="133" t="s">
        <v>8820</v>
      </c>
      <c r="H254" s="133" t="s">
        <v>8747</v>
      </c>
    </row>
    <row r="255" spans="1:8">
      <c r="A255" s="214" t="s">
        <v>9154</v>
      </c>
      <c r="B255" s="214" t="s">
        <v>1779</v>
      </c>
      <c r="C255" s="133" t="s">
        <v>8</v>
      </c>
      <c r="D255" s="133" t="s">
        <v>1406</v>
      </c>
      <c r="E255" s="133" t="s">
        <v>63</v>
      </c>
      <c r="F255" s="133" t="s">
        <v>109</v>
      </c>
      <c r="G255" s="133" t="s">
        <v>9032</v>
      </c>
      <c r="H255" s="133" t="s">
        <v>8747</v>
      </c>
    </row>
    <row r="256" spans="1:8">
      <c r="A256" s="214" t="s">
        <v>9155</v>
      </c>
      <c r="B256" s="214" t="s">
        <v>9156</v>
      </c>
      <c r="C256" s="133" t="s">
        <v>10</v>
      </c>
      <c r="D256" s="133" t="s">
        <v>3198</v>
      </c>
      <c r="E256" s="133" t="s">
        <v>63</v>
      </c>
      <c r="F256" s="133" t="s">
        <v>109</v>
      </c>
      <c r="G256" s="133" t="s">
        <v>8820</v>
      </c>
      <c r="H256" s="133" t="s">
        <v>8747</v>
      </c>
    </row>
    <row r="257" spans="1:8">
      <c r="A257" s="214" t="s">
        <v>5364</v>
      </c>
      <c r="B257" s="214" t="s">
        <v>5365</v>
      </c>
      <c r="C257" s="133" t="s">
        <v>8</v>
      </c>
      <c r="D257" s="133" t="s">
        <v>781</v>
      </c>
      <c r="E257" s="133" t="s">
        <v>83</v>
      </c>
      <c r="F257" s="133" t="s">
        <v>109</v>
      </c>
      <c r="G257" s="133" t="s">
        <v>8826</v>
      </c>
      <c r="H257" s="133" t="s">
        <v>8747</v>
      </c>
    </row>
    <row r="258" spans="1:8">
      <c r="A258" s="214" t="s">
        <v>723</v>
      </c>
      <c r="B258" s="214" t="s">
        <v>724</v>
      </c>
      <c r="C258" s="133" t="s">
        <v>8</v>
      </c>
      <c r="D258" s="133" t="s">
        <v>686</v>
      </c>
      <c r="E258" s="133" t="s">
        <v>63</v>
      </c>
      <c r="F258" s="133" t="s">
        <v>109</v>
      </c>
      <c r="G258" s="133" t="s">
        <v>9032</v>
      </c>
      <c r="H258" s="133" t="s">
        <v>8747</v>
      </c>
    </row>
    <row r="259" spans="1:8">
      <c r="A259" s="214" t="s">
        <v>9157</v>
      </c>
      <c r="B259" s="214" t="s">
        <v>9158</v>
      </c>
      <c r="C259" s="133" t="s">
        <v>9</v>
      </c>
      <c r="D259" s="133" t="s">
        <v>8847</v>
      </c>
      <c r="E259" s="133" t="s">
        <v>4392</v>
      </c>
      <c r="F259" s="133" t="s">
        <v>109</v>
      </c>
      <c r="G259" s="133" t="s">
        <v>8776</v>
      </c>
      <c r="H259" s="133" t="s">
        <v>8747</v>
      </c>
    </row>
    <row r="260" spans="1:8">
      <c r="A260" s="214" t="s">
        <v>994</v>
      </c>
      <c r="B260" s="214" t="s">
        <v>996</v>
      </c>
      <c r="C260" s="133" t="s">
        <v>8</v>
      </c>
      <c r="D260" s="133" t="s">
        <v>995</v>
      </c>
      <c r="E260" s="133" t="s">
        <v>63</v>
      </c>
      <c r="F260" s="133" t="s">
        <v>109</v>
      </c>
      <c r="G260" s="133" t="s">
        <v>8820</v>
      </c>
      <c r="H260" s="133" t="s">
        <v>8747</v>
      </c>
    </row>
    <row r="261" spans="1:8">
      <c r="A261" s="214" t="s">
        <v>308</v>
      </c>
      <c r="B261" s="214" t="s">
        <v>309</v>
      </c>
      <c r="C261" s="133" t="s">
        <v>8</v>
      </c>
      <c r="D261" s="133" t="s">
        <v>248</v>
      </c>
      <c r="E261" s="133" t="s">
        <v>83</v>
      </c>
      <c r="F261" s="133" t="s">
        <v>109</v>
      </c>
      <c r="G261" s="133" t="s">
        <v>8765</v>
      </c>
      <c r="H261" s="133" t="s">
        <v>8747</v>
      </c>
    </row>
    <row r="262" spans="1:8">
      <c r="A262" s="214" t="s">
        <v>9159</v>
      </c>
      <c r="B262" s="214" t="s">
        <v>9160</v>
      </c>
      <c r="C262" s="133" t="s">
        <v>10</v>
      </c>
      <c r="D262" s="133" t="s">
        <v>8923</v>
      </c>
      <c r="E262" s="133" t="s">
        <v>63</v>
      </c>
      <c r="F262" s="133" t="s">
        <v>109</v>
      </c>
      <c r="G262" s="133" t="s">
        <v>8820</v>
      </c>
      <c r="H262" s="133" t="s">
        <v>8747</v>
      </c>
    </row>
    <row r="263" spans="1:8">
      <c r="A263" s="214" t="s">
        <v>9161</v>
      </c>
      <c r="B263" s="214" t="s">
        <v>9162</v>
      </c>
      <c r="C263" s="133" t="s">
        <v>10</v>
      </c>
      <c r="D263" s="133" t="s">
        <v>4336</v>
      </c>
      <c r="E263" s="133" t="s">
        <v>83</v>
      </c>
      <c r="F263" s="133" t="s">
        <v>109</v>
      </c>
      <c r="G263" s="133" t="s">
        <v>8776</v>
      </c>
      <c r="H263" s="133" t="s">
        <v>8747</v>
      </c>
    </row>
    <row r="264" spans="1:8">
      <c r="A264" s="214" t="s">
        <v>179</v>
      </c>
      <c r="B264" s="214" t="s">
        <v>181</v>
      </c>
      <c r="C264" s="133" t="s">
        <v>8</v>
      </c>
      <c r="D264" s="133" t="s">
        <v>440</v>
      </c>
      <c r="E264" s="133" t="s">
        <v>63</v>
      </c>
      <c r="F264" s="133" t="s">
        <v>109</v>
      </c>
      <c r="G264" s="133" t="s">
        <v>8820</v>
      </c>
      <c r="H264" s="133" t="s">
        <v>8747</v>
      </c>
    </row>
    <row r="265" spans="1:8">
      <c r="A265" s="214" t="s">
        <v>638</v>
      </c>
      <c r="B265" s="214" t="s">
        <v>640</v>
      </c>
      <c r="C265" s="133" t="s">
        <v>8</v>
      </c>
      <c r="D265" s="133" t="s">
        <v>639</v>
      </c>
      <c r="E265" s="133" t="s">
        <v>83</v>
      </c>
      <c r="F265" s="133" t="s">
        <v>109</v>
      </c>
      <c r="G265" s="133" t="s">
        <v>8820</v>
      </c>
      <c r="H265" s="133" t="s">
        <v>8747</v>
      </c>
    </row>
    <row r="266" spans="1:8">
      <c r="A266" s="214" t="s">
        <v>9163</v>
      </c>
      <c r="B266" s="214" t="s">
        <v>9164</v>
      </c>
      <c r="C266" s="133" t="s">
        <v>8</v>
      </c>
      <c r="D266" s="133" t="s">
        <v>932</v>
      </c>
      <c r="E266" s="133" t="s">
        <v>83</v>
      </c>
      <c r="F266" s="133" t="s">
        <v>109</v>
      </c>
      <c r="G266" s="133" t="s">
        <v>8784</v>
      </c>
      <c r="H266" s="133" t="s">
        <v>8747</v>
      </c>
    </row>
    <row r="267" spans="1:8">
      <c r="A267" s="214" t="s">
        <v>5281</v>
      </c>
      <c r="B267" s="214" t="s">
        <v>5282</v>
      </c>
      <c r="C267" s="133" t="s">
        <v>9</v>
      </c>
      <c r="D267" s="133" t="s">
        <v>5149</v>
      </c>
      <c r="E267" s="133" t="s">
        <v>4392</v>
      </c>
      <c r="F267" s="133" t="s">
        <v>109</v>
      </c>
      <c r="G267" s="133" t="s">
        <v>8829</v>
      </c>
      <c r="H267" s="133" t="s">
        <v>8747</v>
      </c>
    </row>
    <row r="268" spans="1:8">
      <c r="A268" s="214" t="s">
        <v>780</v>
      </c>
      <c r="B268" s="214" t="s">
        <v>782</v>
      </c>
      <c r="C268" s="133" t="s">
        <v>8</v>
      </c>
      <c r="D268" s="133" t="s">
        <v>440</v>
      </c>
      <c r="E268" s="133" t="s">
        <v>63</v>
      </c>
      <c r="F268" s="133" t="s">
        <v>109</v>
      </c>
      <c r="G268" s="133" t="s">
        <v>9032</v>
      </c>
      <c r="H268" s="133" t="s">
        <v>8747</v>
      </c>
    </row>
    <row r="269" spans="1:8">
      <c r="A269" s="214" t="s">
        <v>5639</v>
      </c>
      <c r="B269" s="214" t="s">
        <v>5641</v>
      </c>
      <c r="C269" s="133" t="s">
        <v>2146</v>
      </c>
      <c r="D269" s="133" t="s">
        <v>5640</v>
      </c>
      <c r="E269" s="133" t="s">
        <v>83</v>
      </c>
      <c r="F269" s="133" t="s">
        <v>109</v>
      </c>
      <c r="G269" s="133" t="s">
        <v>8768</v>
      </c>
      <c r="H269" s="133" t="s">
        <v>8747</v>
      </c>
    </row>
    <row r="270" spans="1:8">
      <c r="A270" s="214" t="s">
        <v>1231</v>
      </c>
      <c r="B270" s="214" t="s">
        <v>1232</v>
      </c>
      <c r="C270" s="133" t="s">
        <v>8</v>
      </c>
      <c r="D270" s="133" t="s">
        <v>910</v>
      </c>
      <c r="E270" s="133" t="s">
        <v>83</v>
      </c>
      <c r="F270" s="133" t="s">
        <v>109</v>
      </c>
      <c r="G270" s="133" t="s">
        <v>8983</v>
      </c>
      <c r="H270" s="133" t="s">
        <v>8747</v>
      </c>
    </row>
    <row r="271" spans="1:8">
      <c r="A271" s="214" t="s">
        <v>9165</v>
      </c>
      <c r="B271" s="214" t="s">
        <v>9166</v>
      </c>
      <c r="C271" s="133" t="s">
        <v>8</v>
      </c>
      <c r="D271" s="133" t="s">
        <v>2214</v>
      </c>
      <c r="E271" s="133" t="s">
        <v>63</v>
      </c>
      <c r="F271" s="133" t="s">
        <v>109</v>
      </c>
      <c r="G271" s="133" t="s">
        <v>8820</v>
      </c>
      <c r="H271" s="133" t="s">
        <v>8747</v>
      </c>
    </row>
    <row r="272" spans="1:8">
      <c r="A272" s="214" t="s">
        <v>5664</v>
      </c>
      <c r="B272" s="214" t="s">
        <v>5665</v>
      </c>
      <c r="C272" s="133" t="s">
        <v>2146</v>
      </c>
      <c r="D272" s="133" t="s">
        <v>5640</v>
      </c>
      <c r="E272" s="133" t="s">
        <v>83</v>
      </c>
      <c r="F272" s="133" t="s">
        <v>109</v>
      </c>
      <c r="G272" s="133" t="s">
        <v>8768</v>
      </c>
      <c r="H272" s="133" t="s">
        <v>8747</v>
      </c>
    </row>
    <row r="273" spans="1:8">
      <c r="A273" s="214" t="s">
        <v>9167</v>
      </c>
      <c r="B273" s="214" t="s">
        <v>7971</v>
      </c>
      <c r="C273" s="133" t="s">
        <v>10</v>
      </c>
      <c r="D273" s="133" t="s">
        <v>6381</v>
      </c>
      <c r="E273" s="133" t="s">
        <v>63</v>
      </c>
      <c r="F273" s="133" t="s">
        <v>109</v>
      </c>
      <c r="G273" s="133" t="s">
        <v>8820</v>
      </c>
      <c r="H273" s="133" t="s">
        <v>8747</v>
      </c>
    </row>
    <row r="274" spans="1:8">
      <c r="A274" s="214" t="s">
        <v>4152</v>
      </c>
      <c r="B274" s="214" t="s">
        <v>4153</v>
      </c>
      <c r="C274" s="133" t="s">
        <v>10</v>
      </c>
      <c r="D274" s="133" t="s">
        <v>3370</v>
      </c>
      <c r="E274" s="133" t="s">
        <v>83</v>
      </c>
      <c r="F274" s="133" t="s">
        <v>109</v>
      </c>
      <c r="G274" s="133" t="s">
        <v>8765</v>
      </c>
      <c r="H274" s="133" t="s">
        <v>8747</v>
      </c>
    </row>
    <row r="275" spans="1:8">
      <c r="A275" s="214" t="s">
        <v>4424</v>
      </c>
      <c r="B275" s="214" t="s">
        <v>4425</v>
      </c>
      <c r="C275" s="133" t="s">
        <v>9</v>
      </c>
      <c r="D275" s="133" t="s">
        <v>4789</v>
      </c>
      <c r="E275" s="133" t="s">
        <v>83</v>
      </c>
      <c r="F275" s="133" t="s">
        <v>109</v>
      </c>
      <c r="G275" s="133" t="s">
        <v>8776</v>
      </c>
      <c r="H275" s="133" t="s">
        <v>8747</v>
      </c>
    </row>
    <row r="276" spans="1:8">
      <c r="A276" s="214" t="s">
        <v>9168</v>
      </c>
      <c r="B276" s="214" t="s">
        <v>9169</v>
      </c>
      <c r="C276" s="133" t="s">
        <v>178</v>
      </c>
      <c r="D276" s="133" t="s">
        <v>9170</v>
      </c>
      <c r="E276" s="133" t="s">
        <v>178</v>
      </c>
      <c r="F276" s="133" t="s">
        <v>109</v>
      </c>
      <c r="G276" s="133" t="s">
        <v>8765</v>
      </c>
      <c r="H276" s="133" t="s">
        <v>8747</v>
      </c>
    </row>
    <row r="277" spans="1:8">
      <c r="A277" s="214" t="s">
        <v>9171</v>
      </c>
      <c r="B277" s="214" t="s">
        <v>9172</v>
      </c>
      <c r="C277" s="133" t="s">
        <v>10</v>
      </c>
      <c r="D277" s="133" t="s">
        <v>4914</v>
      </c>
      <c r="E277" s="133" t="s">
        <v>63</v>
      </c>
      <c r="F277" s="133" t="s">
        <v>109</v>
      </c>
      <c r="G277" s="133" t="s">
        <v>9032</v>
      </c>
      <c r="H277" s="133" t="s">
        <v>8747</v>
      </c>
    </row>
    <row r="278" spans="1:8">
      <c r="A278" s="214" t="s">
        <v>9173</v>
      </c>
      <c r="B278" s="214" t="s">
        <v>9174</v>
      </c>
      <c r="C278" s="133" t="s">
        <v>10</v>
      </c>
      <c r="D278" s="133" t="s">
        <v>8942</v>
      </c>
      <c r="E278" s="133" t="s">
        <v>63</v>
      </c>
      <c r="F278" s="133" t="s">
        <v>109</v>
      </c>
      <c r="G278" s="133" t="s">
        <v>9032</v>
      </c>
      <c r="H278" s="133" t="s">
        <v>8747</v>
      </c>
    </row>
    <row r="279" spans="1:8">
      <c r="A279" s="214" t="s">
        <v>857</v>
      </c>
      <c r="B279" s="214" t="s">
        <v>858</v>
      </c>
      <c r="C279" s="133" t="s">
        <v>237</v>
      </c>
      <c r="D279" s="133" t="s">
        <v>290</v>
      </c>
      <c r="E279" s="133" t="s">
        <v>83</v>
      </c>
      <c r="F279" s="133" t="s">
        <v>109</v>
      </c>
      <c r="G279" s="133" t="s">
        <v>300</v>
      </c>
      <c r="H279" s="133" t="s">
        <v>8747</v>
      </c>
    </row>
    <row r="280" spans="1:8">
      <c r="A280" s="214" t="s">
        <v>9175</v>
      </c>
      <c r="B280" s="214" t="s">
        <v>9176</v>
      </c>
      <c r="C280" s="133" t="s">
        <v>8</v>
      </c>
      <c r="D280" s="133" t="s">
        <v>639</v>
      </c>
      <c r="E280" s="133" t="s">
        <v>83</v>
      </c>
      <c r="F280" s="133" t="s">
        <v>109</v>
      </c>
      <c r="G280" s="133" t="s">
        <v>9032</v>
      </c>
      <c r="H280" s="133" t="s">
        <v>8747</v>
      </c>
    </row>
    <row r="281" spans="1:8">
      <c r="A281" s="214" t="s">
        <v>476</v>
      </c>
      <c r="B281" s="214" t="s">
        <v>478</v>
      </c>
      <c r="C281" s="133" t="s">
        <v>8</v>
      </c>
      <c r="D281" s="133" t="s">
        <v>477</v>
      </c>
      <c r="E281" s="133" t="s">
        <v>83</v>
      </c>
      <c r="F281" s="133" t="s">
        <v>109</v>
      </c>
      <c r="G281" s="133" t="s">
        <v>8982</v>
      </c>
      <c r="H281" s="133" t="s">
        <v>8747</v>
      </c>
    </row>
    <row r="282" spans="1:8">
      <c r="A282" s="214" t="s">
        <v>9177</v>
      </c>
      <c r="B282" s="214" t="s">
        <v>9178</v>
      </c>
      <c r="C282" s="133" t="s">
        <v>178</v>
      </c>
      <c r="D282" s="133" t="s">
        <v>8979</v>
      </c>
      <c r="E282" s="133" t="s">
        <v>178</v>
      </c>
      <c r="F282" s="133" t="s">
        <v>109</v>
      </c>
      <c r="G282" s="133" t="s">
        <v>8820</v>
      </c>
      <c r="H282" s="133" t="s">
        <v>8747</v>
      </c>
    </row>
    <row r="283" spans="1:8">
      <c r="A283" s="214" t="s">
        <v>870</v>
      </c>
      <c r="B283" s="214" t="s">
        <v>872</v>
      </c>
      <c r="C283" s="133" t="s">
        <v>10</v>
      </c>
      <c r="D283" s="133" t="s">
        <v>871</v>
      </c>
      <c r="E283" s="133" t="s">
        <v>83</v>
      </c>
      <c r="F283" s="133" t="s">
        <v>109</v>
      </c>
      <c r="G283" s="133" t="s">
        <v>8987</v>
      </c>
      <c r="H283" s="133" t="s">
        <v>8747</v>
      </c>
    </row>
    <row r="284" spans="1:8">
      <c r="A284" s="214" t="s">
        <v>5646</v>
      </c>
      <c r="B284" s="214" t="s">
        <v>5647</v>
      </c>
      <c r="C284" s="133" t="s">
        <v>2146</v>
      </c>
      <c r="D284" s="133" t="s">
        <v>5640</v>
      </c>
      <c r="E284" s="133" t="s">
        <v>83</v>
      </c>
      <c r="F284" s="133" t="s">
        <v>109</v>
      </c>
      <c r="G284" s="133" t="s">
        <v>8768</v>
      </c>
      <c r="H284" s="133" t="s">
        <v>8747</v>
      </c>
    </row>
    <row r="285" spans="1:8">
      <c r="A285" s="214" t="s">
        <v>5974</v>
      </c>
      <c r="B285" s="214" t="s">
        <v>5975</v>
      </c>
      <c r="C285" s="133" t="s">
        <v>10</v>
      </c>
      <c r="D285" s="133" t="s">
        <v>5843</v>
      </c>
      <c r="E285" s="133" t="s">
        <v>63</v>
      </c>
      <c r="F285" s="133" t="s">
        <v>109</v>
      </c>
      <c r="G285" s="133" t="s">
        <v>8820</v>
      </c>
      <c r="H285" s="133" t="s">
        <v>8747</v>
      </c>
    </row>
    <row r="286" spans="1:8">
      <c r="A286" s="214" t="s">
        <v>9179</v>
      </c>
      <c r="B286" s="214" t="s">
        <v>9180</v>
      </c>
      <c r="C286" s="133" t="s">
        <v>10</v>
      </c>
      <c r="D286" s="133" t="s">
        <v>3855</v>
      </c>
      <c r="E286" s="133" t="s">
        <v>63</v>
      </c>
      <c r="F286" s="133" t="s">
        <v>109</v>
      </c>
      <c r="G286" s="133" t="s">
        <v>8820</v>
      </c>
      <c r="H286" s="133" t="s">
        <v>8747</v>
      </c>
    </row>
    <row r="287" spans="1:8">
      <c r="A287" s="214" t="s">
        <v>1279</v>
      </c>
      <c r="B287" s="214" t="s">
        <v>1280</v>
      </c>
      <c r="C287" s="133" t="s">
        <v>8</v>
      </c>
      <c r="D287" s="133" t="s">
        <v>910</v>
      </c>
      <c r="E287" s="133" t="s">
        <v>83</v>
      </c>
      <c r="F287" s="133" t="s">
        <v>109</v>
      </c>
      <c r="G287" s="133" t="s">
        <v>8983</v>
      </c>
      <c r="H287" s="133" t="s">
        <v>8747</v>
      </c>
    </row>
    <row r="288" spans="1:8">
      <c r="A288" s="214" t="s">
        <v>9181</v>
      </c>
      <c r="B288" s="214" t="s">
        <v>9182</v>
      </c>
      <c r="C288" s="133" t="s">
        <v>8</v>
      </c>
      <c r="D288" s="133" t="s">
        <v>1419</v>
      </c>
      <c r="E288" s="133" t="s">
        <v>63</v>
      </c>
      <c r="F288" s="133" t="s">
        <v>109</v>
      </c>
      <c r="G288" s="133" t="s">
        <v>8820</v>
      </c>
      <c r="H288" s="133" t="s">
        <v>8747</v>
      </c>
    </row>
    <row r="289" spans="1:8">
      <c r="A289" s="214" t="s">
        <v>9183</v>
      </c>
      <c r="B289" s="214" t="s">
        <v>9184</v>
      </c>
      <c r="C289" s="133" t="s">
        <v>178</v>
      </c>
      <c r="D289" s="133" t="s">
        <v>8979</v>
      </c>
      <c r="E289" s="133" t="s">
        <v>178</v>
      </c>
      <c r="F289" s="133" t="s">
        <v>109</v>
      </c>
      <c r="G289" s="133" t="s">
        <v>8820</v>
      </c>
      <c r="H289" s="133" t="s">
        <v>8747</v>
      </c>
    </row>
    <row r="290" spans="1:8">
      <c r="A290" s="214" t="s">
        <v>8534</v>
      </c>
      <c r="B290" s="214" t="s">
        <v>9185</v>
      </c>
      <c r="C290" s="133" t="s">
        <v>8</v>
      </c>
      <c r="D290" s="133" t="s">
        <v>1728</v>
      </c>
      <c r="E290" s="133" t="s">
        <v>63</v>
      </c>
      <c r="F290" s="133" t="s">
        <v>109</v>
      </c>
      <c r="G290" s="133" t="s">
        <v>8820</v>
      </c>
      <c r="H290" s="133" t="s">
        <v>8747</v>
      </c>
    </row>
    <row r="291" spans="1:8">
      <c r="A291" s="214" t="s">
        <v>5597</v>
      </c>
      <c r="B291" s="214" t="s">
        <v>5598</v>
      </c>
      <c r="C291" s="133" t="s">
        <v>2146</v>
      </c>
      <c r="D291" s="133" t="s">
        <v>2148</v>
      </c>
      <c r="E291" s="133" t="s">
        <v>83</v>
      </c>
      <c r="F291" s="133" t="s">
        <v>109</v>
      </c>
      <c r="G291" s="133" t="s">
        <v>9028</v>
      </c>
      <c r="H291" s="133" t="s">
        <v>8747</v>
      </c>
    </row>
    <row r="292" spans="1:8">
      <c r="A292" s="214" t="s">
        <v>1627</v>
      </c>
      <c r="B292" s="214" t="s">
        <v>1628</v>
      </c>
      <c r="C292" s="133" t="s">
        <v>8</v>
      </c>
      <c r="D292" s="133" t="s">
        <v>180</v>
      </c>
      <c r="E292" s="133" t="s">
        <v>178</v>
      </c>
      <c r="F292" s="133" t="s">
        <v>109</v>
      </c>
      <c r="G292" s="133" t="s">
        <v>8820</v>
      </c>
      <c r="H292" s="133" t="s">
        <v>8747</v>
      </c>
    </row>
    <row r="293" spans="1:8">
      <c r="A293" s="214" t="s">
        <v>9186</v>
      </c>
      <c r="B293" s="214" t="s">
        <v>9187</v>
      </c>
      <c r="C293" s="133" t="s">
        <v>8</v>
      </c>
      <c r="D293" s="133" t="s">
        <v>154</v>
      </c>
      <c r="E293" s="133" t="s">
        <v>63</v>
      </c>
      <c r="F293" s="133" t="s">
        <v>109</v>
      </c>
      <c r="G293" s="133" t="s">
        <v>9032</v>
      </c>
      <c r="H293" s="133" t="s">
        <v>8747</v>
      </c>
    </row>
    <row r="294" spans="1:8">
      <c r="A294" s="214" t="s">
        <v>1572</v>
      </c>
      <c r="B294" s="214" t="s">
        <v>1573</v>
      </c>
      <c r="C294" s="133" t="s">
        <v>8</v>
      </c>
      <c r="D294" s="133" t="s">
        <v>66</v>
      </c>
      <c r="E294" s="133" t="s">
        <v>63</v>
      </c>
      <c r="F294" s="133" t="s">
        <v>109</v>
      </c>
      <c r="G294" s="133" t="s">
        <v>9032</v>
      </c>
      <c r="H294" s="133" t="s">
        <v>8747</v>
      </c>
    </row>
    <row r="295" spans="1:8">
      <c r="A295" s="214" t="s">
        <v>9188</v>
      </c>
      <c r="B295" s="214" t="s">
        <v>9189</v>
      </c>
      <c r="C295" s="133" t="s">
        <v>8</v>
      </c>
      <c r="D295" s="133" t="s">
        <v>8884</v>
      </c>
      <c r="E295" s="133" t="s">
        <v>63</v>
      </c>
      <c r="F295" s="133" t="s">
        <v>109</v>
      </c>
      <c r="G295" s="133" t="s">
        <v>9032</v>
      </c>
      <c r="H295" s="133" t="s">
        <v>8747</v>
      </c>
    </row>
    <row r="296" spans="1:8">
      <c r="A296" s="214" t="s">
        <v>734</v>
      </c>
      <c r="B296" s="214" t="s">
        <v>735</v>
      </c>
      <c r="C296" s="133" t="s">
        <v>8</v>
      </c>
      <c r="D296" s="133" t="s">
        <v>488</v>
      </c>
      <c r="E296" s="133" t="s">
        <v>83</v>
      </c>
      <c r="F296" s="133" t="s">
        <v>109</v>
      </c>
      <c r="G296" s="133" t="s">
        <v>9032</v>
      </c>
      <c r="H296" s="133" t="s">
        <v>8747</v>
      </c>
    </row>
    <row r="297" spans="1:8">
      <c r="A297" s="214" t="s">
        <v>4642</v>
      </c>
      <c r="B297" s="214" t="s">
        <v>4643</v>
      </c>
      <c r="C297" s="133" t="s">
        <v>9</v>
      </c>
      <c r="D297" s="133" t="s">
        <v>4636</v>
      </c>
      <c r="E297" s="133" t="s">
        <v>83</v>
      </c>
      <c r="F297" s="133" t="s">
        <v>109</v>
      </c>
      <c r="G297" s="133" t="s">
        <v>8776</v>
      </c>
      <c r="H297" s="133" t="s">
        <v>8747</v>
      </c>
    </row>
    <row r="298" spans="1:8">
      <c r="A298" s="214" t="s">
        <v>162</v>
      </c>
      <c r="B298" s="214" t="s">
        <v>163</v>
      </c>
      <c r="C298" s="133" t="s">
        <v>8</v>
      </c>
      <c r="D298" s="133" t="s">
        <v>96</v>
      </c>
      <c r="E298" s="133" t="s">
        <v>83</v>
      </c>
      <c r="F298" s="133" t="s">
        <v>109</v>
      </c>
      <c r="G298" s="133" t="s">
        <v>9084</v>
      </c>
      <c r="H298" s="133" t="s">
        <v>8747</v>
      </c>
    </row>
    <row r="299" spans="1:8">
      <c r="A299" s="214" t="s">
        <v>9190</v>
      </c>
      <c r="B299" s="214" t="s">
        <v>9191</v>
      </c>
      <c r="C299" s="133" t="s">
        <v>8</v>
      </c>
      <c r="D299" s="133" t="s">
        <v>96</v>
      </c>
      <c r="E299" s="133" t="s">
        <v>83</v>
      </c>
      <c r="F299" s="133" t="s">
        <v>109</v>
      </c>
      <c r="G299" s="133" t="s">
        <v>9084</v>
      </c>
      <c r="H299" s="133" t="s">
        <v>8747</v>
      </c>
    </row>
    <row r="300" spans="1:8">
      <c r="A300" s="214" t="s">
        <v>4795</v>
      </c>
      <c r="B300" s="214" t="s">
        <v>4796</v>
      </c>
      <c r="C300" s="133" t="s">
        <v>9</v>
      </c>
      <c r="D300" s="133" t="s">
        <v>4789</v>
      </c>
      <c r="E300" s="133" t="s">
        <v>83</v>
      </c>
      <c r="F300" s="133" t="s">
        <v>109</v>
      </c>
      <c r="G300" s="133" t="s">
        <v>8776</v>
      </c>
      <c r="H300" s="133" t="s">
        <v>8747</v>
      </c>
    </row>
    <row r="301" spans="1:8">
      <c r="A301" s="214" t="s">
        <v>5682</v>
      </c>
      <c r="B301" s="214" t="s">
        <v>5683</v>
      </c>
      <c r="C301" s="133" t="s">
        <v>2146</v>
      </c>
      <c r="D301" s="133" t="s">
        <v>5640</v>
      </c>
      <c r="E301" s="133" t="s">
        <v>83</v>
      </c>
      <c r="F301" s="133" t="s">
        <v>109</v>
      </c>
      <c r="G301" s="133" t="s">
        <v>8768</v>
      </c>
      <c r="H301" s="133" t="s">
        <v>8747</v>
      </c>
    </row>
    <row r="302" spans="1:8">
      <c r="A302" s="214" t="s">
        <v>9192</v>
      </c>
      <c r="B302" s="214" t="s">
        <v>9193</v>
      </c>
      <c r="C302" s="133" t="s">
        <v>8</v>
      </c>
      <c r="D302" s="133" t="s">
        <v>1701</v>
      </c>
      <c r="E302" s="133" t="s">
        <v>63</v>
      </c>
      <c r="F302" s="133" t="s">
        <v>109</v>
      </c>
      <c r="G302" s="133" t="s">
        <v>8820</v>
      </c>
      <c r="H302" s="133" t="s">
        <v>8747</v>
      </c>
    </row>
    <row r="303" spans="1:8">
      <c r="A303" s="214" t="s">
        <v>1285</v>
      </c>
      <c r="B303" s="214" t="s">
        <v>1287</v>
      </c>
      <c r="C303" s="133" t="s">
        <v>9</v>
      </c>
      <c r="D303" s="133" t="s">
        <v>1286</v>
      </c>
      <c r="E303" s="133" t="s">
        <v>83</v>
      </c>
      <c r="F303" s="133" t="s">
        <v>109</v>
      </c>
      <c r="G303" s="133" t="s">
        <v>8983</v>
      </c>
      <c r="H303" s="133" t="s">
        <v>8747</v>
      </c>
    </row>
    <row r="304" spans="1:8">
      <c r="A304" s="214" t="s">
        <v>6191</v>
      </c>
      <c r="B304" s="214" t="s">
        <v>6192</v>
      </c>
      <c r="C304" s="133" t="s">
        <v>8</v>
      </c>
      <c r="D304" s="133" t="s">
        <v>1132</v>
      </c>
      <c r="E304" s="133" t="s">
        <v>63</v>
      </c>
      <c r="F304" s="133" t="s">
        <v>109</v>
      </c>
      <c r="G304" s="133" t="s">
        <v>8826</v>
      </c>
      <c r="H304" s="133" t="s">
        <v>8747</v>
      </c>
    </row>
    <row r="305" spans="1:8">
      <c r="A305" s="214" t="s">
        <v>1591</v>
      </c>
      <c r="B305" s="214" t="s">
        <v>1592</v>
      </c>
      <c r="C305" s="133" t="s">
        <v>8</v>
      </c>
      <c r="D305" s="133" t="s">
        <v>1132</v>
      </c>
      <c r="E305" s="133" t="s">
        <v>63</v>
      </c>
      <c r="F305" s="133" t="s">
        <v>109</v>
      </c>
      <c r="G305" s="133" t="s">
        <v>8820</v>
      </c>
      <c r="H305" s="133" t="s">
        <v>8747</v>
      </c>
    </row>
    <row r="306" spans="1:8">
      <c r="A306" s="214" t="s">
        <v>2006</v>
      </c>
      <c r="B306" s="214" t="s">
        <v>2007</v>
      </c>
      <c r="C306" s="133" t="s">
        <v>8</v>
      </c>
      <c r="D306" s="133" t="s">
        <v>277</v>
      </c>
      <c r="E306" s="133" t="s">
        <v>63</v>
      </c>
      <c r="F306" s="133" t="s">
        <v>109</v>
      </c>
      <c r="G306" s="133" t="s">
        <v>8820</v>
      </c>
      <c r="H306" s="133" t="s">
        <v>8747</v>
      </c>
    </row>
    <row r="307" spans="1:8">
      <c r="A307" s="214" t="s">
        <v>9194</v>
      </c>
      <c r="B307" s="214" t="s">
        <v>9195</v>
      </c>
      <c r="C307" s="133" t="s">
        <v>8</v>
      </c>
      <c r="D307" s="133" t="s">
        <v>248</v>
      </c>
      <c r="E307" s="133" t="s">
        <v>83</v>
      </c>
      <c r="F307" s="133" t="s">
        <v>109</v>
      </c>
      <c r="G307" s="133" t="s">
        <v>8820</v>
      </c>
      <c r="H307" s="133" t="s">
        <v>8747</v>
      </c>
    </row>
    <row r="308" spans="1:8">
      <c r="A308" s="214" t="s">
        <v>9196</v>
      </c>
      <c r="B308" s="214" t="s">
        <v>9197</v>
      </c>
      <c r="C308" s="133" t="s">
        <v>10</v>
      </c>
      <c r="D308" s="133" t="s">
        <v>8923</v>
      </c>
      <c r="E308" s="133" t="s">
        <v>63</v>
      </c>
      <c r="F308" s="133" t="s">
        <v>109</v>
      </c>
      <c r="G308" s="133" t="s">
        <v>9032</v>
      </c>
      <c r="H308" s="133" t="s">
        <v>8747</v>
      </c>
    </row>
    <row r="309" spans="1:8">
      <c r="A309" s="214" t="s">
        <v>9198</v>
      </c>
      <c r="B309" s="214" t="s">
        <v>9199</v>
      </c>
      <c r="C309" s="133" t="s">
        <v>10</v>
      </c>
      <c r="D309" s="133" t="s">
        <v>5335</v>
      </c>
      <c r="E309" s="133" t="s">
        <v>63</v>
      </c>
      <c r="F309" s="133" t="s">
        <v>109</v>
      </c>
      <c r="G309" s="133" t="s">
        <v>8820</v>
      </c>
      <c r="H309" s="133" t="s">
        <v>8747</v>
      </c>
    </row>
    <row r="310" spans="1:8">
      <c r="A310" s="214" t="s">
        <v>7396</v>
      </c>
      <c r="B310" s="214" t="s">
        <v>7397</v>
      </c>
      <c r="C310" s="133" t="s">
        <v>10</v>
      </c>
      <c r="D310" s="133" t="s">
        <v>5893</v>
      </c>
      <c r="E310" s="133" t="s">
        <v>63</v>
      </c>
      <c r="F310" s="133" t="s">
        <v>109</v>
      </c>
      <c r="G310" s="133" t="s">
        <v>9032</v>
      </c>
      <c r="H310" s="133" t="s">
        <v>8747</v>
      </c>
    </row>
    <row r="311" spans="1:8">
      <c r="A311" s="214" t="s">
        <v>9200</v>
      </c>
      <c r="B311" s="214" t="s">
        <v>9201</v>
      </c>
      <c r="C311" s="133" t="s">
        <v>8</v>
      </c>
      <c r="D311" s="133" t="s">
        <v>440</v>
      </c>
      <c r="E311" s="133" t="s">
        <v>63</v>
      </c>
      <c r="F311" s="133" t="s">
        <v>109</v>
      </c>
      <c r="G311" s="133" t="s">
        <v>9032</v>
      </c>
      <c r="H311" s="133" t="s">
        <v>8747</v>
      </c>
    </row>
    <row r="312" spans="1:8">
      <c r="A312" s="214" t="s">
        <v>963</v>
      </c>
      <c r="B312" s="214" t="s">
        <v>496</v>
      </c>
      <c r="C312" s="133" t="s">
        <v>8</v>
      </c>
      <c r="D312" s="133" t="s">
        <v>932</v>
      </c>
      <c r="E312" s="133" t="s">
        <v>83</v>
      </c>
      <c r="F312" s="133" t="s">
        <v>109</v>
      </c>
      <c r="G312" s="133" t="s">
        <v>8784</v>
      </c>
      <c r="H312" s="133" t="s">
        <v>8747</v>
      </c>
    </row>
    <row r="313" spans="1:8">
      <c r="A313" s="214" t="s">
        <v>8580</v>
      </c>
      <c r="B313" s="214" t="s">
        <v>9202</v>
      </c>
      <c r="C313" s="133" t="s">
        <v>8</v>
      </c>
      <c r="D313" s="133" t="s">
        <v>66</v>
      </c>
      <c r="E313" s="133" t="s">
        <v>63</v>
      </c>
      <c r="F313" s="133" t="s">
        <v>109</v>
      </c>
      <c r="G313" s="133" t="s">
        <v>8820</v>
      </c>
      <c r="H313" s="133" t="s">
        <v>8747</v>
      </c>
    </row>
    <row r="314" spans="1:8">
      <c r="A314" s="214" t="s">
        <v>1412</v>
      </c>
      <c r="B314" s="214" t="s">
        <v>1414</v>
      </c>
      <c r="C314" s="133" t="s">
        <v>8</v>
      </c>
      <c r="D314" s="133" t="s">
        <v>1413</v>
      </c>
      <c r="E314" s="133" t="s">
        <v>63</v>
      </c>
      <c r="F314" s="133" t="s">
        <v>109</v>
      </c>
      <c r="G314" s="133" t="s">
        <v>9032</v>
      </c>
      <c r="H314" s="133" t="s">
        <v>8747</v>
      </c>
    </row>
    <row r="315" spans="1:8">
      <c r="A315" s="214" t="s">
        <v>153</v>
      </c>
      <c r="B315" s="214" t="s">
        <v>155</v>
      </c>
      <c r="C315" s="133" t="s">
        <v>8</v>
      </c>
      <c r="D315" s="133" t="s">
        <v>66</v>
      </c>
      <c r="E315" s="133" t="s">
        <v>63</v>
      </c>
      <c r="F315" s="133" t="s">
        <v>109</v>
      </c>
      <c r="G315" s="133" t="s">
        <v>8820</v>
      </c>
      <c r="H315" s="133" t="s">
        <v>8747</v>
      </c>
    </row>
    <row r="316" spans="1:8">
      <c r="A316" s="214" t="s">
        <v>9203</v>
      </c>
      <c r="B316" s="214" t="s">
        <v>1414</v>
      </c>
      <c r="C316" s="133" t="s">
        <v>9</v>
      </c>
      <c r="D316" s="133" t="s">
        <v>8847</v>
      </c>
      <c r="E316" s="133" t="s">
        <v>4392</v>
      </c>
      <c r="F316" s="133" t="s">
        <v>109</v>
      </c>
      <c r="G316" s="133" t="s">
        <v>8776</v>
      </c>
      <c r="H316" s="133" t="s">
        <v>8747</v>
      </c>
    </row>
    <row r="317" spans="1:8">
      <c r="A317" s="214" t="s">
        <v>9204</v>
      </c>
      <c r="B317" s="214" t="s">
        <v>2528</v>
      </c>
      <c r="C317" s="133" t="s">
        <v>237</v>
      </c>
      <c r="D317" s="133" t="s">
        <v>2110</v>
      </c>
      <c r="E317" s="133" t="s">
        <v>83</v>
      </c>
      <c r="F317" s="133" t="s">
        <v>109</v>
      </c>
      <c r="G317" s="133" t="s">
        <v>8991</v>
      </c>
      <c r="H317" s="133" t="s">
        <v>8747</v>
      </c>
    </row>
    <row r="318" spans="1:8">
      <c r="A318" s="214" t="s">
        <v>9205</v>
      </c>
      <c r="B318" s="214" t="s">
        <v>9206</v>
      </c>
      <c r="C318" s="133" t="s">
        <v>10</v>
      </c>
      <c r="D318" s="133" t="s">
        <v>3198</v>
      </c>
      <c r="E318" s="133" t="s">
        <v>63</v>
      </c>
      <c r="F318" s="133" t="s">
        <v>109</v>
      </c>
      <c r="G318" s="133" t="s">
        <v>8820</v>
      </c>
      <c r="H318" s="133" t="s">
        <v>8747</v>
      </c>
    </row>
    <row r="319" spans="1:8">
      <c r="A319" s="214" t="s">
        <v>9207</v>
      </c>
      <c r="B319" s="214" t="s">
        <v>9208</v>
      </c>
      <c r="C319" s="133" t="s">
        <v>10</v>
      </c>
      <c r="D319" s="133" t="s">
        <v>4216</v>
      </c>
      <c r="E319" s="133" t="s">
        <v>83</v>
      </c>
      <c r="F319" s="133" t="s">
        <v>109</v>
      </c>
      <c r="G319" s="133" t="s">
        <v>8776</v>
      </c>
      <c r="H319" s="133" t="s">
        <v>8747</v>
      </c>
    </row>
    <row r="320" spans="1:8">
      <c r="A320" s="214" t="s">
        <v>4938</v>
      </c>
      <c r="B320" s="214" t="s">
        <v>4939</v>
      </c>
      <c r="C320" s="133" t="s">
        <v>10</v>
      </c>
      <c r="D320" s="133" t="s">
        <v>4920</v>
      </c>
      <c r="E320" s="133" t="s">
        <v>83</v>
      </c>
      <c r="F320" s="133" t="s">
        <v>109</v>
      </c>
      <c r="G320" s="133" t="s">
        <v>8776</v>
      </c>
      <c r="H320" s="133" t="s">
        <v>8747</v>
      </c>
    </row>
    <row r="321" spans="1:8">
      <c r="A321" s="214" t="s">
        <v>4960</v>
      </c>
      <c r="B321" s="214" t="s">
        <v>4961</v>
      </c>
      <c r="C321" s="133" t="s">
        <v>10</v>
      </c>
      <c r="D321" s="133" t="s">
        <v>8948</v>
      </c>
      <c r="E321" s="133" t="s">
        <v>63</v>
      </c>
      <c r="F321" s="133" t="s">
        <v>109</v>
      </c>
      <c r="G321" s="133" t="s">
        <v>9032</v>
      </c>
      <c r="H321" s="133" t="s">
        <v>8747</v>
      </c>
    </row>
    <row r="322" spans="1:8">
      <c r="A322" s="214" t="s">
        <v>1694</v>
      </c>
      <c r="B322" s="214" t="s">
        <v>1695</v>
      </c>
      <c r="C322" s="133" t="s">
        <v>8</v>
      </c>
      <c r="D322" s="133" t="s">
        <v>1522</v>
      </c>
      <c r="E322" s="133" t="s">
        <v>63</v>
      </c>
      <c r="F322" s="133" t="s">
        <v>109</v>
      </c>
      <c r="G322" s="133" t="s">
        <v>9032</v>
      </c>
      <c r="H322" s="133" t="s">
        <v>8747</v>
      </c>
    </row>
    <row r="323" spans="1:8">
      <c r="A323" s="214" t="s">
        <v>9209</v>
      </c>
      <c r="B323" s="214" t="s">
        <v>9210</v>
      </c>
      <c r="C323" s="133" t="s">
        <v>8132</v>
      </c>
      <c r="D323" s="133" t="s">
        <v>8751</v>
      </c>
      <c r="E323" s="133" t="s">
        <v>83</v>
      </c>
      <c r="F323" s="133" t="s">
        <v>109</v>
      </c>
      <c r="G323" s="133" t="s">
        <v>9089</v>
      </c>
      <c r="H323" s="133" t="s">
        <v>8747</v>
      </c>
    </row>
    <row r="324" spans="1:8">
      <c r="A324" s="214" t="s">
        <v>9211</v>
      </c>
      <c r="B324" s="214" t="s">
        <v>9212</v>
      </c>
      <c r="C324" s="133" t="s">
        <v>178</v>
      </c>
      <c r="D324" s="133" t="s">
        <v>9080</v>
      </c>
      <c r="E324" s="133" t="s">
        <v>83</v>
      </c>
      <c r="F324" s="133" t="s">
        <v>109</v>
      </c>
      <c r="G324" s="133" t="s">
        <v>9081</v>
      </c>
      <c r="H324" s="133" t="s">
        <v>8747</v>
      </c>
    </row>
    <row r="325" spans="1:8">
      <c r="A325" s="214" t="s">
        <v>9213</v>
      </c>
      <c r="B325" s="214" t="s">
        <v>9214</v>
      </c>
      <c r="C325" s="133" t="s">
        <v>9</v>
      </c>
      <c r="D325" s="133" t="s">
        <v>4459</v>
      </c>
      <c r="E325" s="133" t="s">
        <v>83</v>
      </c>
      <c r="F325" s="133" t="s">
        <v>109</v>
      </c>
      <c r="G325" s="133" t="s">
        <v>8776</v>
      </c>
      <c r="H325" s="133" t="s">
        <v>8747</v>
      </c>
    </row>
    <row r="326" spans="1:8">
      <c r="A326" s="214" t="s">
        <v>9215</v>
      </c>
      <c r="B326" s="214" t="s">
        <v>9216</v>
      </c>
      <c r="C326" s="133" t="s">
        <v>10</v>
      </c>
      <c r="D326" s="133" t="s">
        <v>6429</v>
      </c>
      <c r="E326" s="133" t="s">
        <v>63</v>
      </c>
      <c r="F326" s="133" t="s">
        <v>109</v>
      </c>
      <c r="G326" s="133" t="s">
        <v>9032</v>
      </c>
      <c r="H326" s="133" t="s">
        <v>8747</v>
      </c>
    </row>
    <row r="327" spans="1:8">
      <c r="A327" s="214" t="s">
        <v>9217</v>
      </c>
      <c r="B327" s="214" t="s">
        <v>8402</v>
      </c>
      <c r="C327" s="133" t="s">
        <v>2146</v>
      </c>
      <c r="D327" s="133" t="s">
        <v>2197</v>
      </c>
      <c r="E327" s="133" t="s">
        <v>83</v>
      </c>
      <c r="F327" s="133" t="s">
        <v>109</v>
      </c>
      <c r="G327" s="133" t="s">
        <v>9003</v>
      </c>
      <c r="H327" s="133" t="s">
        <v>8747</v>
      </c>
    </row>
    <row r="328" spans="1:8">
      <c r="A328" s="214" t="s">
        <v>4764</v>
      </c>
      <c r="B328" s="214" t="s">
        <v>4765</v>
      </c>
      <c r="C328" s="133" t="s">
        <v>399</v>
      </c>
      <c r="D328" s="133" t="s">
        <v>1375</v>
      </c>
      <c r="E328" s="133" t="s">
        <v>83</v>
      </c>
      <c r="F328" s="133" t="s">
        <v>109</v>
      </c>
      <c r="G328" s="133" t="s">
        <v>8755</v>
      </c>
      <c r="H328" s="133" t="s">
        <v>8747</v>
      </c>
    </row>
    <row r="329" spans="1:8">
      <c r="A329" s="214" t="s">
        <v>9218</v>
      </c>
      <c r="B329" s="214" t="s">
        <v>9219</v>
      </c>
      <c r="C329" s="133" t="s">
        <v>10</v>
      </c>
      <c r="D329" s="133" t="s">
        <v>4187</v>
      </c>
      <c r="E329" s="133" t="s">
        <v>83</v>
      </c>
      <c r="F329" s="133" t="s">
        <v>109</v>
      </c>
      <c r="G329" s="133" t="s">
        <v>9084</v>
      </c>
      <c r="H329" s="133" t="s">
        <v>8747</v>
      </c>
    </row>
    <row r="330" spans="1:8">
      <c r="A330" s="214" t="s">
        <v>9220</v>
      </c>
      <c r="B330" s="214" t="s">
        <v>9221</v>
      </c>
      <c r="C330" s="133" t="s">
        <v>8132</v>
      </c>
      <c r="D330" s="133" t="s">
        <v>8751</v>
      </c>
      <c r="E330" s="133" t="s">
        <v>83</v>
      </c>
      <c r="F330" s="133" t="s">
        <v>109</v>
      </c>
      <c r="G330" s="133" t="s">
        <v>9089</v>
      </c>
      <c r="H330" s="133" t="s">
        <v>8747</v>
      </c>
    </row>
    <row r="331" spans="1:8">
      <c r="A331" s="214" t="s">
        <v>9222</v>
      </c>
      <c r="B331" s="214" t="s">
        <v>9223</v>
      </c>
      <c r="C331" s="133" t="s">
        <v>10</v>
      </c>
      <c r="D331" s="133" t="s">
        <v>8021</v>
      </c>
      <c r="E331" s="133" t="s">
        <v>63</v>
      </c>
      <c r="F331" s="133" t="s">
        <v>109</v>
      </c>
      <c r="G331" s="133" t="s">
        <v>8820</v>
      </c>
      <c r="H331" s="133" t="s">
        <v>8747</v>
      </c>
    </row>
    <row r="332" spans="1:8">
      <c r="A332" s="214" t="s">
        <v>4180</v>
      </c>
      <c r="B332" s="214" t="s">
        <v>4181</v>
      </c>
      <c r="C332" s="133" t="s">
        <v>10</v>
      </c>
      <c r="D332" s="133" t="s">
        <v>3370</v>
      </c>
      <c r="E332" s="133" t="s">
        <v>83</v>
      </c>
      <c r="F332" s="133" t="s">
        <v>109</v>
      </c>
      <c r="G332" s="133" t="s">
        <v>8987</v>
      </c>
      <c r="H332" s="133" t="s">
        <v>8747</v>
      </c>
    </row>
    <row r="333" spans="1:8">
      <c r="A333" s="214" t="s">
        <v>5212</v>
      </c>
      <c r="B333" s="214" t="s">
        <v>299</v>
      </c>
      <c r="C333" s="133" t="s">
        <v>8132</v>
      </c>
      <c r="D333" s="133" t="s">
        <v>85</v>
      </c>
      <c r="E333" s="133" t="s">
        <v>83</v>
      </c>
      <c r="F333" s="133" t="s">
        <v>109</v>
      </c>
      <c r="G333" s="133" t="s">
        <v>8755</v>
      </c>
      <c r="H333" s="133" t="s">
        <v>8747</v>
      </c>
    </row>
    <row r="334" spans="1:8">
      <c r="A334" s="214" t="s">
        <v>650</v>
      </c>
      <c r="B334" s="214" t="s">
        <v>652</v>
      </c>
      <c r="C334" s="133" t="s">
        <v>8</v>
      </c>
      <c r="D334" s="133" t="s">
        <v>809</v>
      </c>
      <c r="E334" s="133" t="s">
        <v>63</v>
      </c>
      <c r="F334" s="133" t="s">
        <v>109</v>
      </c>
      <c r="G334" s="133" t="s">
        <v>8986</v>
      </c>
      <c r="H334" s="133" t="s">
        <v>8747</v>
      </c>
    </row>
    <row r="335" spans="1:8">
      <c r="A335" s="214" t="s">
        <v>2196</v>
      </c>
      <c r="B335" s="214" t="s">
        <v>2198</v>
      </c>
      <c r="C335" s="133" t="s">
        <v>2146</v>
      </c>
      <c r="D335" s="133" t="s">
        <v>2197</v>
      </c>
      <c r="E335" s="133" t="s">
        <v>83</v>
      </c>
      <c r="F335" s="133" t="s">
        <v>109</v>
      </c>
      <c r="G335" s="133" t="s">
        <v>8755</v>
      </c>
      <c r="H335" s="133" t="s">
        <v>8747</v>
      </c>
    </row>
    <row r="336" spans="1:8">
      <c r="A336" s="214" t="s">
        <v>4673</v>
      </c>
      <c r="B336" s="214" t="s">
        <v>4674</v>
      </c>
      <c r="C336" s="133" t="s">
        <v>9</v>
      </c>
      <c r="D336" s="133" t="s">
        <v>4636</v>
      </c>
      <c r="E336" s="133" t="s">
        <v>83</v>
      </c>
      <c r="F336" s="133" t="s">
        <v>109</v>
      </c>
      <c r="G336" s="133" t="s">
        <v>8776</v>
      </c>
      <c r="H336" s="133" t="s">
        <v>8747</v>
      </c>
    </row>
    <row r="337" spans="1:8">
      <c r="A337" s="214" t="s">
        <v>2070</v>
      </c>
      <c r="B337" s="214" t="s">
        <v>2071</v>
      </c>
      <c r="C337" s="133" t="s">
        <v>8</v>
      </c>
      <c r="D337" s="133" t="s">
        <v>818</v>
      </c>
      <c r="E337" s="133" t="s">
        <v>63</v>
      </c>
      <c r="F337" s="133" t="s">
        <v>109</v>
      </c>
      <c r="G337" s="133" t="s">
        <v>8820</v>
      </c>
      <c r="H337" s="133" t="s">
        <v>8747</v>
      </c>
    </row>
    <row r="338" spans="1:8">
      <c r="A338" s="214" t="s">
        <v>710</v>
      </c>
      <c r="B338" s="214" t="s">
        <v>711</v>
      </c>
      <c r="C338" s="133" t="s">
        <v>8</v>
      </c>
      <c r="D338" s="133" t="s">
        <v>686</v>
      </c>
      <c r="E338" s="133" t="s">
        <v>63</v>
      </c>
      <c r="F338" s="133" t="s">
        <v>109</v>
      </c>
      <c r="G338" s="133" t="s">
        <v>8983</v>
      </c>
      <c r="H338" s="133" t="s">
        <v>8747</v>
      </c>
    </row>
    <row r="339" spans="1:8">
      <c r="A339" s="214" t="s">
        <v>9224</v>
      </c>
      <c r="B339" s="214" t="s">
        <v>9225</v>
      </c>
      <c r="C339" s="133" t="s">
        <v>178</v>
      </c>
      <c r="D339" s="133" t="s">
        <v>8979</v>
      </c>
      <c r="E339" s="133" t="s">
        <v>178</v>
      </c>
      <c r="F339" s="133" t="s">
        <v>109</v>
      </c>
      <c r="G339" s="133" t="s">
        <v>8820</v>
      </c>
      <c r="H339" s="133" t="s">
        <v>8747</v>
      </c>
    </row>
    <row r="340" spans="1:8">
      <c r="A340" s="214" t="s">
        <v>9226</v>
      </c>
      <c r="B340" s="214" t="s">
        <v>9227</v>
      </c>
      <c r="C340" s="133" t="s">
        <v>10</v>
      </c>
      <c r="D340" s="133" t="s">
        <v>3103</v>
      </c>
      <c r="E340" s="133" t="s">
        <v>63</v>
      </c>
      <c r="F340" s="133" t="s">
        <v>109</v>
      </c>
      <c r="G340" s="133" t="s">
        <v>9032</v>
      </c>
      <c r="H340" s="133" t="s">
        <v>8747</v>
      </c>
    </row>
    <row r="341" spans="1:8">
      <c r="A341" s="214" t="s">
        <v>9228</v>
      </c>
      <c r="B341" s="214" t="s">
        <v>9229</v>
      </c>
      <c r="C341" s="133" t="s">
        <v>10</v>
      </c>
      <c r="D341" s="133" t="s">
        <v>7955</v>
      </c>
      <c r="E341" s="133" t="s">
        <v>63</v>
      </c>
      <c r="F341" s="133" t="s">
        <v>109</v>
      </c>
      <c r="G341" s="133" t="s">
        <v>9032</v>
      </c>
      <c r="H341" s="133" t="s">
        <v>8747</v>
      </c>
    </row>
    <row r="342" spans="1:8">
      <c r="A342" s="214" t="s">
        <v>215</v>
      </c>
      <c r="B342" s="214" t="s">
        <v>216</v>
      </c>
      <c r="C342" s="133" t="s">
        <v>8</v>
      </c>
      <c r="D342" s="133" t="s">
        <v>96</v>
      </c>
      <c r="E342" s="133" t="s">
        <v>83</v>
      </c>
      <c r="F342" s="133" t="s">
        <v>109</v>
      </c>
      <c r="G342" s="133" t="s">
        <v>9084</v>
      </c>
      <c r="H342" s="133" t="s">
        <v>8747</v>
      </c>
    </row>
    <row r="343" spans="1:8">
      <c r="A343" s="214" t="s">
        <v>9230</v>
      </c>
      <c r="B343" s="214" t="s">
        <v>9231</v>
      </c>
      <c r="C343" s="133" t="s">
        <v>399</v>
      </c>
      <c r="D343" s="133" t="s">
        <v>2208</v>
      </c>
      <c r="E343" s="133" t="s">
        <v>83</v>
      </c>
      <c r="F343" s="133" t="s">
        <v>109</v>
      </c>
      <c r="G343" s="133" t="s">
        <v>8755</v>
      </c>
      <c r="H343" s="133" t="s">
        <v>8747</v>
      </c>
    </row>
    <row r="344" spans="1:8">
      <c r="A344" s="214" t="s">
        <v>9232</v>
      </c>
      <c r="B344" s="214" t="s">
        <v>1934</v>
      </c>
      <c r="C344" s="133" t="s">
        <v>8</v>
      </c>
      <c r="D344" s="133" t="s">
        <v>96</v>
      </c>
      <c r="E344" s="133" t="s">
        <v>83</v>
      </c>
      <c r="F344" s="133" t="s">
        <v>109</v>
      </c>
      <c r="G344" s="133" t="s">
        <v>9084</v>
      </c>
      <c r="H344" s="133" t="s">
        <v>8747</v>
      </c>
    </row>
    <row r="345" spans="1:8">
      <c r="A345" s="214" t="s">
        <v>588</v>
      </c>
      <c r="B345" s="214" t="s">
        <v>590</v>
      </c>
      <c r="C345" s="133" t="s">
        <v>8</v>
      </c>
      <c r="D345" s="133" t="s">
        <v>9096</v>
      </c>
      <c r="E345" s="133" t="s">
        <v>83</v>
      </c>
      <c r="F345" s="133" t="s">
        <v>109</v>
      </c>
      <c r="G345" s="133" t="s">
        <v>8987</v>
      </c>
      <c r="H345" s="133" t="s">
        <v>8747</v>
      </c>
    </row>
    <row r="346" spans="1:8">
      <c r="A346" s="214" t="s">
        <v>9233</v>
      </c>
      <c r="B346" s="214" t="s">
        <v>9234</v>
      </c>
      <c r="C346" s="133" t="s">
        <v>8</v>
      </c>
      <c r="D346" s="133" t="s">
        <v>757</v>
      </c>
      <c r="E346" s="133" t="s">
        <v>63</v>
      </c>
      <c r="F346" s="133" t="s">
        <v>109</v>
      </c>
      <c r="G346" s="133" t="s">
        <v>8826</v>
      </c>
      <c r="H346" s="133" t="s">
        <v>8747</v>
      </c>
    </row>
    <row r="347" spans="1:8">
      <c r="A347" s="214" t="s">
        <v>1492</v>
      </c>
      <c r="B347" s="214" t="s">
        <v>1493</v>
      </c>
      <c r="C347" s="133" t="s">
        <v>8</v>
      </c>
      <c r="D347" s="133" t="s">
        <v>440</v>
      </c>
      <c r="E347" s="133" t="s">
        <v>63</v>
      </c>
      <c r="F347" s="133" t="s">
        <v>109</v>
      </c>
      <c r="G347" s="133" t="s">
        <v>8820</v>
      </c>
      <c r="H347" s="133" t="s">
        <v>8747</v>
      </c>
    </row>
    <row r="348" spans="1:8">
      <c r="A348" s="214" t="s">
        <v>9235</v>
      </c>
      <c r="B348" s="214" t="s">
        <v>9236</v>
      </c>
      <c r="C348" s="133" t="s">
        <v>8</v>
      </c>
      <c r="D348" s="133" t="s">
        <v>488</v>
      </c>
      <c r="E348" s="133" t="s">
        <v>83</v>
      </c>
      <c r="F348" s="133" t="s">
        <v>109</v>
      </c>
      <c r="G348" s="133" t="s">
        <v>8820</v>
      </c>
      <c r="H348" s="133" t="s">
        <v>8747</v>
      </c>
    </row>
    <row r="349" spans="1:8">
      <c r="A349" s="214" t="s">
        <v>864</v>
      </c>
      <c r="B349" s="214" t="s">
        <v>865</v>
      </c>
      <c r="C349" s="133" t="s">
        <v>237</v>
      </c>
      <c r="D349" s="133" t="s">
        <v>290</v>
      </c>
      <c r="E349" s="133" t="s">
        <v>83</v>
      </c>
      <c r="F349" s="133" t="s">
        <v>109</v>
      </c>
      <c r="G349" s="133" t="s">
        <v>300</v>
      </c>
      <c r="H349" s="133" t="s">
        <v>8747</v>
      </c>
    </row>
    <row r="350" spans="1:8">
      <c r="A350" s="214" t="s">
        <v>9237</v>
      </c>
      <c r="B350" s="214" t="s">
        <v>1802</v>
      </c>
      <c r="C350" s="133" t="s">
        <v>237</v>
      </c>
      <c r="D350" s="133" t="s">
        <v>290</v>
      </c>
      <c r="E350" s="133" t="s">
        <v>83</v>
      </c>
      <c r="F350" s="133" t="s">
        <v>109</v>
      </c>
      <c r="G350" s="133" t="s">
        <v>300</v>
      </c>
      <c r="H350" s="133" t="s">
        <v>8747</v>
      </c>
    </row>
    <row r="351" spans="1:8">
      <c r="A351" s="214" t="s">
        <v>5070</v>
      </c>
      <c r="B351" s="214" t="s">
        <v>1827</v>
      </c>
      <c r="C351" s="133" t="s">
        <v>10</v>
      </c>
      <c r="D351" s="133" t="s">
        <v>1826</v>
      </c>
      <c r="E351" s="133" t="s">
        <v>63</v>
      </c>
      <c r="F351" s="133" t="s">
        <v>109</v>
      </c>
      <c r="G351" s="133" t="s">
        <v>8826</v>
      </c>
      <c r="H351" s="133" t="s">
        <v>8747</v>
      </c>
    </row>
    <row r="352" spans="1:8">
      <c r="A352" s="214" t="s">
        <v>9238</v>
      </c>
      <c r="B352" s="214" t="s">
        <v>9239</v>
      </c>
      <c r="C352" s="133" t="s">
        <v>10</v>
      </c>
      <c r="D352" s="133" t="s">
        <v>8909</v>
      </c>
      <c r="E352" s="133" t="s">
        <v>63</v>
      </c>
      <c r="F352" s="133" t="s">
        <v>109</v>
      </c>
      <c r="G352" s="133" t="s">
        <v>8820</v>
      </c>
      <c r="H352" s="133" t="s">
        <v>8747</v>
      </c>
    </row>
    <row r="353" spans="1:8">
      <c r="A353" s="214" t="s">
        <v>7486</v>
      </c>
      <c r="B353" s="214" t="s">
        <v>3373</v>
      </c>
      <c r="C353" s="133" t="s">
        <v>8132</v>
      </c>
      <c r="D353" s="133" t="s">
        <v>85</v>
      </c>
      <c r="E353" s="133" t="s">
        <v>83</v>
      </c>
      <c r="F353" s="133" t="s">
        <v>109</v>
      </c>
      <c r="G353" s="133" t="s">
        <v>8755</v>
      </c>
      <c r="H353" s="133" t="s">
        <v>8747</v>
      </c>
    </row>
    <row r="354" spans="1:8">
      <c r="A354" s="214" t="s">
        <v>9240</v>
      </c>
      <c r="B354" s="214" t="s">
        <v>9241</v>
      </c>
      <c r="C354" s="133" t="s">
        <v>8132</v>
      </c>
      <c r="D354" s="133" t="s">
        <v>8751</v>
      </c>
      <c r="E354" s="133" t="s">
        <v>83</v>
      </c>
      <c r="F354" s="133" t="s">
        <v>109</v>
      </c>
      <c r="G354" s="133" t="s">
        <v>9089</v>
      </c>
      <c r="H354" s="133" t="s">
        <v>8747</v>
      </c>
    </row>
    <row r="355" spans="1:8">
      <c r="A355" s="214" t="s">
        <v>9242</v>
      </c>
      <c r="B355" s="214" t="s">
        <v>9243</v>
      </c>
      <c r="C355" s="133" t="s">
        <v>10</v>
      </c>
      <c r="D355" s="133" t="s">
        <v>7652</v>
      </c>
      <c r="E355" s="133" t="s">
        <v>63</v>
      </c>
      <c r="F355" s="133" t="s">
        <v>109</v>
      </c>
      <c r="G355" s="133" t="s">
        <v>9032</v>
      </c>
      <c r="H355" s="133" t="s">
        <v>8747</v>
      </c>
    </row>
    <row r="356" spans="1:8">
      <c r="A356" s="214" t="s">
        <v>7815</v>
      </c>
      <c r="B356" s="214" t="s">
        <v>7816</v>
      </c>
      <c r="C356" s="133" t="s">
        <v>10</v>
      </c>
      <c r="D356" s="133" t="s">
        <v>3370</v>
      </c>
      <c r="E356" s="133" t="s">
        <v>83</v>
      </c>
      <c r="F356" s="133" t="s">
        <v>109</v>
      </c>
      <c r="G356" s="133" t="s">
        <v>8765</v>
      </c>
      <c r="H356" s="133" t="s">
        <v>8747</v>
      </c>
    </row>
    <row r="357" spans="1:8">
      <c r="A357" s="214" t="s">
        <v>3147</v>
      </c>
      <c r="B357" s="214" t="s">
        <v>3148</v>
      </c>
      <c r="C357" s="133" t="s">
        <v>399</v>
      </c>
      <c r="D357" s="133" t="s">
        <v>2362</v>
      </c>
      <c r="E357" s="133" t="s">
        <v>83</v>
      </c>
      <c r="F357" s="133" t="s">
        <v>109</v>
      </c>
      <c r="G357" s="133" t="s">
        <v>9003</v>
      </c>
      <c r="H357" s="133" t="s">
        <v>8747</v>
      </c>
    </row>
    <row r="358" spans="1:8">
      <c r="A358" s="214" t="s">
        <v>9244</v>
      </c>
      <c r="B358" s="214" t="s">
        <v>9245</v>
      </c>
      <c r="C358" s="133" t="s">
        <v>237</v>
      </c>
      <c r="D358" s="133" t="s">
        <v>239</v>
      </c>
      <c r="E358" s="133" t="s">
        <v>83</v>
      </c>
      <c r="F358" s="133" t="s">
        <v>109</v>
      </c>
      <c r="G358" s="133" t="s">
        <v>70</v>
      </c>
      <c r="H358" s="133" t="s">
        <v>8747</v>
      </c>
    </row>
    <row r="359" spans="1:8">
      <c r="A359" s="214" t="s">
        <v>9246</v>
      </c>
      <c r="B359" s="214" t="s">
        <v>9247</v>
      </c>
      <c r="C359" s="133" t="s">
        <v>237</v>
      </c>
      <c r="D359" s="133" t="s">
        <v>239</v>
      </c>
      <c r="E359" s="133" t="s">
        <v>83</v>
      </c>
      <c r="F359" s="133" t="s">
        <v>109</v>
      </c>
      <c r="G359" s="133" t="s">
        <v>70</v>
      </c>
      <c r="H359" s="133" t="s">
        <v>8747</v>
      </c>
    </row>
    <row r="360" spans="1:8">
      <c r="A360" s="214" t="s">
        <v>108</v>
      </c>
      <c r="B360" s="214" t="s">
        <v>110</v>
      </c>
      <c r="C360" s="133" t="s">
        <v>8</v>
      </c>
      <c r="D360" s="133" t="s">
        <v>96</v>
      </c>
      <c r="E360" s="133" t="s">
        <v>83</v>
      </c>
      <c r="F360" s="133" t="s">
        <v>109</v>
      </c>
      <c r="G360" s="133" t="s">
        <v>9084</v>
      </c>
      <c r="H360" s="133" t="s">
        <v>8747</v>
      </c>
    </row>
    <row r="361" spans="1:8">
      <c r="A361" s="214" t="s">
        <v>8053</v>
      </c>
      <c r="B361" s="214" t="s">
        <v>69</v>
      </c>
      <c r="C361" s="133" t="s">
        <v>8132</v>
      </c>
      <c r="D361" s="133" t="s">
        <v>85</v>
      </c>
      <c r="E361" s="133" t="s">
        <v>83</v>
      </c>
      <c r="F361" s="133" t="s">
        <v>109</v>
      </c>
      <c r="G361" s="133" t="s">
        <v>8755</v>
      </c>
      <c r="H361" s="133" t="s">
        <v>8747</v>
      </c>
    </row>
    <row r="362" spans="1:8">
      <c r="A362" s="214" t="s">
        <v>952</v>
      </c>
      <c r="B362" s="214" t="s">
        <v>953</v>
      </c>
      <c r="C362" s="133" t="s">
        <v>8</v>
      </c>
      <c r="D362" s="133" t="s">
        <v>456</v>
      </c>
      <c r="E362" s="133" t="s">
        <v>83</v>
      </c>
      <c r="F362" s="133" t="s">
        <v>109</v>
      </c>
      <c r="G362" s="133" t="s">
        <v>9104</v>
      </c>
      <c r="H362" s="133" t="s">
        <v>8747</v>
      </c>
    </row>
    <row r="363" spans="1:8">
      <c r="A363" s="214" t="s">
        <v>9248</v>
      </c>
      <c r="B363" s="214" t="s">
        <v>9249</v>
      </c>
      <c r="C363" s="133" t="s">
        <v>178</v>
      </c>
      <c r="D363" s="133" t="s">
        <v>8979</v>
      </c>
      <c r="E363" s="133" t="s">
        <v>178</v>
      </c>
      <c r="F363" s="133" t="s">
        <v>109</v>
      </c>
      <c r="G363" s="133" t="s">
        <v>8820</v>
      </c>
      <c r="H363" s="133" t="s">
        <v>8747</v>
      </c>
    </row>
    <row r="364" spans="1:8">
      <c r="A364" s="214" t="s">
        <v>1163</v>
      </c>
      <c r="B364" s="214" t="s">
        <v>1164</v>
      </c>
      <c r="C364" s="133" t="s">
        <v>8</v>
      </c>
      <c r="D364" s="133" t="s">
        <v>809</v>
      </c>
      <c r="E364" s="133" t="s">
        <v>63</v>
      </c>
      <c r="F364" s="133" t="s">
        <v>109</v>
      </c>
      <c r="G364" s="133" t="s">
        <v>8986</v>
      </c>
      <c r="H364" s="133" t="s">
        <v>8747</v>
      </c>
    </row>
    <row r="365" spans="1:8">
      <c r="A365" s="214" t="s">
        <v>9250</v>
      </c>
      <c r="B365" s="214" t="s">
        <v>9251</v>
      </c>
      <c r="C365" s="133" t="s">
        <v>8</v>
      </c>
      <c r="D365" s="133" t="s">
        <v>895</v>
      </c>
      <c r="E365" s="133" t="s">
        <v>63</v>
      </c>
      <c r="F365" s="133" t="s">
        <v>109</v>
      </c>
      <c r="G365" s="133" t="s">
        <v>9104</v>
      </c>
      <c r="H365" s="133" t="s">
        <v>8747</v>
      </c>
    </row>
    <row r="366" spans="1:8">
      <c r="A366" s="214" t="s">
        <v>3381</v>
      </c>
      <c r="B366" s="214" t="s">
        <v>3382</v>
      </c>
      <c r="C366" s="133" t="s">
        <v>8</v>
      </c>
      <c r="D366" s="133" t="s">
        <v>8868</v>
      </c>
      <c r="E366" s="133" t="s">
        <v>63</v>
      </c>
      <c r="F366" s="133" t="s">
        <v>109</v>
      </c>
      <c r="G366" s="133" t="s">
        <v>8820</v>
      </c>
      <c r="H366" s="133" t="s">
        <v>8747</v>
      </c>
    </row>
    <row r="367" spans="1:8">
      <c r="A367" s="214" t="s">
        <v>523</v>
      </c>
      <c r="B367" s="214" t="s">
        <v>524</v>
      </c>
      <c r="C367" s="133" t="s">
        <v>237</v>
      </c>
      <c r="D367" s="133" t="s">
        <v>290</v>
      </c>
      <c r="E367" s="133" t="s">
        <v>83</v>
      </c>
      <c r="F367" s="133" t="s">
        <v>109</v>
      </c>
      <c r="G367" s="133" t="s">
        <v>300</v>
      </c>
      <c r="H367" s="133" t="s">
        <v>8747</v>
      </c>
    </row>
    <row r="368" spans="1:8">
      <c r="A368" s="214" t="s">
        <v>9252</v>
      </c>
      <c r="B368" s="214" t="s">
        <v>9253</v>
      </c>
      <c r="C368" s="133" t="s">
        <v>8</v>
      </c>
      <c r="D368" s="133" t="s">
        <v>9006</v>
      </c>
      <c r="E368" s="133" t="s">
        <v>63</v>
      </c>
      <c r="F368" s="133" t="s">
        <v>109</v>
      </c>
      <c r="G368" s="133" t="s">
        <v>8820</v>
      </c>
      <c r="H368" s="133" t="s">
        <v>8747</v>
      </c>
    </row>
    <row r="369" spans="1:8">
      <c r="A369" s="214" t="s">
        <v>9254</v>
      </c>
      <c r="B369" s="214" t="s">
        <v>9255</v>
      </c>
      <c r="C369" s="133" t="s">
        <v>178</v>
      </c>
      <c r="D369" s="133" t="s">
        <v>9071</v>
      </c>
      <c r="E369" s="133" t="s">
        <v>178</v>
      </c>
      <c r="F369" s="133" t="s">
        <v>109</v>
      </c>
      <c r="G369" s="133" t="s">
        <v>9072</v>
      </c>
      <c r="H369" s="133" t="s">
        <v>8747</v>
      </c>
    </row>
    <row r="370" spans="1:8">
      <c r="A370" s="214" t="s">
        <v>8383</v>
      </c>
      <c r="B370" s="214" t="s">
        <v>9256</v>
      </c>
      <c r="C370" s="133" t="s">
        <v>8</v>
      </c>
      <c r="D370" s="133" t="s">
        <v>2380</v>
      </c>
      <c r="E370" s="133" t="s">
        <v>63</v>
      </c>
      <c r="F370" s="133" t="s">
        <v>109</v>
      </c>
      <c r="G370" s="133" t="s">
        <v>8820</v>
      </c>
      <c r="H370" s="133" t="s">
        <v>8747</v>
      </c>
    </row>
    <row r="371" spans="1:8">
      <c r="A371" s="214" t="s">
        <v>2802</v>
      </c>
      <c r="B371" s="214" t="s">
        <v>2803</v>
      </c>
      <c r="C371" s="133" t="s">
        <v>8</v>
      </c>
      <c r="D371" s="133" t="s">
        <v>2054</v>
      </c>
      <c r="E371" s="133" t="s">
        <v>63</v>
      </c>
      <c r="F371" s="133" t="s">
        <v>109</v>
      </c>
      <c r="G371" s="133" t="s">
        <v>9032</v>
      </c>
      <c r="H371" s="133" t="s">
        <v>8747</v>
      </c>
    </row>
    <row r="372" spans="1:8">
      <c r="A372" s="214" t="s">
        <v>817</v>
      </c>
      <c r="B372" s="214" t="s">
        <v>819</v>
      </c>
      <c r="C372" s="133" t="s">
        <v>8</v>
      </c>
      <c r="D372" s="133" t="s">
        <v>818</v>
      </c>
      <c r="E372" s="133" t="s">
        <v>63</v>
      </c>
      <c r="F372" s="133" t="s">
        <v>109</v>
      </c>
      <c r="G372" s="133" t="s">
        <v>8820</v>
      </c>
      <c r="H372" s="133" t="s">
        <v>8747</v>
      </c>
    </row>
    <row r="373" spans="1:8">
      <c r="A373" s="214" t="s">
        <v>2719</v>
      </c>
      <c r="B373" s="214" t="s">
        <v>2720</v>
      </c>
      <c r="C373" s="133" t="s">
        <v>8</v>
      </c>
      <c r="D373" s="133" t="s">
        <v>2076</v>
      </c>
      <c r="E373" s="133" t="s">
        <v>63</v>
      </c>
      <c r="F373" s="133" t="s">
        <v>109</v>
      </c>
      <c r="G373" s="133" t="s">
        <v>8820</v>
      </c>
      <c r="H373" s="133" t="s">
        <v>8747</v>
      </c>
    </row>
    <row r="374" spans="1:8">
      <c r="A374" s="214" t="s">
        <v>9257</v>
      </c>
      <c r="B374" s="214" t="s">
        <v>9258</v>
      </c>
      <c r="C374" s="133" t="s">
        <v>8</v>
      </c>
      <c r="D374" s="133" t="s">
        <v>8868</v>
      </c>
      <c r="E374" s="133" t="s">
        <v>63</v>
      </c>
      <c r="F374" s="133" t="s">
        <v>109</v>
      </c>
      <c r="G374" s="133" t="s">
        <v>8820</v>
      </c>
      <c r="H374" s="133" t="s">
        <v>8747</v>
      </c>
    </row>
    <row r="375" spans="1:8">
      <c r="A375" s="214" t="s">
        <v>9259</v>
      </c>
      <c r="B375" s="214" t="s">
        <v>9260</v>
      </c>
      <c r="C375" s="133" t="s">
        <v>8</v>
      </c>
      <c r="D375" s="133" t="s">
        <v>2076</v>
      </c>
      <c r="E375" s="133" t="s">
        <v>63</v>
      </c>
      <c r="F375" s="133" t="s">
        <v>109</v>
      </c>
      <c r="G375" s="133" t="s">
        <v>8820</v>
      </c>
      <c r="H375" s="133" t="s">
        <v>8747</v>
      </c>
    </row>
    <row r="376" spans="1:8">
      <c r="A376" s="214" t="s">
        <v>3171</v>
      </c>
      <c r="B376" s="214" t="s">
        <v>3172</v>
      </c>
      <c r="C376" s="133" t="s">
        <v>8</v>
      </c>
      <c r="D376" s="133" t="s">
        <v>2299</v>
      </c>
      <c r="E376" s="133" t="s">
        <v>63</v>
      </c>
      <c r="F376" s="133" t="s">
        <v>109</v>
      </c>
      <c r="G376" s="133" t="s">
        <v>8820</v>
      </c>
      <c r="H376" s="133" t="s">
        <v>8747</v>
      </c>
    </row>
    <row r="377" spans="1:8">
      <c r="A377" s="214" t="s">
        <v>487</v>
      </c>
      <c r="B377" s="214" t="s">
        <v>489</v>
      </c>
      <c r="C377" s="133" t="s">
        <v>8</v>
      </c>
      <c r="D377" s="133" t="s">
        <v>488</v>
      </c>
      <c r="E377" s="133" t="s">
        <v>83</v>
      </c>
      <c r="F377" s="133" t="s">
        <v>109</v>
      </c>
      <c r="G377" s="133" t="s">
        <v>8820</v>
      </c>
      <c r="H377" s="133" t="s">
        <v>8747</v>
      </c>
    </row>
    <row r="378" spans="1:8">
      <c r="A378" s="214" t="s">
        <v>9261</v>
      </c>
      <c r="B378" s="214" t="s">
        <v>5389</v>
      </c>
      <c r="C378" s="133" t="s">
        <v>237</v>
      </c>
      <c r="D378" s="133" t="s">
        <v>290</v>
      </c>
      <c r="E378" s="133" t="s">
        <v>83</v>
      </c>
      <c r="F378" s="133" t="s">
        <v>109</v>
      </c>
      <c r="G378" s="133" t="s">
        <v>300</v>
      </c>
      <c r="H378" s="133" t="s">
        <v>8747</v>
      </c>
    </row>
    <row r="379" spans="1:8">
      <c r="A379" s="214" t="s">
        <v>4012</v>
      </c>
      <c r="B379" s="214" t="s">
        <v>4013</v>
      </c>
      <c r="C379" s="133" t="s">
        <v>237</v>
      </c>
      <c r="D379" s="133" t="s">
        <v>2110</v>
      </c>
      <c r="E379" s="133" t="s">
        <v>83</v>
      </c>
      <c r="F379" s="133" t="s">
        <v>109</v>
      </c>
      <c r="G379" s="133" t="s">
        <v>8991</v>
      </c>
      <c r="H379" s="133" t="s">
        <v>8747</v>
      </c>
    </row>
    <row r="380" spans="1:8">
      <c r="A380" s="214" t="s">
        <v>4231</v>
      </c>
      <c r="B380" s="214" t="s">
        <v>4232</v>
      </c>
      <c r="C380" s="133" t="s">
        <v>10</v>
      </c>
      <c r="D380" s="133" t="s">
        <v>4216</v>
      </c>
      <c r="E380" s="133" t="s">
        <v>83</v>
      </c>
      <c r="F380" s="133" t="s">
        <v>109</v>
      </c>
      <c r="G380" s="133" t="s">
        <v>8776</v>
      </c>
      <c r="H380" s="133" t="s">
        <v>8747</v>
      </c>
    </row>
    <row r="381" spans="1:8">
      <c r="A381" s="214" t="s">
        <v>4873</v>
      </c>
      <c r="B381" s="214" t="s">
        <v>4874</v>
      </c>
      <c r="C381" s="133" t="s">
        <v>9</v>
      </c>
      <c r="D381" s="133" t="s">
        <v>4819</v>
      </c>
      <c r="E381" s="133" t="s">
        <v>83</v>
      </c>
      <c r="F381" s="133" t="s">
        <v>109</v>
      </c>
      <c r="G381" s="133" t="s">
        <v>8861</v>
      </c>
      <c r="H381" s="133" t="s">
        <v>8747</v>
      </c>
    </row>
    <row r="382" spans="1:8">
      <c r="A382" s="214" t="s">
        <v>9262</v>
      </c>
      <c r="B382" s="214" t="s">
        <v>9263</v>
      </c>
      <c r="C382" s="133" t="s">
        <v>178</v>
      </c>
      <c r="D382" s="133" t="s">
        <v>9080</v>
      </c>
      <c r="E382" s="133" t="s">
        <v>83</v>
      </c>
      <c r="F382" s="133" t="s">
        <v>109</v>
      </c>
      <c r="G382" s="133" t="s">
        <v>9081</v>
      </c>
      <c r="H382" s="133" t="s">
        <v>8747</v>
      </c>
    </row>
    <row r="383" spans="1:8">
      <c r="A383" s="214" t="s">
        <v>9264</v>
      </c>
      <c r="B383" s="214" t="s">
        <v>9265</v>
      </c>
      <c r="C383" s="133" t="s">
        <v>9</v>
      </c>
      <c r="D383" s="133" t="s">
        <v>4636</v>
      </c>
      <c r="E383" s="133" t="s">
        <v>83</v>
      </c>
      <c r="F383" s="133" t="s">
        <v>109</v>
      </c>
      <c r="G383" s="133" t="s">
        <v>8776</v>
      </c>
      <c r="H383" s="133" t="s">
        <v>8747</v>
      </c>
    </row>
    <row r="384" spans="1:8">
      <c r="A384" s="214" t="s">
        <v>9266</v>
      </c>
      <c r="B384" s="214" t="s">
        <v>9267</v>
      </c>
      <c r="C384" s="133" t="s">
        <v>178</v>
      </c>
      <c r="D384" s="133" t="s">
        <v>8976</v>
      </c>
      <c r="E384" s="133" t="s">
        <v>83</v>
      </c>
      <c r="F384" s="133" t="s">
        <v>109</v>
      </c>
      <c r="G384" s="133" t="s">
        <v>8861</v>
      </c>
      <c r="H384" s="133" t="s">
        <v>8747</v>
      </c>
    </row>
    <row r="385" spans="1:8">
      <c r="A385" s="214" t="s">
        <v>315</v>
      </c>
      <c r="B385" s="214" t="s">
        <v>316</v>
      </c>
      <c r="C385" s="133" t="s">
        <v>8</v>
      </c>
      <c r="D385" s="133" t="s">
        <v>248</v>
      </c>
      <c r="E385" s="133" t="s">
        <v>83</v>
      </c>
      <c r="F385" s="133" t="s">
        <v>109</v>
      </c>
      <c r="G385" s="133" t="s">
        <v>8861</v>
      </c>
      <c r="H385" s="133" t="s">
        <v>8747</v>
      </c>
    </row>
    <row r="386" spans="1:8">
      <c r="A386" s="214" t="s">
        <v>4521</v>
      </c>
      <c r="B386" s="214" t="s">
        <v>1523</v>
      </c>
      <c r="C386" s="133" t="s">
        <v>9</v>
      </c>
      <c r="D386" s="133" t="s">
        <v>4497</v>
      </c>
      <c r="E386" s="133" t="s">
        <v>3539</v>
      </c>
      <c r="F386" s="133" t="s">
        <v>109</v>
      </c>
      <c r="G386" s="133" t="s">
        <v>8776</v>
      </c>
      <c r="H386" s="133" t="s">
        <v>8747</v>
      </c>
    </row>
    <row r="387" spans="1:8">
      <c r="A387" s="214" t="s">
        <v>378</v>
      </c>
      <c r="B387" s="214" t="s">
        <v>379</v>
      </c>
      <c r="C387" s="133" t="s">
        <v>8</v>
      </c>
      <c r="D387" s="133" t="s">
        <v>339</v>
      </c>
      <c r="E387" s="133" t="s">
        <v>83</v>
      </c>
      <c r="F387" s="133" t="s">
        <v>109</v>
      </c>
      <c r="G387" s="133" t="s">
        <v>8987</v>
      </c>
      <c r="H387" s="133" t="s">
        <v>8747</v>
      </c>
    </row>
    <row r="388" spans="1:8">
      <c r="A388" s="214" t="s">
        <v>2085</v>
      </c>
      <c r="B388" s="214" t="s">
        <v>2086</v>
      </c>
      <c r="C388" s="133" t="s">
        <v>8</v>
      </c>
      <c r="D388" s="133" t="s">
        <v>2076</v>
      </c>
      <c r="E388" s="133" t="s">
        <v>63</v>
      </c>
      <c r="F388" s="133" t="s">
        <v>109</v>
      </c>
      <c r="G388" s="133" t="s">
        <v>8820</v>
      </c>
      <c r="H388" s="133" t="s">
        <v>8747</v>
      </c>
    </row>
    <row r="389" spans="1:8">
      <c r="A389" s="214" t="s">
        <v>9268</v>
      </c>
      <c r="B389" s="214" t="s">
        <v>9269</v>
      </c>
      <c r="C389" s="133" t="s">
        <v>10</v>
      </c>
      <c r="D389" s="133" t="s">
        <v>3855</v>
      </c>
      <c r="E389" s="133" t="s">
        <v>63</v>
      </c>
      <c r="F389" s="133" t="s">
        <v>109</v>
      </c>
      <c r="G389" s="133" t="s">
        <v>9032</v>
      </c>
      <c r="H389" s="133" t="s">
        <v>8747</v>
      </c>
    </row>
    <row r="390" spans="1:8">
      <c r="A390" s="214" t="s">
        <v>9270</v>
      </c>
      <c r="B390" s="214" t="s">
        <v>9271</v>
      </c>
      <c r="C390" s="133" t="s">
        <v>8</v>
      </c>
      <c r="D390" s="133" t="s">
        <v>8868</v>
      </c>
      <c r="E390" s="133" t="s">
        <v>63</v>
      </c>
      <c r="F390" s="133" t="s">
        <v>109</v>
      </c>
      <c r="G390" s="133" t="s">
        <v>8820</v>
      </c>
      <c r="H390" s="133" t="s">
        <v>8747</v>
      </c>
    </row>
    <row r="391" spans="1:8">
      <c r="A391" s="214" t="s">
        <v>4264</v>
      </c>
      <c r="B391" s="214" t="s">
        <v>4265</v>
      </c>
      <c r="C391" s="133" t="s">
        <v>10</v>
      </c>
      <c r="D391" s="133" t="s">
        <v>871</v>
      </c>
      <c r="E391" s="133" t="s">
        <v>83</v>
      </c>
      <c r="F391" s="133" t="s">
        <v>109</v>
      </c>
      <c r="G391" s="133" t="s">
        <v>8987</v>
      </c>
      <c r="H391" s="133" t="s">
        <v>8747</v>
      </c>
    </row>
    <row r="392" spans="1:8">
      <c r="A392" s="214" t="s">
        <v>1131</v>
      </c>
      <c r="B392" s="214" t="s">
        <v>1133</v>
      </c>
      <c r="C392" s="133" t="s">
        <v>8</v>
      </c>
      <c r="D392" s="133" t="s">
        <v>1132</v>
      </c>
      <c r="E392" s="133" t="s">
        <v>63</v>
      </c>
      <c r="F392" s="133" t="s">
        <v>109</v>
      </c>
      <c r="G392" s="133" t="s">
        <v>8820</v>
      </c>
      <c r="H392" s="133" t="s">
        <v>8747</v>
      </c>
    </row>
    <row r="393" spans="1:8">
      <c r="A393" s="214" t="s">
        <v>1397</v>
      </c>
      <c r="B393" s="214" t="s">
        <v>1399</v>
      </c>
      <c r="C393" s="133" t="s">
        <v>8</v>
      </c>
      <c r="D393" s="133" t="s">
        <v>1398</v>
      </c>
      <c r="E393" s="133" t="s">
        <v>63</v>
      </c>
      <c r="F393" s="133" t="s">
        <v>109</v>
      </c>
      <c r="G393" s="133" t="s">
        <v>8820</v>
      </c>
      <c r="H393" s="133" t="s">
        <v>8747</v>
      </c>
    </row>
    <row r="394" spans="1:8">
      <c r="A394" s="214" t="s">
        <v>2537</v>
      </c>
      <c r="B394" s="214" t="s">
        <v>2538</v>
      </c>
      <c r="C394" s="133" t="s">
        <v>8</v>
      </c>
      <c r="D394" s="133" t="s">
        <v>1522</v>
      </c>
      <c r="E394" s="133" t="s">
        <v>63</v>
      </c>
      <c r="F394" s="133" t="s">
        <v>109</v>
      </c>
      <c r="G394" s="133" t="s">
        <v>8820</v>
      </c>
      <c r="H394" s="133" t="s">
        <v>8747</v>
      </c>
    </row>
    <row r="395" spans="1:8">
      <c r="A395" s="214" t="s">
        <v>9272</v>
      </c>
      <c r="B395" s="214" t="s">
        <v>156</v>
      </c>
      <c r="C395" s="133" t="s">
        <v>8132</v>
      </c>
      <c r="D395" s="133" t="s">
        <v>85</v>
      </c>
      <c r="E395" s="133" t="s">
        <v>83</v>
      </c>
      <c r="F395" s="133" t="s">
        <v>109</v>
      </c>
      <c r="G395" s="133" t="s">
        <v>8755</v>
      </c>
      <c r="H395" s="133" t="s">
        <v>8747</v>
      </c>
    </row>
    <row r="396" spans="1:8">
      <c r="A396" s="214" t="s">
        <v>9273</v>
      </c>
      <c r="B396" s="214" t="s">
        <v>9274</v>
      </c>
      <c r="C396" s="133" t="s">
        <v>10</v>
      </c>
      <c r="D396" s="133" t="s">
        <v>7955</v>
      </c>
      <c r="E396" s="133" t="s">
        <v>63</v>
      </c>
      <c r="F396" s="133" t="s">
        <v>109</v>
      </c>
      <c r="G396" s="133" t="s">
        <v>8820</v>
      </c>
      <c r="H396" s="133" t="s">
        <v>8747</v>
      </c>
    </row>
    <row r="397" spans="1:8">
      <c r="A397" s="214" t="s">
        <v>4093</v>
      </c>
      <c r="B397" s="214" t="s">
        <v>4094</v>
      </c>
      <c r="C397" s="133" t="s">
        <v>10</v>
      </c>
      <c r="D397" s="133" t="s">
        <v>4064</v>
      </c>
      <c r="E397" s="133" t="s">
        <v>83</v>
      </c>
      <c r="F397" s="133" t="s">
        <v>109</v>
      </c>
      <c r="G397" s="133" t="s">
        <v>8776</v>
      </c>
      <c r="H397" s="133" t="s">
        <v>8747</v>
      </c>
    </row>
    <row r="398" spans="1:8">
      <c r="A398" s="214" t="s">
        <v>4071</v>
      </c>
      <c r="B398" s="214" t="s">
        <v>4072</v>
      </c>
      <c r="C398" s="133" t="s">
        <v>10</v>
      </c>
      <c r="D398" s="133" t="s">
        <v>4064</v>
      </c>
      <c r="E398" s="133" t="s">
        <v>83</v>
      </c>
      <c r="F398" s="133" t="s">
        <v>109</v>
      </c>
      <c r="G398" s="133" t="s">
        <v>8776</v>
      </c>
      <c r="H398" s="133" t="s">
        <v>8747</v>
      </c>
    </row>
    <row r="399" spans="1:8">
      <c r="A399" s="214" t="s">
        <v>5103</v>
      </c>
      <c r="B399" s="214" t="s">
        <v>5104</v>
      </c>
      <c r="C399" s="133" t="s">
        <v>399</v>
      </c>
      <c r="D399" s="133" t="s">
        <v>2208</v>
      </c>
      <c r="E399" s="133" t="s">
        <v>83</v>
      </c>
      <c r="F399" s="133" t="s">
        <v>109</v>
      </c>
      <c r="G399" s="133" t="s">
        <v>8755</v>
      </c>
      <c r="H399" s="133" t="s">
        <v>8747</v>
      </c>
    </row>
    <row r="400" spans="1:8">
      <c r="A400" s="214" t="s">
        <v>4300</v>
      </c>
      <c r="B400" s="214" t="s">
        <v>4302</v>
      </c>
      <c r="C400" s="133" t="s">
        <v>10</v>
      </c>
      <c r="D400" s="133" t="s">
        <v>871</v>
      </c>
      <c r="E400" s="133" t="s">
        <v>83</v>
      </c>
      <c r="F400" s="133" t="s">
        <v>109</v>
      </c>
      <c r="G400" s="133" t="s">
        <v>8987</v>
      </c>
      <c r="H400" s="133" t="s">
        <v>8747</v>
      </c>
    </row>
    <row r="401" spans="1:8">
      <c r="A401" s="214" t="s">
        <v>9275</v>
      </c>
      <c r="B401" s="214" t="s">
        <v>9276</v>
      </c>
      <c r="C401" s="133" t="s">
        <v>10</v>
      </c>
      <c r="D401" s="133" t="s">
        <v>4301</v>
      </c>
      <c r="E401" s="133" t="s">
        <v>83</v>
      </c>
      <c r="F401" s="133" t="s">
        <v>109</v>
      </c>
      <c r="G401" s="133" t="s">
        <v>8776</v>
      </c>
      <c r="H401" s="133" t="s">
        <v>8747</v>
      </c>
    </row>
    <row r="402" spans="1:8">
      <c r="A402" s="214" t="s">
        <v>5322</v>
      </c>
      <c r="B402" s="214" t="s">
        <v>5323</v>
      </c>
      <c r="C402" s="133" t="s">
        <v>10</v>
      </c>
      <c r="D402" s="133" t="s">
        <v>4163</v>
      </c>
      <c r="E402" s="133" t="s">
        <v>83</v>
      </c>
      <c r="F402" s="133" t="s">
        <v>109</v>
      </c>
      <c r="G402" s="133" t="s">
        <v>8861</v>
      </c>
      <c r="H402" s="133" t="s">
        <v>8747</v>
      </c>
    </row>
    <row r="403" spans="1:8">
      <c r="A403" s="214" t="s">
        <v>4363</v>
      </c>
      <c r="B403" s="214" t="s">
        <v>4364</v>
      </c>
      <c r="C403" s="133" t="s">
        <v>10</v>
      </c>
      <c r="D403" s="133" t="s">
        <v>4336</v>
      </c>
      <c r="E403" s="133" t="s">
        <v>83</v>
      </c>
      <c r="F403" s="133" t="s">
        <v>109</v>
      </c>
      <c r="G403" s="133" t="s">
        <v>8776</v>
      </c>
      <c r="H403" s="133" t="s">
        <v>8747</v>
      </c>
    </row>
    <row r="404" spans="1:8">
      <c r="A404" s="214" t="s">
        <v>2447</v>
      </c>
      <c r="B404" s="214" t="s">
        <v>2448</v>
      </c>
      <c r="C404" s="133" t="s">
        <v>8</v>
      </c>
      <c r="D404" s="133" t="s">
        <v>1562</v>
      </c>
      <c r="E404" s="133" t="s">
        <v>63</v>
      </c>
      <c r="F404" s="133" t="s">
        <v>109</v>
      </c>
      <c r="G404" s="133" t="s">
        <v>8820</v>
      </c>
      <c r="H404" s="133" t="s">
        <v>8747</v>
      </c>
    </row>
    <row r="405" spans="1:8">
      <c r="A405" s="214" t="s">
        <v>2613</v>
      </c>
      <c r="B405" s="214" t="s">
        <v>2614</v>
      </c>
      <c r="C405" s="133" t="s">
        <v>8</v>
      </c>
      <c r="D405" s="133" t="s">
        <v>995</v>
      </c>
      <c r="E405" s="133" t="s">
        <v>63</v>
      </c>
      <c r="F405" s="133" t="s">
        <v>109</v>
      </c>
      <c r="G405" s="133" t="s">
        <v>8784</v>
      </c>
      <c r="H405" s="133" t="s">
        <v>8747</v>
      </c>
    </row>
    <row r="406" spans="1:8">
      <c r="A406" s="214" t="s">
        <v>9277</v>
      </c>
      <c r="B406" s="214" t="s">
        <v>9278</v>
      </c>
      <c r="C406" s="133" t="s">
        <v>178</v>
      </c>
      <c r="D406" s="133" t="s">
        <v>8976</v>
      </c>
      <c r="E406" s="133" t="s">
        <v>83</v>
      </c>
      <c r="F406" s="133" t="s">
        <v>109</v>
      </c>
      <c r="G406" s="133" t="s">
        <v>8861</v>
      </c>
      <c r="H406" s="133" t="s">
        <v>8747</v>
      </c>
    </row>
    <row r="407" spans="1:8">
      <c r="A407" s="214" t="s">
        <v>9279</v>
      </c>
      <c r="B407" s="214" t="s">
        <v>9280</v>
      </c>
      <c r="C407" s="133" t="s">
        <v>8</v>
      </c>
      <c r="D407" s="133" t="s">
        <v>809</v>
      </c>
      <c r="E407" s="133" t="s">
        <v>63</v>
      </c>
      <c r="F407" s="133" t="s">
        <v>109</v>
      </c>
      <c r="G407" s="133" t="s">
        <v>8986</v>
      </c>
      <c r="H407" s="133" t="s">
        <v>8747</v>
      </c>
    </row>
    <row r="408" spans="1:8">
      <c r="A408" s="214" t="s">
        <v>9281</v>
      </c>
      <c r="B408" s="214" t="s">
        <v>9282</v>
      </c>
      <c r="C408" s="133" t="s">
        <v>8</v>
      </c>
      <c r="D408" s="133" t="s">
        <v>1419</v>
      </c>
      <c r="E408" s="133" t="s">
        <v>63</v>
      </c>
      <c r="F408" s="133" t="s">
        <v>109</v>
      </c>
      <c r="G408" s="133" t="s">
        <v>9032</v>
      </c>
      <c r="H408" s="133" t="s">
        <v>8747</v>
      </c>
    </row>
    <row r="409" spans="1:8">
      <c r="A409" s="214" t="s">
        <v>9283</v>
      </c>
      <c r="B409" s="214" t="s">
        <v>9284</v>
      </c>
      <c r="C409" s="133" t="s">
        <v>9</v>
      </c>
      <c r="D409" s="133" t="s">
        <v>4636</v>
      </c>
      <c r="E409" s="133" t="s">
        <v>83</v>
      </c>
      <c r="F409" s="133" t="s">
        <v>109</v>
      </c>
      <c r="G409" s="133" t="s">
        <v>8776</v>
      </c>
      <c r="H409" s="133" t="s">
        <v>8747</v>
      </c>
    </row>
    <row r="410" spans="1:8">
      <c r="A410" s="214" t="s">
        <v>968</v>
      </c>
      <c r="B410" s="214" t="s">
        <v>969</v>
      </c>
      <c r="C410" s="133" t="s">
        <v>8</v>
      </c>
      <c r="D410" s="133" t="s">
        <v>932</v>
      </c>
      <c r="E410" s="133" t="s">
        <v>83</v>
      </c>
      <c r="F410" s="133" t="s">
        <v>109</v>
      </c>
      <c r="G410" s="133" t="s">
        <v>8784</v>
      </c>
      <c r="H410" s="133" t="s">
        <v>8747</v>
      </c>
    </row>
    <row r="411" spans="1:8">
      <c r="A411" s="214" t="s">
        <v>9285</v>
      </c>
      <c r="B411" s="214" t="s">
        <v>9286</v>
      </c>
      <c r="C411" s="133" t="s">
        <v>10</v>
      </c>
      <c r="D411" s="133" t="s">
        <v>6283</v>
      </c>
      <c r="E411" s="133" t="s">
        <v>63</v>
      </c>
      <c r="F411" s="133" t="s">
        <v>109</v>
      </c>
      <c r="G411" s="133" t="s">
        <v>8820</v>
      </c>
      <c r="H411" s="133" t="s">
        <v>8747</v>
      </c>
    </row>
    <row r="412" spans="1:8">
      <c r="A412" s="214" t="s">
        <v>9287</v>
      </c>
      <c r="B412" s="214" t="s">
        <v>9288</v>
      </c>
      <c r="C412" s="133" t="s">
        <v>10</v>
      </c>
      <c r="D412" s="133" t="s">
        <v>6148</v>
      </c>
      <c r="E412" s="133" t="s">
        <v>63</v>
      </c>
      <c r="F412" s="133" t="s">
        <v>109</v>
      </c>
      <c r="G412" s="133" t="s">
        <v>9032</v>
      </c>
      <c r="H412" s="133" t="s">
        <v>8747</v>
      </c>
    </row>
    <row r="413" spans="1:8">
      <c r="A413" s="214" t="s">
        <v>9289</v>
      </c>
      <c r="B413" s="214" t="s">
        <v>9290</v>
      </c>
      <c r="C413" s="133" t="s">
        <v>10</v>
      </c>
      <c r="D413" s="133" t="s">
        <v>4336</v>
      </c>
      <c r="E413" s="133" t="s">
        <v>83</v>
      </c>
      <c r="F413" s="133" t="s">
        <v>109</v>
      </c>
      <c r="G413" s="133" t="s">
        <v>8776</v>
      </c>
      <c r="H413" s="133" t="s">
        <v>8747</v>
      </c>
    </row>
    <row r="414" spans="1:8">
      <c r="A414" s="214" t="s">
        <v>9291</v>
      </c>
      <c r="B414" s="214" t="s">
        <v>9292</v>
      </c>
      <c r="C414" s="133" t="s">
        <v>10</v>
      </c>
      <c r="D414" s="133" t="s">
        <v>5335</v>
      </c>
      <c r="E414" s="133" t="s">
        <v>63</v>
      </c>
      <c r="F414" s="133" t="s">
        <v>109</v>
      </c>
      <c r="G414" s="133" t="s">
        <v>9032</v>
      </c>
      <c r="H414" s="133" t="s">
        <v>8747</v>
      </c>
    </row>
    <row r="415" spans="1:8">
      <c r="A415" s="214" t="s">
        <v>9293</v>
      </c>
      <c r="B415" s="214" t="s">
        <v>9294</v>
      </c>
      <c r="C415" s="133" t="s">
        <v>10</v>
      </c>
      <c r="D415" s="133" t="s">
        <v>1826</v>
      </c>
      <c r="E415" s="133" t="s">
        <v>63</v>
      </c>
      <c r="F415" s="133" t="s">
        <v>109</v>
      </c>
      <c r="G415" s="133" t="s">
        <v>8820</v>
      </c>
      <c r="H415" s="133" t="s">
        <v>8747</v>
      </c>
    </row>
    <row r="416" spans="1:8">
      <c r="A416" s="214" t="s">
        <v>9295</v>
      </c>
      <c r="B416" s="214" t="s">
        <v>9296</v>
      </c>
      <c r="C416" s="133" t="s">
        <v>178</v>
      </c>
      <c r="D416" s="133" t="s">
        <v>9170</v>
      </c>
      <c r="E416" s="133" t="s">
        <v>178</v>
      </c>
      <c r="F416" s="133" t="s">
        <v>109</v>
      </c>
      <c r="G416" s="133" t="s">
        <v>8765</v>
      </c>
      <c r="H416" s="133" t="s">
        <v>8747</v>
      </c>
    </row>
    <row r="417" spans="1:8">
      <c r="A417" s="214" t="s">
        <v>5443</v>
      </c>
      <c r="B417" s="214" t="s">
        <v>5444</v>
      </c>
      <c r="C417" s="133" t="s">
        <v>794</v>
      </c>
      <c r="D417" s="133" t="s">
        <v>796</v>
      </c>
      <c r="E417" s="133" t="s">
        <v>83</v>
      </c>
      <c r="F417" s="133" t="s">
        <v>109</v>
      </c>
      <c r="G417" s="133" t="s">
        <v>8826</v>
      </c>
      <c r="H417" s="133" t="s">
        <v>8747</v>
      </c>
    </row>
    <row r="418" spans="1:8">
      <c r="A418" s="214" t="s">
        <v>9297</v>
      </c>
      <c r="B418" s="214" t="s">
        <v>9298</v>
      </c>
      <c r="C418" s="133" t="s">
        <v>8</v>
      </c>
      <c r="D418" s="133" t="s">
        <v>2380</v>
      </c>
      <c r="E418" s="133" t="s">
        <v>63</v>
      </c>
      <c r="F418" s="133" t="s">
        <v>109</v>
      </c>
      <c r="G418" s="133" t="s">
        <v>9028</v>
      </c>
      <c r="H418" s="133" t="s">
        <v>8747</v>
      </c>
    </row>
    <row r="419" spans="1:8">
      <c r="A419" s="214" t="s">
        <v>3589</v>
      </c>
      <c r="B419" s="214" t="s">
        <v>3590</v>
      </c>
      <c r="C419" s="133" t="s">
        <v>8</v>
      </c>
      <c r="D419" s="133" t="s">
        <v>995</v>
      </c>
      <c r="E419" s="133" t="s">
        <v>63</v>
      </c>
      <c r="F419" s="133" t="s">
        <v>109</v>
      </c>
      <c r="G419" s="133" t="s">
        <v>9028</v>
      </c>
      <c r="H419" s="133" t="s">
        <v>8747</v>
      </c>
    </row>
    <row r="420" spans="1:8">
      <c r="A420" s="214" t="s">
        <v>5872</v>
      </c>
      <c r="B420" s="214" t="s">
        <v>4386</v>
      </c>
      <c r="C420" s="133" t="s">
        <v>8132</v>
      </c>
      <c r="D420" s="133" t="s">
        <v>85</v>
      </c>
      <c r="E420" s="133" t="s">
        <v>83</v>
      </c>
      <c r="F420" s="133" t="s">
        <v>109</v>
      </c>
      <c r="G420" s="133" t="s">
        <v>8755</v>
      </c>
      <c r="H420" s="133" t="s">
        <v>8747</v>
      </c>
    </row>
    <row r="421" spans="1:8">
      <c r="A421" s="214" t="s">
        <v>824</v>
      </c>
      <c r="B421" s="214" t="s">
        <v>825</v>
      </c>
      <c r="C421" s="133" t="s">
        <v>8</v>
      </c>
      <c r="D421" s="133" t="s">
        <v>781</v>
      </c>
      <c r="E421" s="133" t="s">
        <v>83</v>
      </c>
      <c r="F421" s="133" t="s">
        <v>109</v>
      </c>
      <c r="G421" s="133" t="s">
        <v>8826</v>
      </c>
      <c r="H421" s="133" t="s">
        <v>8747</v>
      </c>
    </row>
    <row r="422" spans="1:8">
      <c r="A422" s="214" t="s">
        <v>5473</v>
      </c>
      <c r="B422" s="214" t="s">
        <v>5474</v>
      </c>
      <c r="C422" s="133" t="s">
        <v>794</v>
      </c>
      <c r="D422" s="133" t="s">
        <v>796</v>
      </c>
      <c r="E422" s="133" t="s">
        <v>83</v>
      </c>
      <c r="F422" s="133" t="s">
        <v>109</v>
      </c>
      <c r="G422" s="133" t="s">
        <v>8826</v>
      </c>
      <c r="H422" s="133" t="s">
        <v>8747</v>
      </c>
    </row>
    <row r="423" spans="1:8">
      <c r="A423" s="214" t="s">
        <v>9299</v>
      </c>
      <c r="B423" s="214" t="s">
        <v>8807</v>
      </c>
      <c r="C423" s="133" t="s">
        <v>178</v>
      </c>
      <c r="D423" s="133" t="s">
        <v>8979</v>
      </c>
      <c r="E423" s="133" t="s">
        <v>178</v>
      </c>
      <c r="F423" s="133" t="s">
        <v>109</v>
      </c>
      <c r="G423" s="133" t="s">
        <v>8820</v>
      </c>
      <c r="H423" s="133" t="s">
        <v>8747</v>
      </c>
    </row>
    <row r="424" spans="1:8">
      <c r="A424" s="214" t="s">
        <v>9300</v>
      </c>
      <c r="B424" s="214" t="s">
        <v>9301</v>
      </c>
      <c r="C424" s="133" t="s">
        <v>10</v>
      </c>
      <c r="D424" s="133" t="s">
        <v>9061</v>
      </c>
      <c r="E424" s="133" t="s">
        <v>63</v>
      </c>
      <c r="F424" s="133" t="s">
        <v>109</v>
      </c>
      <c r="G424" s="133" t="s">
        <v>9032</v>
      </c>
      <c r="H424" s="133" t="s">
        <v>8747</v>
      </c>
    </row>
    <row r="425" spans="1:8">
      <c r="A425" s="214" t="s">
        <v>6651</v>
      </c>
      <c r="B425" s="214" t="s">
        <v>6652</v>
      </c>
      <c r="C425" s="133" t="s">
        <v>10</v>
      </c>
      <c r="D425" s="133" t="s">
        <v>3103</v>
      </c>
      <c r="E425" s="133" t="s">
        <v>63</v>
      </c>
      <c r="F425" s="133" t="s">
        <v>109</v>
      </c>
      <c r="G425" s="133" t="s">
        <v>8826</v>
      </c>
      <c r="H425" s="133" t="s">
        <v>8747</v>
      </c>
    </row>
    <row r="426" spans="1:8">
      <c r="A426" s="214" t="s">
        <v>1125</v>
      </c>
      <c r="B426" s="214" t="s">
        <v>1126</v>
      </c>
      <c r="C426" s="133" t="s">
        <v>8</v>
      </c>
      <c r="D426" s="133" t="s">
        <v>809</v>
      </c>
      <c r="E426" s="133" t="s">
        <v>63</v>
      </c>
      <c r="F426" s="133" t="s">
        <v>109</v>
      </c>
      <c r="G426" s="133" t="s">
        <v>8986</v>
      </c>
      <c r="H426" s="133" t="s">
        <v>8747</v>
      </c>
    </row>
    <row r="427" spans="1:8">
      <c r="A427" s="214" t="s">
        <v>9302</v>
      </c>
      <c r="B427" s="214" t="s">
        <v>9303</v>
      </c>
      <c r="C427" s="133" t="s">
        <v>10</v>
      </c>
      <c r="D427" s="133" t="s">
        <v>6381</v>
      </c>
      <c r="E427" s="133" t="s">
        <v>63</v>
      </c>
      <c r="F427" s="133" t="s">
        <v>109</v>
      </c>
      <c r="G427" s="133" t="s">
        <v>8820</v>
      </c>
      <c r="H427" s="133" t="s">
        <v>8747</v>
      </c>
    </row>
    <row r="428" spans="1:8">
      <c r="A428" s="214" t="s">
        <v>1430</v>
      </c>
      <c r="B428" s="214" t="s">
        <v>1431</v>
      </c>
      <c r="C428" s="133" t="s">
        <v>8</v>
      </c>
      <c r="D428" s="133" t="s">
        <v>1047</v>
      </c>
      <c r="E428" s="133" t="s">
        <v>63</v>
      </c>
      <c r="F428" s="133" t="s">
        <v>109</v>
      </c>
      <c r="G428" s="133" t="s">
        <v>8820</v>
      </c>
      <c r="H428" s="133" t="s">
        <v>8747</v>
      </c>
    </row>
    <row r="429" spans="1:8">
      <c r="A429" s="214" t="s">
        <v>5700</v>
      </c>
      <c r="B429" s="214" t="s">
        <v>1174</v>
      </c>
      <c r="C429" s="133" t="s">
        <v>399</v>
      </c>
      <c r="D429" s="133" t="s">
        <v>5690</v>
      </c>
      <c r="E429" s="133" t="s">
        <v>83</v>
      </c>
      <c r="F429" s="133" t="s">
        <v>109</v>
      </c>
      <c r="G429" s="133" t="s">
        <v>8808</v>
      </c>
      <c r="H429" s="133" t="s">
        <v>8747</v>
      </c>
    </row>
    <row r="430" spans="1:8">
      <c r="A430" s="214" t="s">
        <v>9304</v>
      </c>
      <c r="B430" s="214" t="s">
        <v>1317</v>
      </c>
      <c r="C430" s="133" t="s">
        <v>178</v>
      </c>
      <c r="D430" s="133" t="s">
        <v>9092</v>
      </c>
      <c r="E430" s="133" t="s">
        <v>83</v>
      </c>
      <c r="F430" s="133" t="s">
        <v>109</v>
      </c>
      <c r="G430" s="133" t="s">
        <v>8776</v>
      </c>
      <c r="H430" s="133" t="s">
        <v>8747</v>
      </c>
    </row>
    <row r="431" spans="1:8">
      <c r="A431" s="214" t="s">
        <v>5148</v>
      </c>
      <c r="B431" s="214" t="s">
        <v>5150</v>
      </c>
      <c r="C431" s="133" t="s">
        <v>9</v>
      </c>
      <c r="D431" s="133" t="s">
        <v>5149</v>
      </c>
      <c r="E431" s="133" t="s">
        <v>4392</v>
      </c>
      <c r="F431" s="133" t="s">
        <v>109</v>
      </c>
      <c r="G431" s="133" t="s">
        <v>8829</v>
      </c>
      <c r="H431" s="133" t="s">
        <v>8747</v>
      </c>
    </row>
    <row r="432" spans="1:8">
      <c r="A432" s="214" t="s">
        <v>9305</v>
      </c>
      <c r="B432" s="214" t="s">
        <v>2826</v>
      </c>
      <c r="C432" s="133" t="s">
        <v>10</v>
      </c>
      <c r="D432" s="133" t="s">
        <v>8909</v>
      </c>
      <c r="E432" s="133" t="s">
        <v>63</v>
      </c>
      <c r="F432" s="133" t="s">
        <v>109</v>
      </c>
      <c r="G432" s="133" t="s">
        <v>9032</v>
      </c>
      <c r="H432" s="133" t="s">
        <v>8747</v>
      </c>
    </row>
    <row r="433" spans="1:8">
      <c r="A433" s="214" t="s">
        <v>2349</v>
      </c>
      <c r="B433" s="214" t="s">
        <v>1785</v>
      </c>
      <c r="C433" s="133" t="s">
        <v>8</v>
      </c>
      <c r="D433" s="133" t="s">
        <v>1041</v>
      </c>
      <c r="E433" s="133" t="s">
        <v>63</v>
      </c>
      <c r="F433" s="133" t="s">
        <v>109</v>
      </c>
      <c r="G433" s="133" t="s">
        <v>9032</v>
      </c>
      <c r="H433" s="133" t="s">
        <v>8747</v>
      </c>
    </row>
    <row r="434" spans="1:8">
      <c r="A434" s="214" t="s">
        <v>9306</v>
      </c>
      <c r="B434" s="214" t="s">
        <v>9307</v>
      </c>
      <c r="C434" s="133" t="s">
        <v>8</v>
      </c>
      <c r="D434" s="133" t="s">
        <v>440</v>
      </c>
      <c r="E434" s="133" t="s">
        <v>63</v>
      </c>
      <c r="F434" s="133" t="s">
        <v>109</v>
      </c>
      <c r="G434" s="133" t="s">
        <v>8820</v>
      </c>
      <c r="H434" s="133" t="s">
        <v>8747</v>
      </c>
    </row>
    <row r="435" spans="1:8">
      <c r="A435" s="214" t="s">
        <v>9308</v>
      </c>
      <c r="B435" s="214" t="s">
        <v>9309</v>
      </c>
      <c r="C435" s="133" t="s">
        <v>10</v>
      </c>
      <c r="D435" s="133" t="s">
        <v>4301</v>
      </c>
      <c r="E435" s="133" t="s">
        <v>83</v>
      </c>
      <c r="F435" s="133" t="s">
        <v>109</v>
      </c>
      <c r="G435" s="133" t="s">
        <v>8776</v>
      </c>
      <c r="H435" s="133" t="s">
        <v>8747</v>
      </c>
    </row>
    <row r="436" spans="1:8">
      <c r="A436" s="214" t="s">
        <v>4724</v>
      </c>
      <c r="B436" s="214" t="s">
        <v>4725</v>
      </c>
      <c r="C436" s="133" t="s">
        <v>9</v>
      </c>
      <c r="D436" s="133" t="s">
        <v>4695</v>
      </c>
      <c r="E436" s="133" t="s">
        <v>83</v>
      </c>
      <c r="F436" s="133" t="s">
        <v>109</v>
      </c>
      <c r="G436" s="133" t="s">
        <v>8776</v>
      </c>
      <c r="H436" s="133" t="s">
        <v>8747</v>
      </c>
    </row>
    <row r="437" spans="1:8">
      <c r="A437" s="214" t="s">
        <v>6333</v>
      </c>
      <c r="B437" s="214" t="s">
        <v>6334</v>
      </c>
      <c r="C437" s="133" t="s">
        <v>10</v>
      </c>
      <c r="D437" s="133" t="s">
        <v>5293</v>
      </c>
      <c r="E437" s="133" t="s">
        <v>63</v>
      </c>
      <c r="F437" s="133" t="s">
        <v>109</v>
      </c>
      <c r="G437" s="133" t="s">
        <v>9032</v>
      </c>
      <c r="H437" s="133" t="s">
        <v>8747</v>
      </c>
    </row>
    <row r="438" spans="1:8">
      <c r="A438" s="214" t="s">
        <v>7280</v>
      </c>
      <c r="B438" s="214" t="s">
        <v>7281</v>
      </c>
      <c r="C438" s="133" t="s">
        <v>10</v>
      </c>
      <c r="D438" s="133" t="s">
        <v>3676</v>
      </c>
      <c r="E438" s="133" t="s">
        <v>63</v>
      </c>
      <c r="F438" s="133" t="s">
        <v>109</v>
      </c>
      <c r="G438" s="133" t="s">
        <v>9032</v>
      </c>
      <c r="H438" s="133" t="s">
        <v>8747</v>
      </c>
    </row>
    <row r="439" spans="1:8">
      <c r="A439" s="214" t="s">
        <v>9310</v>
      </c>
      <c r="B439" s="214" t="s">
        <v>9311</v>
      </c>
      <c r="C439" s="133" t="s">
        <v>9</v>
      </c>
      <c r="D439" s="133" t="s">
        <v>4789</v>
      </c>
      <c r="E439" s="133" t="s">
        <v>83</v>
      </c>
      <c r="F439" s="133" t="s">
        <v>109</v>
      </c>
      <c r="G439" s="133" t="s">
        <v>8776</v>
      </c>
      <c r="H439" s="133" t="s">
        <v>8747</v>
      </c>
    </row>
    <row r="440" spans="1:8">
      <c r="A440" s="214" t="s">
        <v>2966</v>
      </c>
      <c r="B440" s="214" t="s">
        <v>2967</v>
      </c>
      <c r="C440" s="133" t="s">
        <v>8</v>
      </c>
      <c r="D440" s="133" t="s">
        <v>9006</v>
      </c>
      <c r="E440" s="133" t="s">
        <v>63</v>
      </c>
      <c r="F440" s="133" t="s">
        <v>109</v>
      </c>
      <c r="G440" s="133" t="s">
        <v>8820</v>
      </c>
      <c r="H440" s="133" t="s">
        <v>8747</v>
      </c>
    </row>
    <row r="441" spans="1:8">
      <c r="A441" s="214" t="s">
        <v>2036</v>
      </c>
      <c r="B441" s="214" t="s">
        <v>2037</v>
      </c>
      <c r="C441" s="133" t="s">
        <v>8</v>
      </c>
      <c r="D441" s="133" t="s">
        <v>910</v>
      </c>
      <c r="E441" s="133" t="s">
        <v>83</v>
      </c>
      <c r="F441" s="133" t="s">
        <v>109</v>
      </c>
      <c r="G441" s="133" t="s">
        <v>8983</v>
      </c>
      <c r="H441" s="133" t="s">
        <v>8747</v>
      </c>
    </row>
    <row r="442" spans="1:8">
      <c r="A442" s="214" t="s">
        <v>420</v>
      </c>
      <c r="B442" s="214" t="s">
        <v>421</v>
      </c>
      <c r="C442" s="133" t="s">
        <v>8</v>
      </c>
      <c r="D442" s="133" t="s">
        <v>339</v>
      </c>
      <c r="E442" s="133" t="s">
        <v>83</v>
      </c>
      <c r="F442" s="133" t="s">
        <v>109</v>
      </c>
      <c r="G442" s="133" t="s">
        <v>8987</v>
      </c>
      <c r="H442" s="133" t="s">
        <v>8747</v>
      </c>
    </row>
    <row r="443" spans="1:8">
      <c r="A443" s="214" t="s">
        <v>5253</v>
      </c>
      <c r="B443" s="214" t="s">
        <v>5254</v>
      </c>
      <c r="C443" s="133" t="s">
        <v>9</v>
      </c>
      <c r="D443" s="133" t="s">
        <v>5149</v>
      </c>
      <c r="E443" s="133" t="s">
        <v>4392</v>
      </c>
      <c r="F443" s="133" t="s">
        <v>109</v>
      </c>
      <c r="G443" s="133" t="s">
        <v>8829</v>
      </c>
      <c r="H443" s="133" t="s">
        <v>8747</v>
      </c>
    </row>
    <row r="444" spans="1:8">
      <c r="A444" s="214" t="s">
        <v>1293</v>
      </c>
      <c r="B444" s="214" t="s">
        <v>1294</v>
      </c>
      <c r="C444" s="133" t="s">
        <v>9</v>
      </c>
      <c r="D444" s="133" t="s">
        <v>1286</v>
      </c>
      <c r="E444" s="133" t="s">
        <v>83</v>
      </c>
      <c r="F444" s="133" t="s">
        <v>109</v>
      </c>
      <c r="G444" s="133" t="s">
        <v>8983</v>
      </c>
      <c r="H444" s="133" t="s">
        <v>8747</v>
      </c>
    </row>
    <row r="445" spans="1:8">
      <c r="A445" s="214" t="s">
        <v>2829</v>
      </c>
      <c r="B445" s="214" t="s">
        <v>2830</v>
      </c>
      <c r="C445" s="133" t="s">
        <v>8</v>
      </c>
      <c r="D445" s="133" t="s">
        <v>639</v>
      </c>
      <c r="E445" s="133" t="s">
        <v>83</v>
      </c>
      <c r="F445" s="133" t="s">
        <v>109</v>
      </c>
      <c r="G445" s="133" t="s">
        <v>8820</v>
      </c>
      <c r="H445" s="133" t="s">
        <v>8747</v>
      </c>
    </row>
    <row r="446" spans="1:8">
      <c r="A446" s="214" t="s">
        <v>1498</v>
      </c>
      <c r="B446" s="214" t="s">
        <v>1499</v>
      </c>
      <c r="C446" s="133" t="s">
        <v>8</v>
      </c>
      <c r="D446" s="133" t="s">
        <v>1413</v>
      </c>
      <c r="E446" s="133" t="s">
        <v>63</v>
      </c>
      <c r="F446" s="133" t="s">
        <v>109</v>
      </c>
      <c r="G446" s="133" t="s">
        <v>8820</v>
      </c>
      <c r="H446" s="133" t="s">
        <v>8747</v>
      </c>
    </row>
    <row r="447" spans="1:8">
      <c r="A447" s="214" t="s">
        <v>4555</v>
      </c>
      <c r="B447" s="214" t="s">
        <v>4556</v>
      </c>
      <c r="C447" s="133" t="s">
        <v>9</v>
      </c>
      <c r="D447" s="133" t="s">
        <v>3541</v>
      </c>
      <c r="E447" s="133" t="s">
        <v>3539</v>
      </c>
      <c r="F447" s="133" t="s">
        <v>109</v>
      </c>
      <c r="G447" s="133" t="s">
        <v>8776</v>
      </c>
      <c r="H447" s="133" t="s">
        <v>8747</v>
      </c>
    </row>
    <row r="448" spans="1:8">
      <c r="A448" s="214" t="s">
        <v>4603</v>
      </c>
      <c r="B448" s="214" t="s">
        <v>4604</v>
      </c>
      <c r="C448" s="133" t="s">
        <v>9</v>
      </c>
      <c r="D448" s="133" t="s">
        <v>3541</v>
      </c>
      <c r="E448" s="133" t="s">
        <v>3539</v>
      </c>
      <c r="F448" s="133" t="s">
        <v>109</v>
      </c>
      <c r="G448" s="133" t="s">
        <v>8776</v>
      </c>
      <c r="H448" s="133" t="s">
        <v>8747</v>
      </c>
    </row>
    <row r="449" spans="1:8">
      <c r="A449" s="214" t="s">
        <v>9312</v>
      </c>
      <c r="B449" s="214" t="s">
        <v>9313</v>
      </c>
      <c r="C449" s="133" t="s">
        <v>10</v>
      </c>
      <c r="D449" s="133" t="s">
        <v>3855</v>
      </c>
      <c r="E449" s="133" t="s">
        <v>63</v>
      </c>
      <c r="F449" s="133" t="s">
        <v>109</v>
      </c>
      <c r="G449" s="133" t="s">
        <v>8820</v>
      </c>
      <c r="H449" s="133" t="s">
        <v>8747</v>
      </c>
    </row>
    <row r="450" spans="1:8">
      <c r="A450" s="214" t="s">
        <v>4215</v>
      </c>
      <c r="B450" s="214" t="s">
        <v>4217</v>
      </c>
      <c r="C450" s="133" t="s">
        <v>10</v>
      </c>
      <c r="D450" s="133" t="s">
        <v>4216</v>
      </c>
      <c r="E450" s="133" t="s">
        <v>83</v>
      </c>
      <c r="F450" s="133" t="s">
        <v>109</v>
      </c>
      <c r="G450" s="133" t="s">
        <v>8776</v>
      </c>
      <c r="H450" s="133" t="s">
        <v>8747</v>
      </c>
    </row>
    <row r="451" spans="1:8">
      <c r="A451" s="214" t="s">
        <v>5485</v>
      </c>
      <c r="B451" s="214" t="s">
        <v>5486</v>
      </c>
      <c r="C451" s="133" t="s">
        <v>794</v>
      </c>
      <c r="D451" s="133" t="s">
        <v>796</v>
      </c>
      <c r="E451" s="133" t="s">
        <v>83</v>
      </c>
      <c r="F451" s="133" t="s">
        <v>109</v>
      </c>
      <c r="G451" s="133" t="s">
        <v>8826</v>
      </c>
      <c r="H451" s="133" t="s">
        <v>8747</v>
      </c>
    </row>
    <row r="452" spans="1:8">
      <c r="A452" s="214" t="s">
        <v>3439</v>
      </c>
      <c r="B452" s="214" t="s">
        <v>3440</v>
      </c>
      <c r="C452" s="133" t="s">
        <v>8</v>
      </c>
      <c r="D452" s="133" t="s">
        <v>818</v>
      </c>
      <c r="E452" s="133" t="s">
        <v>63</v>
      </c>
      <c r="F452" s="133" t="s">
        <v>109</v>
      </c>
      <c r="G452" s="133" t="s">
        <v>8820</v>
      </c>
      <c r="H452" s="133" t="s">
        <v>8747</v>
      </c>
    </row>
    <row r="453" spans="1:8">
      <c r="A453" s="214" t="s">
        <v>9314</v>
      </c>
      <c r="B453" s="214" t="s">
        <v>9315</v>
      </c>
      <c r="C453" s="133" t="s">
        <v>399</v>
      </c>
      <c r="D453" s="133" t="s">
        <v>5690</v>
      </c>
      <c r="E453" s="133" t="s">
        <v>83</v>
      </c>
      <c r="F453" s="133" t="s">
        <v>109</v>
      </c>
      <c r="G453" s="133" t="s">
        <v>8808</v>
      </c>
      <c r="H453" s="133" t="s">
        <v>8747</v>
      </c>
    </row>
    <row r="454" spans="1:8">
      <c r="A454" s="214" t="s">
        <v>9316</v>
      </c>
      <c r="B454" s="214" t="s">
        <v>9317</v>
      </c>
      <c r="C454" s="133" t="s">
        <v>10</v>
      </c>
      <c r="D454" s="133" t="s">
        <v>6250</v>
      </c>
      <c r="E454" s="133" t="s">
        <v>63</v>
      </c>
      <c r="F454" s="133" t="s">
        <v>109</v>
      </c>
      <c r="G454" s="133" t="s">
        <v>8820</v>
      </c>
      <c r="H454" s="133" t="s">
        <v>8747</v>
      </c>
    </row>
    <row r="455" spans="1:8">
      <c r="A455" s="214" t="s">
        <v>4186</v>
      </c>
      <c r="B455" s="214" t="s">
        <v>4188</v>
      </c>
      <c r="C455" s="133" t="s">
        <v>10</v>
      </c>
      <c r="D455" s="133" t="s">
        <v>4187</v>
      </c>
      <c r="E455" s="133" t="s">
        <v>83</v>
      </c>
      <c r="F455" s="133" t="s">
        <v>109</v>
      </c>
      <c r="G455" s="133" t="s">
        <v>9084</v>
      </c>
      <c r="H455" s="133" t="s">
        <v>8747</v>
      </c>
    </row>
    <row r="456" spans="1:8">
      <c r="A456" s="214" t="s">
        <v>9318</v>
      </c>
      <c r="B456" s="214" t="s">
        <v>9319</v>
      </c>
      <c r="C456" s="133" t="s">
        <v>10</v>
      </c>
      <c r="D456" s="133" t="s">
        <v>5335</v>
      </c>
      <c r="E456" s="133" t="s">
        <v>63</v>
      </c>
      <c r="F456" s="133" t="s">
        <v>109</v>
      </c>
      <c r="G456" s="133" t="s">
        <v>9032</v>
      </c>
      <c r="H456" s="133" t="s">
        <v>8747</v>
      </c>
    </row>
    <row r="457" spans="1:8">
      <c r="A457" s="214" t="s">
        <v>8390</v>
      </c>
      <c r="B457" s="214" t="s">
        <v>9320</v>
      </c>
      <c r="C457" s="133" t="s">
        <v>8</v>
      </c>
      <c r="D457" s="133" t="s">
        <v>8884</v>
      </c>
      <c r="E457" s="133" t="s">
        <v>63</v>
      </c>
      <c r="F457" s="133" t="s">
        <v>109</v>
      </c>
      <c r="G457" s="133" t="s">
        <v>8826</v>
      </c>
      <c r="H457" s="133" t="s">
        <v>8747</v>
      </c>
    </row>
    <row r="458" spans="1:8">
      <c r="A458" s="214" t="s">
        <v>3289</v>
      </c>
      <c r="B458" s="214" t="s">
        <v>3290</v>
      </c>
      <c r="C458" s="133" t="s">
        <v>8</v>
      </c>
      <c r="D458" s="133" t="s">
        <v>1132</v>
      </c>
      <c r="E458" s="133" t="s">
        <v>63</v>
      </c>
      <c r="F458" s="133" t="s">
        <v>109</v>
      </c>
      <c r="G458" s="133" t="s">
        <v>9032</v>
      </c>
      <c r="H458" s="133" t="s">
        <v>8747</v>
      </c>
    </row>
    <row r="459" spans="1:8">
      <c r="A459" s="214" t="s">
        <v>9321</v>
      </c>
      <c r="B459" s="214" t="s">
        <v>9322</v>
      </c>
      <c r="C459" s="133" t="s">
        <v>8</v>
      </c>
      <c r="D459" s="133" t="s">
        <v>1368</v>
      </c>
      <c r="E459" s="133" t="s">
        <v>63</v>
      </c>
      <c r="F459" s="133" t="s">
        <v>109</v>
      </c>
      <c r="G459" s="133" t="s">
        <v>8820</v>
      </c>
      <c r="H459" s="133" t="s">
        <v>8747</v>
      </c>
    </row>
    <row r="460" spans="1:8">
      <c r="A460" s="214" t="s">
        <v>2656</v>
      </c>
      <c r="B460" s="214" t="s">
        <v>2657</v>
      </c>
      <c r="C460" s="133" t="s">
        <v>8</v>
      </c>
      <c r="D460" s="133" t="s">
        <v>1419</v>
      </c>
      <c r="E460" s="133" t="s">
        <v>63</v>
      </c>
      <c r="F460" s="133" t="s">
        <v>109</v>
      </c>
      <c r="G460" s="133" t="s">
        <v>8820</v>
      </c>
      <c r="H460" s="133" t="s">
        <v>8747</v>
      </c>
    </row>
    <row r="461" spans="1:8">
      <c r="A461" s="214" t="s">
        <v>9323</v>
      </c>
      <c r="B461" s="214" t="s">
        <v>9324</v>
      </c>
      <c r="C461" s="133" t="s">
        <v>10</v>
      </c>
      <c r="D461" s="133" t="s">
        <v>5335</v>
      </c>
      <c r="E461" s="133" t="s">
        <v>63</v>
      </c>
      <c r="F461" s="133" t="s">
        <v>109</v>
      </c>
      <c r="G461" s="133" t="s">
        <v>8826</v>
      </c>
      <c r="H461" s="133" t="s">
        <v>8747</v>
      </c>
    </row>
    <row r="462" spans="1:8">
      <c r="A462" s="214" t="s">
        <v>9325</v>
      </c>
      <c r="B462" s="214" t="s">
        <v>9326</v>
      </c>
      <c r="C462" s="133" t="s">
        <v>8</v>
      </c>
      <c r="D462" s="133" t="s">
        <v>2076</v>
      </c>
      <c r="E462" s="133" t="s">
        <v>63</v>
      </c>
      <c r="F462" s="133" t="s">
        <v>109</v>
      </c>
      <c r="G462" s="133" t="s">
        <v>8826</v>
      </c>
      <c r="H462" s="133" t="s">
        <v>8747</v>
      </c>
    </row>
    <row r="463" spans="1:8">
      <c r="A463" s="214" t="s">
        <v>350</v>
      </c>
      <c r="B463" s="214" t="s">
        <v>351</v>
      </c>
      <c r="C463" s="133" t="s">
        <v>8</v>
      </c>
      <c r="D463" s="133" t="s">
        <v>339</v>
      </c>
      <c r="E463" s="133" t="s">
        <v>83</v>
      </c>
      <c r="F463" s="133" t="s">
        <v>109</v>
      </c>
      <c r="G463" s="133" t="s">
        <v>8987</v>
      </c>
      <c r="H463" s="133" t="s">
        <v>8747</v>
      </c>
    </row>
    <row r="464" spans="1:8">
      <c r="A464" s="214" t="s">
        <v>9327</v>
      </c>
      <c r="B464" s="214" t="s">
        <v>9328</v>
      </c>
      <c r="C464" s="133" t="s">
        <v>10</v>
      </c>
      <c r="D464" s="133" t="s">
        <v>3198</v>
      </c>
      <c r="E464" s="133" t="s">
        <v>63</v>
      </c>
      <c r="F464" s="133" t="s">
        <v>109</v>
      </c>
      <c r="G464" s="133" t="s">
        <v>9032</v>
      </c>
      <c r="H464" s="133" t="s">
        <v>8747</v>
      </c>
    </row>
    <row r="465" spans="1:8">
      <c r="A465" s="214" t="s">
        <v>9329</v>
      </c>
      <c r="B465" s="214" t="s">
        <v>9330</v>
      </c>
      <c r="C465" s="133" t="s">
        <v>10</v>
      </c>
      <c r="D465" s="133" t="s">
        <v>7390</v>
      </c>
      <c r="E465" s="133" t="s">
        <v>63</v>
      </c>
      <c r="F465" s="133" t="s">
        <v>109</v>
      </c>
      <c r="G465" s="133" t="s">
        <v>8820</v>
      </c>
      <c r="H465" s="133" t="s">
        <v>8747</v>
      </c>
    </row>
    <row r="466" spans="1:8">
      <c r="A466" s="214" t="s">
        <v>5299</v>
      </c>
      <c r="B466" s="214" t="s">
        <v>5300</v>
      </c>
      <c r="C466" s="133" t="s">
        <v>10</v>
      </c>
      <c r="D466" s="133" t="s">
        <v>5293</v>
      </c>
      <c r="E466" s="133" t="s">
        <v>63</v>
      </c>
      <c r="F466" s="133" t="s">
        <v>109</v>
      </c>
      <c r="G466" s="133" t="s">
        <v>8820</v>
      </c>
      <c r="H466" s="133" t="s">
        <v>8747</v>
      </c>
    </row>
    <row r="467" spans="1:8">
      <c r="A467" s="214" t="s">
        <v>9331</v>
      </c>
      <c r="B467" s="214" t="s">
        <v>9332</v>
      </c>
      <c r="C467" s="133" t="s">
        <v>10</v>
      </c>
      <c r="D467" s="133" t="s">
        <v>5293</v>
      </c>
      <c r="E467" s="133" t="s">
        <v>63</v>
      </c>
      <c r="F467" s="133" t="s">
        <v>109</v>
      </c>
      <c r="G467" s="133" t="s">
        <v>8820</v>
      </c>
      <c r="H467" s="133" t="s">
        <v>8747</v>
      </c>
    </row>
    <row r="468" spans="1:8">
      <c r="A468" s="214" t="s">
        <v>9333</v>
      </c>
      <c r="B468" s="214" t="s">
        <v>9334</v>
      </c>
      <c r="C468" s="133" t="s">
        <v>8</v>
      </c>
      <c r="D468" s="133" t="s">
        <v>1368</v>
      </c>
      <c r="E468" s="133" t="s">
        <v>63</v>
      </c>
      <c r="F468" s="133" t="s">
        <v>109</v>
      </c>
      <c r="G468" s="133" t="s">
        <v>8826</v>
      </c>
      <c r="H468" s="133" t="s">
        <v>8747</v>
      </c>
    </row>
    <row r="469" spans="1:8">
      <c r="A469" s="214" t="s">
        <v>9335</v>
      </c>
      <c r="B469" s="214" t="s">
        <v>9336</v>
      </c>
      <c r="C469" s="133" t="s">
        <v>8</v>
      </c>
      <c r="D469" s="133" t="s">
        <v>440</v>
      </c>
      <c r="E469" s="133" t="s">
        <v>63</v>
      </c>
      <c r="F469" s="133" t="s">
        <v>109</v>
      </c>
      <c r="G469" s="133" t="s">
        <v>8826</v>
      </c>
      <c r="H469" s="133" t="s">
        <v>8747</v>
      </c>
    </row>
    <row r="470" spans="1:8">
      <c r="A470" s="214" t="s">
        <v>9337</v>
      </c>
      <c r="B470" s="214" t="s">
        <v>9338</v>
      </c>
      <c r="C470" s="133" t="s">
        <v>10</v>
      </c>
      <c r="D470" s="133" t="s">
        <v>5893</v>
      </c>
      <c r="E470" s="133" t="s">
        <v>63</v>
      </c>
      <c r="F470" s="133" t="s">
        <v>109</v>
      </c>
      <c r="G470" s="133" t="s">
        <v>8826</v>
      </c>
      <c r="H470" s="133" t="s">
        <v>8747</v>
      </c>
    </row>
    <row r="471" spans="1:8">
      <c r="A471" s="214" t="s">
        <v>795</v>
      </c>
      <c r="B471" s="214" t="s">
        <v>797</v>
      </c>
      <c r="C471" s="133" t="s">
        <v>794</v>
      </c>
      <c r="D471" s="133" t="s">
        <v>796</v>
      </c>
      <c r="E471" s="133" t="s">
        <v>83</v>
      </c>
      <c r="F471" s="133" t="s">
        <v>109</v>
      </c>
      <c r="G471" s="133" t="s">
        <v>8826</v>
      </c>
      <c r="H471" s="133" t="s">
        <v>8747</v>
      </c>
    </row>
    <row r="472" spans="1:8">
      <c r="A472" s="214" t="s">
        <v>1531</v>
      </c>
      <c r="B472" s="214" t="s">
        <v>1532</v>
      </c>
      <c r="C472" s="133" t="s">
        <v>8</v>
      </c>
      <c r="D472" s="133" t="s">
        <v>1522</v>
      </c>
      <c r="E472" s="133" t="s">
        <v>63</v>
      </c>
      <c r="F472" s="133" t="s">
        <v>109</v>
      </c>
      <c r="G472" s="133" t="s">
        <v>8820</v>
      </c>
      <c r="H472" s="133" t="s">
        <v>8747</v>
      </c>
    </row>
    <row r="473" spans="1:8">
      <c r="A473" s="214" t="s">
        <v>3600</v>
      </c>
      <c r="B473" s="214" t="s">
        <v>3601</v>
      </c>
      <c r="C473" s="133" t="s">
        <v>8</v>
      </c>
      <c r="D473" s="133" t="s">
        <v>818</v>
      </c>
      <c r="E473" s="133" t="s">
        <v>63</v>
      </c>
      <c r="F473" s="133" t="s">
        <v>109</v>
      </c>
      <c r="G473" s="133" t="s">
        <v>8820</v>
      </c>
      <c r="H473" s="133" t="s">
        <v>8747</v>
      </c>
    </row>
    <row r="474" spans="1:8">
      <c r="A474" s="214" t="s">
        <v>9339</v>
      </c>
      <c r="B474" s="214" t="s">
        <v>9340</v>
      </c>
      <c r="C474" s="133" t="s">
        <v>178</v>
      </c>
      <c r="D474" s="133" t="s">
        <v>9170</v>
      </c>
      <c r="E474" s="133" t="s">
        <v>178</v>
      </c>
      <c r="F474" s="133" t="s">
        <v>109</v>
      </c>
      <c r="G474" s="133" t="s">
        <v>8765</v>
      </c>
      <c r="H474" s="133" t="s">
        <v>8747</v>
      </c>
    </row>
    <row r="475" spans="1:8">
      <c r="A475" s="214" t="s">
        <v>9341</v>
      </c>
      <c r="B475" s="214" t="s">
        <v>2405</v>
      </c>
      <c r="C475" s="133" t="s">
        <v>10</v>
      </c>
      <c r="D475" s="133" t="s">
        <v>8021</v>
      </c>
      <c r="E475" s="133" t="s">
        <v>63</v>
      </c>
      <c r="F475" s="133" t="s">
        <v>109</v>
      </c>
      <c r="G475" s="133" t="s">
        <v>8820</v>
      </c>
      <c r="H475" s="133" t="s">
        <v>8747</v>
      </c>
    </row>
    <row r="476" spans="1:8">
      <c r="A476" s="214" t="s">
        <v>9342</v>
      </c>
      <c r="B476" s="214" t="s">
        <v>9343</v>
      </c>
      <c r="C476" s="133" t="s">
        <v>10</v>
      </c>
      <c r="D476" s="133" t="s">
        <v>6283</v>
      </c>
      <c r="E476" s="133" t="s">
        <v>63</v>
      </c>
      <c r="F476" s="133" t="s">
        <v>109</v>
      </c>
      <c r="G476" s="133" t="s">
        <v>9032</v>
      </c>
      <c r="H476" s="133" t="s">
        <v>8747</v>
      </c>
    </row>
    <row r="477" spans="1:8">
      <c r="A477" s="214" t="s">
        <v>4107</v>
      </c>
      <c r="B477" s="214" t="s">
        <v>4108</v>
      </c>
      <c r="C477" s="133" t="s">
        <v>10</v>
      </c>
      <c r="D477" s="133" t="s">
        <v>3370</v>
      </c>
      <c r="E477" s="133" t="s">
        <v>83</v>
      </c>
      <c r="F477" s="133" t="s">
        <v>109</v>
      </c>
      <c r="G477" s="133" t="s">
        <v>8987</v>
      </c>
      <c r="H477" s="133" t="s">
        <v>8747</v>
      </c>
    </row>
    <row r="478" spans="1:8">
      <c r="A478" s="214" t="s">
        <v>9344</v>
      </c>
      <c r="B478" s="214" t="s">
        <v>9345</v>
      </c>
      <c r="C478" s="133" t="s">
        <v>10</v>
      </c>
      <c r="D478" s="133" t="s">
        <v>8905</v>
      </c>
      <c r="E478" s="133" t="s">
        <v>63</v>
      </c>
      <c r="F478" s="133" t="s">
        <v>109</v>
      </c>
      <c r="G478" s="133" t="s">
        <v>9032</v>
      </c>
      <c r="H478" s="133" t="s">
        <v>8747</v>
      </c>
    </row>
    <row r="479" spans="1:8">
      <c r="A479" s="214" t="s">
        <v>296</v>
      </c>
      <c r="B479" s="214" t="s">
        <v>297</v>
      </c>
      <c r="C479" s="133" t="s">
        <v>8</v>
      </c>
      <c r="D479" s="133" t="s">
        <v>248</v>
      </c>
      <c r="E479" s="133" t="s">
        <v>83</v>
      </c>
      <c r="F479" s="133" t="s">
        <v>109</v>
      </c>
      <c r="G479" s="133" t="s">
        <v>8765</v>
      </c>
      <c r="H479" s="133" t="s">
        <v>8747</v>
      </c>
    </row>
    <row r="480" spans="1:8">
      <c r="A480" s="214" t="s">
        <v>9346</v>
      </c>
      <c r="B480" s="214" t="s">
        <v>9347</v>
      </c>
      <c r="C480" s="133" t="s">
        <v>8</v>
      </c>
      <c r="D480" s="133" t="s">
        <v>66</v>
      </c>
      <c r="E480" s="133" t="s">
        <v>63</v>
      </c>
      <c r="F480" s="133" t="s">
        <v>109</v>
      </c>
      <c r="G480" s="133" t="s">
        <v>8820</v>
      </c>
      <c r="H480" s="133" t="s">
        <v>8747</v>
      </c>
    </row>
    <row r="481" spans="1:8">
      <c r="A481" s="214" t="s">
        <v>8599</v>
      </c>
      <c r="B481" s="214" t="s">
        <v>9348</v>
      </c>
      <c r="C481" s="133" t="s">
        <v>8</v>
      </c>
      <c r="D481" s="133" t="s">
        <v>2299</v>
      </c>
      <c r="E481" s="133" t="s">
        <v>63</v>
      </c>
      <c r="F481" s="133" t="s">
        <v>109</v>
      </c>
      <c r="G481" s="133" t="s">
        <v>8820</v>
      </c>
      <c r="H481" s="133" t="s">
        <v>8747</v>
      </c>
    </row>
    <row r="482" spans="1:8">
      <c r="A482" s="214" t="s">
        <v>4707</v>
      </c>
      <c r="B482" s="214" t="s">
        <v>4708</v>
      </c>
      <c r="C482" s="133" t="s">
        <v>9</v>
      </c>
      <c r="D482" s="133" t="s">
        <v>4695</v>
      </c>
      <c r="E482" s="133" t="s">
        <v>83</v>
      </c>
      <c r="F482" s="133" t="s">
        <v>109</v>
      </c>
      <c r="G482" s="133" t="s">
        <v>8776</v>
      </c>
      <c r="H482" s="133" t="s">
        <v>8747</v>
      </c>
    </row>
    <row r="483" spans="1:8">
      <c r="A483" s="214" t="s">
        <v>4591</v>
      </c>
      <c r="B483" s="214" t="s">
        <v>4592</v>
      </c>
      <c r="C483" s="133" t="s">
        <v>9</v>
      </c>
      <c r="D483" s="133" t="s">
        <v>3541</v>
      </c>
      <c r="E483" s="133" t="s">
        <v>3539</v>
      </c>
      <c r="F483" s="133" t="s">
        <v>109</v>
      </c>
      <c r="G483" s="133" t="s">
        <v>8776</v>
      </c>
      <c r="H483" s="133" t="s">
        <v>8747</v>
      </c>
    </row>
    <row r="484" spans="1:8">
      <c r="A484" s="214" t="s">
        <v>9349</v>
      </c>
      <c r="B484" s="214" t="s">
        <v>9350</v>
      </c>
      <c r="C484" s="133" t="s">
        <v>10</v>
      </c>
      <c r="D484" s="133" t="s">
        <v>8905</v>
      </c>
      <c r="E484" s="133" t="s">
        <v>63</v>
      </c>
      <c r="F484" s="133" t="s">
        <v>109</v>
      </c>
      <c r="G484" s="133" t="s">
        <v>8820</v>
      </c>
      <c r="H484" s="133" t="s">
        <v>8747</v>
      </c>
    </row>
    <row r="485" spans="1:8">
      <c r="A485" s="214" t="s">
        <v>4226</v>
      </c>
      <c r="B485" s="214" t="s">
        <v>4227</v>
      </c>
      <c r="C485" s="133" t="s">
        <v>10</v>
      </c>
      <c r="D485" s="133" t="s">
        <v>4216</v>
      </c>
      <c r="E485" s="133" t="s">
        <v>83</v>
      </c>
      <c r="F485" s="133" t="s">
        <v>109</v>
      </c>
      <c r="G485" s="133" t="s">
        <v>8776</v>
      </c>
      <c r="H485" s="133" t="s">
        <v>8747</v>
      </c>
    </row>
    <row r="486" spans="1:8">
      <c r="A486" s="214" t="s">
        <v>9351</v>
      </c>
      <c r="B486" s="214" t="s">
        <v>9352</v>
      </c>
      <c r="C486" s="133" t="s">
        <v>8</v>
      </c>
      <c r="D486" s="133" t="s">
        <v>1041</v>
      </c>
      <c r="E486" s="133" t="s">
        <v>63</v>
      </c>
      <c r="F486" s="133" t="s">
        <v>109</v>
      </c>
      <c r="G486" s="133" t="s">
        <v>8826</v>
      </c>
      <c r="H486" s="133" t="s">
        <v>8747</v>
      </c>
    </row>
    <row r="487" spans="1:8">
      <c r="A487" s="214" t="s">
        <v>9353</v>
      </c>
      <c r="B487" s="214" t="s">
        <v>9354</v>
      </c>
      <c r="C487" s="133" t="s">
        <v>10</v>
      </c>
      <c r="D487" s="133" t="s">
        <v>3855</v>
      </c>
      <c r="E487" s="133" t="s">
        <v>63</v>
      </c>
      <c r="F487" s="133" t="s">
        <v>109</v>
      </c>
      <c r="G487" s="133" t="s">
        <v>8826</v>
      </c>
      <c r="H487" s="133" t="s">
        <v>8747</v>
      </c>
    </row>
    <row r="488" spans="1:8">
      <c r="A488" s="214" t="s">
        <v>3018</v>
      </c>
      <c r="B488" s="214" t="s">
        <v>3019</v>
      </c>
      <c r="C488" s="133" t="s">
        <v>8</v>
      </c>
      <c r="D488" s="133" t="s">
        <v>1368</v>
      </c>
      <c r="E488" s="133" t="s">
        <v>63</v>
      </c>
      <c r="F488" s="133" t="s">
        <v>109</v>
      </c>
      <c r="G488" s="133" t="s">
        <v>8826</v>
      </c>
      <c r="H488" s="133" t="s">
        <v>8747</v>
      </c>
    </row>
    <row r="489" spans="1:8">
      <c r="A489" s="214" t="s">
        <v>3249</v>
      </c>
      <c r="B489" s="214" t="s">
        <v>3250</v>
      </c>
      <c r="C489" s="133" t="s">
        <v>8</v>
      </c>
      <c r="D489" s="133" t="s">
        <v>2299</v>
      </c>
      <c r="E489" s="133" t="s">
        <v>63</v>
      </c>
      <c r="F489" s="133" t="s">
        <v>109</v>
      </c>
      <c r="G489" s="133" t="s">
        <v>8826</v>
      </c>
      <c r="H489" s="133" t="s">
        <v>8747</v>
      </c>
    </row>
    <row r="490" spans="1:8">
      <c r="A490" s="214" t="s">
        <v>2379</v>
      </c>
      <c r="B490" s="214" t="s">
        <v>2381</v>
      </c>
      <c r="C490" s="133" t="s">
        <v>8</v>
      </c>
      <c r="D490" s="133" t="s">
        <v>2380</v>
      </c>
      <c r="E490" s="133" t="s">
        <v>63</v>
      </c>
      <c r="F490" s="133" t="s">
        <v>109</v>
      </c>
      <c r="G490" s="133" t="s">
        <v>8820</v>
      </c>
      <c r="H490" s="133" t="s">
        <v>8747</v>
      </c>
    </row>
    <row r="491" spans="1:8">
      <c r="A491" s="214" t="s">
        <v>9355</v>
      </c>
      <c r="B491" s="214" t="s">
        <v>9356</v>
      </c>
      <c r="C491" s="133" t="s">
        <v>8</v>
      </c>
      <c r="D491" s="133" t="s">
        <v>2380</v>
      </c>
      <c r="E491" s="133" t="s">
        <v>63</v>
      </c>
      <c r="F491" s="133" t="s">
        <v>109</v>
      </c>
      <c r="G491" s="133" t="s">
        <v>8820</v>
      </c>
      <c r="H491" s="133" t="s">
        <v>8747</v>
      </c>
    </row>
    <row r="492" spans="1:8">
      <c r="A492" s="214" t="s">
        <v>5719</v>
      </c>
      <c r="B492" s="214" t="s">
        <v>5720</v>
      </c>
      <c r="C492" s="133" t="s">
        <v>399</v>
      </c>
      <c r="D492" s="133" t="s">
        <v>5690</v>
      </c>
      <c r="E492" s="133" t="s">
        <v>83</v>
      </c>
      <c r="F492" s="133" t="s">
        <v>109</v>
      </c>
      <c r="G492" s="133" t="s">
        <v>8808</v>
      </c>
      <c r="H492" s="133" t="s">
        <v>8747</v>
      </c>
    </row>
    <row r="493" spans="1:8">
      <c r="A493" s="214" t="s">
        <v>5777</v>
      </c>
      <c r="B493" s="214" t="s">
        <v>3024</v>
      </c>
      <c r="C493" s="133" t="s">
        <v>399</v>
      </c>
      <c r="D493" s="133" t="s">
        <v>2362</v>
      </c>
      <c r="E493" s="133" t="s">
        <v>83</v>
      </c>
      <c r="F493" s="133" t="s">
        <v>109</v>
      </c>
      <c r="G493" s="133" t="s">
        <v>9003</v>
      </c>
      <c r="H493" s="133" t="s">
        <v>8747</v>
      </c>
    </row>
    <row r="494" spans="1:8">
      <c r="A494" s="214" t="s">
        <v>9357</v>
      </c>
      <c r="B494" s="214" t="s">
        <v>9358</v>
      </c>
      <c r="C494" s="133" t="s">
        <v>8</v>
      </c>
      <c r="D494" s="133" t="s">
        <v>2214</v>
      </c>
      <c r="E494" s="133" t="s">
        <v>63</v>
      </c>
      <c r="F494" s="133" t="s">
        <v>109</v>
      </c>
      <c r="G494" s="133" t="s">
        <v>9032</v>
      </c>
      <c r="H494" s="133" t="s">
        <v>8747</v>
      </c>
    </row>
    <row r="495" spans="1:8">
      <c r="A495" s="214" t="s">
        <v>5725</v>
      </c>
      <c r="B495" s="214" t="s">
        <v>5726</v>
      </c>
      <c r="C495" s="133" t="s">
        <v>399</v>
      </c>
      <c r="D495" s="133" t="s">
        <v>5690</v>
      </c>
      <c r="E495" s="133" t="s">
        <v>83</v>
      </c>
      <c r="F495" s="133" t="s">
        <v>109</v>
      </c>
      <c r="G495" s="133" t="s">
        <v>8808</v>
      </c>
      <c r="H495" s="133" t="s">
        <v>8747</v>
      </c>
    </row>
    <row r="496" spans="1:8">
      <c r="A496" s="214" t="s">
        <v>5510</v>
      </c>
      <c r="B496" s="214" t="s">
        <v>5511</v>
      </c>
      <c r="C496" s="133" t="s">
        <v>794</v>
      </c>
      <c r="D496" s="133" t="s">
        <v>5492</v>
      </c>
      <c r="E496" s="133" t="s">
        <v>83</v>
      </c>
      <c r="F496" s="133" t="s">
        <v>109</v>
      </c>
      <c r="G496" s="133" t="s">
        <v>8826</v>
      </c>
      <c r="H496" s="133" t="s">
        <v>8747</v>
      </c>
    </row>
    <row r="497" spans="1:8">
      <c r="A497" s="214" t="s">
        <v>5842</v>
      </c>
      <c r="B497" s="214" t="s">
        <v>5844</v>
      </c>
      <c r="C497" s="133" t="s">
        <v>10</v>
      </c>
      <c r="D497" s="133" t="s">
        <v>5843</v>
      </c>
      <c r="E497" s="133" t="s">
        <v>63</v>
      </c>
      <c r="F497" s="133" t="s">
        <v>109</v>
      </c>
      <c r="G497" s="133" t="s">
        <v>8826</v>
      </c>
      <c r="H497" s="133" t="s">
        <v>8747</v>
      </c>
    </row>
    <row r="498" spans="1:8">
      <c r="A498" s="214" t="s">
        <v>9359</v>
      </c>
      <c r="B498" s="214" t="s">
        <v>9360</v>
      </c>
      <c r="C498" s="133" t="s">
        <v>10</v>
      </c>
      <c r="D498" s="133" t="s">
        <v>6381</v>
      </c>
      <c r="E498" s="133" t="s">
        <v>63</v>
      </c>
      <c r="F498" s="133" t="s">
        <v>109</v>
      </c>
      <c r="G498" s="133" t="s">
        <v>8826</v>
      </c>
      <c r="H498" s="133" t="s">
        <v>8747</v>
      </c>
    </row>
    <row r="499" spans="1:8">
      <c r="A499" s="214" t="s">
        <v>6282</v>
      </c>
      <c r="B499" s="214" t="s">
        <v>6284</v>
      </c>
      <c r="C499" s="133" t="s">
        <v>8</v>
      </c>
      <c r="D499" s="133" t="s">
        <v>9006</v>
      </c>
      <c r="E499" s="133" t="s">
        <v>63</v>
      </c>
      <c r="F499" s="133" t="s">
        <v>109</v>
      </c>
      <c r="G499" s="133" t="s">
        <v>8826</v>
      </c>
      <c r="H499" s="133" t="s">
        <v>8747</v>
      </c>
    </row>
    <row r="500" spans="1:8">
      <c r="A500" s="214" t="s">
        <v>9361</v>
      </c>
      <c r="B500" s="214" t="s">
        <v>9362</v>
      </c>
      <c r="C500" s="133" t="s">
        <v>10</v>
      </c>
      <c r="D500" s="133" t="s">
        <v>3370</v>
      </c>
      <c r="E500" s="133" t="s">
        <v>83</v>
      </c>
      <c r="F500" s="133" t="s">
        <v>109</v>
      </c>
      <c r="G500" s="133" t="s">
        <v>8987</v>
      </c>
      <c r="H500" s="133" t="s">
        <v>8747</v>
      </c>
    </row>
    <row r="501" spans="1:8">
      <c r="A501" s="214" t="s">
        <v>9363</v>
      </c>
      <c r="B501" s="214" t="s">
        <v>9364</v>
      </c>
      <c r="C501" s="133" t="s">
        <v>10</v>
      </c>
      <c r="D501" s="133" t="s">
        <v>4301</v>
      </c>
      <c r="E501" s="133" t="s">
        <v>83</v>
      </c>
      <c r="F501" s="133" t="s">
        <v>109</v>
      </c>
      <c r="G501" s="133" t="s">
        <v>8776</v>
      </c>
      <c r="H501" s="133" t="s">
        <v>8747</v>
      </c>
    </row>
    <row r="502" spans="1:8">
      <c r="A502" s="214" t="s">
        <v>2779</v>
      </c>
      <c r="B502" s="214" t="s">
        <v>2780</v>
      </c>
      <c r="C502" s="133" t="s">
        <v>8</v>
      </c>
      <c r="D502" s="133" t="s">
        <v>1522</v>
      </c>
      <c r="E502" s="133" t="s">
        <v>63</v>
      </c>
      <c r="F502" s="133" t="s">
        <v>109</v>
      </c>
      <c r="G502" s="133" t="s">
        <v>8820</v>
      </c>
      <c r="H502" s="133" t="s">
        <v>8747</v>
      </c>
    </row>
    <row r="503" spans="1:8">
      <c r="A503" s="214" t="s">
        <v>9365</v>
      </c>
      <c r="B503" s="214" t="s">
        <v>9366</v>
      </c>
      <c r="C503" s="133" t="s">
        <v>8</v>
      </c>
      <c r="D503" s="133" t="s">
        <v>277</v>
      </c>
      <c r="E503" s="133" t="s">
        <v>63</v>
      </c>
      <c r="F503" s="133" t="s">
        <v>109</v>
      </c>
      <c r="G503" s="133" t="s">
        <v>9028</v>
      </c>
      <c r="H503" s="133" t="s">
        <v>8747</v>
      </c>
    </row>
    <row r="504" spans="1:8">
      <c r="A504" s="214" t="s">
        <v>9367</v>
      </c>
      <c r="B504" s="214" t="s">
        <v>945</v>
      </c>
      <c r="C504" s="133" t="s">
        <v>8</v>
      </c>
      <c r="D504" s="133" t="s">
        <v>2214</v>
      </c>
      <c r="E504" s="133" t="s">
        <v>63</v>
      </c>
      <c r="F504" s="133" t="s">
        <v>109</v>
      </c>
      <c r="G504" s="133" t="s">
        <v>8820</v>
      </c>
      <c r="H504" s="133" t="s">
        <v>8747</v>
      </c>
    </row>
    <row r="505" spans="1:8">
      <c r="A505" s="214" t="s">
        <v>1988</v>
      </c>
      <c r="B505" s="214" t="s">
        <v>1048</v>
      </c>
      <c r="C505" s="133" t="s">
        <v>8</v>
      </c>
      <c r="D505" s="133" t="s">
        <v>1047</v>
      </c>
      <c r="E505" s="133" t="s">
        <v>63</v>
      </c>
      <c r="F505" s="133" t="s">
        <v>109</v>
      </c>
      <c r="G505" s="133" t="s">
        <v>8820</v>
      </c>
      <c r="H505" s="133" t="s">
        <v>8747</v>
      </c>
    </row>
    <row r="506" spans="1:8">
      <c r="A506" s="214" t="s">
        <v>9368</v>
      </c>
      <c r="B506" s="214" t="s">
        <v>9369</v>
      </c>
      <c r="C506" s="133" t="s">
        <v>10</v>
      </c>
      <c r="D506" s="133" t="s">
        <v>9370</v>
      </c>
      <c r="E506" s="133" t="s">
        <v>63</v>
      </c>
      <c r="F506" s="133" t="s">
        <v>109</v>
      </c>
      <c r="G506" s="133" t="s">
        <v>9032</v>
      </c>
      <c r="H506" s="133" t="s">
        <v>8747</v>
      </c>
    </row>
    <row r="507" spans="1:8">
      <c r="A507" s="214" t="s">
        <v>9371</v>
      </c>
      <c r="B507" s="214" t="s">
        <v>9372</v>
      </c>
      <c r="C507" s="133" t="s">
        <v>8</v>
      </c>
      <c r="D507" s="133" t="s">
        <v>1132</v>
      </c>
      <c r="E507" s="133" t="s">
        <v>63</v>
      </c>
      <c r="F507" s="133" t="s">
        <v>109</v>
      </c>
      <c r="G507" s="133" t="s">
        <v>8820</v>
      </c>
      <c r="H507" s="133" t="s">
        <v>8747</v>
      </c>
    </row>
    <row r="508" spans="1:8">
      <c r="A508" s="214" t="s">
        <v>9373</v>
      </c>
      <c r="B508" s="214" t="s">
        <v>9374</v>
      </c>
      <c r="C508" s="133" t="s">
        <v>8</v>
      </c>
      <c r="D508" s="133" t="s">
        <v>1132</v>
      </c>
      <c r="E508" s="133" t="s">
        <v>63</v>
      </c>
      <c r="F508" s="133" t="s">
        <v>109</v>
      </c>
      <c r="G508" s="133" t="s">
        <v>8820</v>
      </c>
      <c r="H508" s="133" t="s">
        <v>8747</v>
      </c>
    </row>
    <row r="509" spans="1:8">
      <c r="A509" s="214" t="s">
        <v>9375</v>
      </c>
      <c r="B509" s="214" t="s">
        <v>9376</v>
      </c>
      <c r="C509" s="133" t="s">
        <v>8</v>
      </c>
      <c r="D509" s="133" t="s">
        <v>8884</v>
      </c>
      <c r="E509" s="133" t="s">
        <v>63</v>
      </c>
      <c r="F509" s="133" t="s">
        <v>109</v>
      </c>
      <c r="G509" s="133" t="s">
        <v>8820</v>
      </c>
      <c r="H509" s="133" t="s">
        <v>8747</v>
      </c>
    </row>
    <row r="510" spans="1:8">
      <c r="A510" s="214" t="s">
        <v>9377</v>
      </c>
      <c r="B510" s="214" t="s">
        <v>9378</v>
      </c>
      <c r="C510" s="133" t="s">
        <v>10</v>
      </c>
      <c r="D510" s="133" t="s">
        <v>8909</v>
      </c>
      <c r="E510" s="133" t="s">
        <v>63</v>
      </c>
      <c r="F510" s="133" t="s">
        <v>109</v>
      </c>
      <c r="G510" s="133" t="s">
        <v>9028</v>
      </c>
      <c r="H510" s="133" t="s">
        <v>8747</v>
      </c>
    </row>
    <row r="511" spans="1:8">
      <c r="A511" s="214" t="s">
        <v>9379</v>
      </c>
      <c r="B511" s="214" t="s">
        <v>9380</v>
      </c>
      <c r="C511" s="133" t="s">
        <v>10</v>
      </c>
      <c r="D511" s="133" t="s">
        <v>6012</v>
      </c>
      <c r="E511" s="133" t="s">
        <v>63</v>
      </c>
      <c r="F511" s="133" t="s">
        <v>109</v>
      </c>
      <c r="G511" s="133" t="s">
        <v>8820</v>
      </c>
      <c r="H511" s="133" t="s">
        <v>8747</v>
      </c>
    </row>
    <row r="512" spans="1:8">
      <c r="A512" s="214" t="s">
        <v>439</v>
      </c>
      <c r="B512" s="214" t="s">
        <v>441</v>
      </c>
      <c r="C512" s="133" t="s">
        <v>8</v>
      </c>
      <c r="D512" s="133" t="s">
        <v>440</v>
      </c>
      <c r="E512" s="133" t="s">
        <v>63</v>
      </c>
      <c r="F512" s="133" t="s">
        <v>109</v>
      </c>
      <c r="G512" s="133" t="s">
        <v>8820</v>
      </c>
      <c r="H512" s="133" t="s">
        <v>8747</v>
      </c>
    </row>
    <row r="513" spans="1:8">
      <c r="A513" s="214" t="s">
        <v>729</v>
      </c>
      <c r="B513" s="214" t="s">
        <v>730</v>
      </c>
      <c r="C513" s="133" t="s">
        <v>8</v>
      </c>
      <c r="D513" s="133" t="s">
        <v>440</v>
      </c>
      <c r="E513" s="133" t="s">
        <v>63</v>
      </c>
      <c r="F513" s="133" t="s">
        <v>109</v>
      </c>
      <c r="G513" s="133" t="s">
        <v>9032</v>
      </c>
      <c r="H513" s="133" t="s">
        <v>8747</v>
      </c>
    </row>
    <row r="514" spans="1:8">
      <c r="A514" s="214" t="s">
        <v>427</v>
      </c>
      <c r="B514" s="214" t="s">
        <v>428</v>
      </c>
      <c r="C514" s="133" t="s">
        <v>8</v>
      </c>
      <c r="D514" s="133" t="s">
        <v>339</v>
      </c>
      <c r="E514" s="133" t="s">
        <v>83</v>
      </c>
      <c r="F514" s="133" t="s">
        <v>109</v>
      </c>
      <c r="G514" s="133" t="s">
        <v>8987</v>
      </c>
      <c r="H514" s="133" t="s">
        <v>8747</v>
      </c>
    </row>
    <row r="515" spans="1:8">
      <c r="A515" s="214" t="s">
        <v>371</v>
      </c>
      <c r="B515" s="214" t="s">
        <v>372</v>
      </c>
      <c r="C515" s="133" t="s">
        <v>8</v>
      </c>
      <c r="D515" s="133" t="s">
        <v>339</v>
      </c>
      <c r="E515" s="133" t="s">
        <v>83</v>
      </c>
      <c r="F515" s="133" t="s">
        <v>109</v>
      </c>
      <c r="G515" s="133" t="s">
        <v>8987</v>
      </c>
      <c r="H515" s="133" t="s">
        <v>8747</v>
      </c>
    </row>
    <row r="516" spans="1:8">
      <c r="A516" s="214" t="s">
        <v>9381</v>
      </c>
      <c r="B516" s="214" t="s">
        <v>9382</v>
      </c>
      <c r="C516" s="133" t="s">
        <v>8</v>
      </c>
      <c r="D516" s="133" t="s">
        <v>818</v>
      </c>
      <c r="E516" s="133" t="s">
        <v>63</v>
      </c>
      <c r="F516" s="133" t="s">
        <v>109</v>
      </c>
      <c r="G516" s="133" t="s">
        <v>8826</v>
      </c>
      <c r="H516" s="133" t="s">
        <v>8747</v>
      </c>
    </row>
    <row r="517" spans="1:8">
      <c r="A517" s="214" t="s">
        <v>9383</v>
      </c>
      <c r="B517" s="214" t="s">
        <v>9384</v>
      </c>
      <c r="C517" s="133" t="s">
        <v>399</v>
      </c>
      <c r="D517" s="133" t="s">
        <v>2260</v>
      </c>
      <c r="E517" s="133" t="s">
        <v>83</v>
      </c>
      <c r="F517" s="133" t="s">
        <v>120</v>
      </c>
      <c r="G517" s="133" t="s">
        <v>9385</v>
      </c>
      <c r="H517" s="133" t="s">
        <v>8747</v>
      </c>
    </row>
    <row r="518" spans="1:8">
      <c r="A518" s="214" t="s">
        <v>8683</v>
      </c>
      <c r="B518" s="214" t="s">
        <v>9386</v>
      </c>
      <c r="C518" s="133" t="s">
        <v>8</v>
      </c>
      <c r="D518" s="133" t="s">
        <v>2380</v>
      </c>
      <c r="E518" s="133" t="s">
        <v>63</v>
      </c>
      <c r="F518" s="133" t="s">
        <v>120</v>
      </c>
      <c r="G518" s="133" t="s">
        <v>8820</v>
      </c>
      <c r="H518" s="133" t="s">
        <v>8747</v>
      </c>
    </row>
    <row r="519" spans="1:8">
      <c r="A519" s="214" t="s">
        <v>9387</v>
      </c>
      <c r="B519" s="214" t="s">
        <v>9388</v>
      </c>
      <c r="C519" s="133" t="s">
        <v>10</v>
      </c>
      <c r="D519" s="133" t="s">
        <v>4914</v>
      </c>
      <c r="E519" s="133" t="s">
        <v>63</v>
      </c>
      <c r="F519" s="133" t="s">
        <v>120</v>
      </c>
      <c r="G519" s="133" t="s">
        <v>8784</v>
      </c>
      <c r="H519" s="133" t="s">
        <v>8747</v>
      </c>
    </row>
    <row r="520" spans="1:8">
      <c r="A520" s="214" t="s">
        <v>9389</v>
      </c>
      <c r="B520" s="214" t="s">
        <v>9390</v>
      </c>
      <c r="C520" s="133" t="s">
        <v>10</v>
      </c>
      <c r="D520" s="133" t="s">
        <v>8909</v>
      </c>
      <c r="E520" s="133" t="s">
        <v>63</v>
      </c>
      <c r="F520" s="133" t="s">
        <v>120</v>
      </c>
      <c r="G520" s="133" t="s">
        <v>8826</v>
      </c>
      <c r="H520" s="133" t="s">
        <v>8747</v>
      </c>
    </row>
    <row r="521" spans="1:8">
      <c r="A521" s="214" t="s">
        <v>9391</v>
      </c>
      <c r="B521" s="214" t="s">
        <v>1487</v>
      </c>
      <c r="C521" s="133" t="s">
        <v>8</v>
      </c>
      <c r="D521" s="133" t="s">
        <v>66</v>
      </c>
      <c r="E521" s="133" t="s">
        <v>63</v>
      </c>
      <c r="F521" s="133" t="s">
        <v>120</v>
      </c>
      <c r="G521" s="133" t="s">
        <v>8820</v>
      </c>
      <c r="H521" s="133" t="s">
        <v>8747</v>
      </c>
    </row>
    <row r="522" spans="1:8">
      <c r="A522" s="214" t="s">
        <v>9392</v>
      </c>
      <c r="B522" s="214" t="s">
        <v>9393</v>
      </c>
      <c r="C522" s="133" t="s">
        <v>10</v>
      </c>
      <c r="D522" s="133" t="s">
        <v>5893</v>
      </c>
      <c r="E522" s="133" t="s">
        <v>63</v>
      </c>
      <c r="F522" s="133" t="s">
        <v>120</v>
      </c>
      <c r="G522" s="133" t="s">
        <v>8820</v>
      </c>
      <c r="H522" s="133" t="s">
        <v>8747</v>
      </c>
    </row>
    <row r="523" spans="1:8">
      <c r="A523" s="214" t="s">
        <v>9394</v>
      </c>
      <c r="B523" s="214" t="s">
        <v>9395</v>
      </c>
      <c r="C523" s="133" t="s">
        <v>8</v>
      </c>
      <c r="D523" s="133" t="s">
        <v>1406</v>
      </c>
      <c r="E523" s="133" t="s">
        <v>63</v>
      </c>
      <c r="F523" s="133" t="s">
        <v>120</v>
      </c>
      <c r="G523" s="133" t="s">
        <v>8784</v>
      </c>
      <c r="H523" s="133" t="s">
        <v>8747</v>
      </c>
    </row>
    <row r="524" spans="1:8">
      <c r="A524" s="214" t="s">
        <v>4307</v>
      </c>
      <c r="B524" s="214" t="s">
        <v>4308</v>
      </c>
      <c r="C524" s="133" t="s">
        <v>10</v>
      </c>
      <c r="D524" s="133" t="s">
        <v>4920</v>
      </c>
      <c r="E524" s="133" t="s">
        <v>83</v>
      </c>
      <c r="F524" s="133" t="s">
        <v>120</v>
      </c>
      <c r="G524" s="133" t="s">
        <v>8776</v>
      </c>
      <c r="H524" s="133" t="s">
        <v>8747</v>
      </c>
    </row>
    <row r="525" spans="1:8">
      <c r="A525" s="214" t="s">
        <v>1007</v>
      </c>
      <c r="B525" s="214" t="s">
        <v>1008</v>
      </c>
      <c r="C525" s="133" t="s">
        <v>8</v>
      </c>
      <c r="D525" s="133" t="s">
        <v>809</v>
      </c>
      <c r="E525" s="133" t="s">
        <v>63</v>
      </c>
      <c r="F525" s="133" t="s">
        <v>120</v>
      </c>
      <c r="G525" s="133" t="s">
        <v>8986</v>
      </c>
      <c r="H525" s="133" t="s">
        <v>8747</v>
      </c>
    </row>
    <row r="526" spans="1:8">
      <c r="A526" s="214" t="s">
        <v>9396</v>
      </c>
      <c r="B526" s="214" t="s">
        <v>9397</v>
      </c>
      <c r="C526" s="133" t="s">
        <v>8</v>
      </c>
      <c r="D526" s="133" t="s">
        <v>818</v>
      </c>
      <c r="E526" s="133" t="s">
        <v>63</v>
      </c>
      <c r="F526" s="133" t="s">
        <v>120</v>
      </c>
      <c r="G526" s="133" t="s">
        <v>8820</v>
      </c>
      <c r="H526" s="133" t="s">
        <v>8747</v>
      </c>
    </row>
    <row r="527" spans="1:8">
      <c r="A527" s="214" t="s">
        <v>1299</v>
      </c>
      <c r="B527" s="214" t="s">
        <v>1300</v>
      </c>
      <c r="C527" s="133" t="s">
        <v>9</v>
      </c>
      <c r="D527" s="133" t="s">
        <v>1286</v>
      </c>
      <c r="E527" s="133" t="s">
        <v>83</v>
      </c>
      <c r="F527" s="133" t="s">
        <v>120</v>
      </c>
      <c r="G527" s="133" t="s">
        <v>8983</v>
      </c>
      <c r="H527" s="133" t="s">
        <v>8747</v>
      </c>
    </row>
    <row r="528" spans="1:8">
      <c r="A528" s="214" t="s">
        <v>9398</v>
      </c>
      <c r="B528" s="214" t="s">
        <v>9399</v>
      </c>
      <c r="C528" s="133" t="s">
        <v>8</v>
      </c>
      <c r="D528" s="133" t="s">
        <v>1522</v>
      </c>
      <c r="E528" s="133" t="s">
        <v>63</v>
      </c>
      <c r="F528" s="133" t="s">
        <v>120</v>
      </c>
      <c r="G528" s="133" t="s">
        <v>8826</v>
      </c>
      <c r="H528" s="133" t="s">
        <v>8747</v>
      </c>
    </row>
    <row r="529" spans="1:8">
      <c r="A529" s="214" t="s">
        <v>9400</v>
      </c>
      <c r="B529" s="214" t="s">
        <v>4131</v>
      </c>
      <c r="C529" s="133" t="s">
        <v>10</v>
      </c>
      <c r="D529" s="133" t="s">
        <v>4914</v>
      </c>
      <c r="E529" s="133" t="s">
        <v>63</v>
      </c>
      <c r="F529" s="133" t="s">
        <v>120</v>
      </c>
      <c r="G529" s="133" t="s">
        <v>8826</v>
      </c>
      <c r="H529" s="133" t="s">
        <v>8747</v>
      </c>
    </row>
    <row r="530" spans="1:8">
      <c r="A530" s="214" t="s">
        <v>6380</v>
      </c>
      <c r="B530" s="214" t="s">
        <v>6382</v>
      </c>
      <c r="C530" s="133" t="s">
        <v>10</v>
      </c>
      <c r="D530" s="133" t="s">
        <v>6381</v>
      </c>
      <c r="E530" s="133" t="s">
        <v>63</v>
      </c>
      <c r="F530" s="133" t="s">
        <v>120</v>
      </c>
      <c r="G530" s="133" t="s">
        <v>9032</v>
      </c>
      <c r="H530" s="133" t="s">
        <v>8747</v>
      </c>
    </row>
    <row r="531" spans="1:8">
      <c r="A531" s="214" t="s">
        <v>5792</v>
      </c>
      <c r="B531" s="214" t="s">
        <v>5793</v>
      </c>
      <c r="C531" s="133" t="s">
        <v>399</v>
      </c>
      <c r="D531" s="133" t="s">
        <v>2362</v>
      </c>
      <c r="E531" s="133" t="s">
        <v>83</v>
      </c>
      <c r="F531" s="133" t="s">
        <v>120</v>
      </c>
      <c r="G531" s="133" t="s">
        <v>9003</v>
      </c>
      <c r="H531" s="133" t="s">
        <v>8747</v>
      </c>
    </row>
    <row r="532" spans="1:8">
      <c r="A532" s="214" t="s">
        <v>1059</v>
      </c>
      <c r="B532" s="214" t="s">
        <v>1060</v>
      </c>
      <c r="C532" s="133" t="s">
        <v>8</v>
      </c>
      <c r="D532" s="133" t="s">
        <v>9096</v>
      </c>
      <c r="E532" s="133" t="s">
        <v>83</v>
      </c>
      <c r="F532" s="133" t="s">
        <v>120</v>
      </c>
      <c r="G532" s="133" t="s">
        <v>8987</v>
      </c>
      <c r="H532" s="133" t="s">
        <v>8747</v>
      </c>
    </row>
    <row r="533" spans="1:8">
      <c r="A533" s="214" t="s">
        <v>9401</v>
      </c>
      <c r="B533" s="214" t="s">
        <v>9402</v>
      </c>
      <c r="C533" s="133" t="s">
        <v>10</v>
      </c>
      <c r="D533" s="133" t="s">
        <v>8909</v>
      </c>
      <c r="E533" s="133" t="s">
        <v>63</v>
      </c>
      <c r="F533" s="133" t="s">
        <v>120</v>
      </c>
      <c r="G533" s="133" t="s">
        <v>9032</v>
      </c>
      <c r="H533" s="133" t="s">
        <v>8747</v>
      </c>
    </row>
    <row r="534" spans="1:8">
      <c r="A534" s="214" t="s">
        <v>7301</v>
      </c>
      <c r="B534" s="214" t="s">
        <v>1654</v>
      </c>
      <c r="C534" s="133" t="s">
        <v>8132</v>
      </c>
      <c r="D534" s="133" t="s">
        <v>85</v>
      </c>
      <c r="E534" s="133" t="s">
        <v>83</v>
      </c>
      <c r="F534" s="133" t="s">
        <v>120</v>
      </c>
      <c r="G534" s="133" t="s">
        <v>8755</v>
      </c>
      <c r="H534" s="133" t="s">
        <v>8747</v>
      </c>
    </row>
    <row r="535" spans="1:8">
      <c r="A535" s="214" t="s">
        <v>4837</v>
      </c>
      <c r="B535" s="214" t="s">
        <v>4838</v>
      </c>
      <c r="C535" s="133" t="s">
        <v>9</v>
      </c>
      <c r="D535" s="133" t="s">
        <v>4819</v>
      </c>
      <c r="E535" s="133" t="s">
        <v>83</v>
      </c>
      <c r="F535" s="133" t="s">
        <v>120</v>
      </c>
      <c r="G535" s="133" t="s">
        <v>8861</v>
      </c>
      <c r="H535" s="133" t="s">
        <v>8747</v>
      </c>
    </row>
    <row r="536" spans="1:8">
      <c r="A536" s="214" t="s">
        <v>5804</v>
      </c>
      <c r="B536" s="214" t="s">
        <v>5805</v>
      </c>
      <c r="C536" s="133" t="s">
        <v>399</v>
      </c>
      <c r="D536" s="133" t="s">
        <v>2362</v>
      </c>
      <c r="E536" s="133" t="s">
        <v>83</v>
      </c>
      <c r="F536" s="133" t="s">
        <v>120</v>
      </c>
      <c r="G536" s="133" t="s">
        <v>9003</v>
      </c>
      <c r="H536" s="133" t="s">
        <v>8747</v>
      </c>
    </row>
    <row r="537" spans="1:8">
      <c r="A537" s="214" t="s">
        <v>7519</v>
      </c>
      <c r="B537" s="214" t="s">
        <v>7520</v>
      </c>
      <c r="C537" s="133" t="s">
        <v>8</v>
      </c>
      <c r="D537" s="133" t="s">
        <v>818</v>
      </c>
      <c r="E537" s="133" t="s">
        <v>63</v>
      </c>
      <c r="F537" s="133" t="s">
        <v>120</v>
      </c>
      <c r="G537" s="133" t="s">
        <v>8826</v>
      </c>
      <c r="H537" s="133" t="s">
        <v>8747</v>
      </c>
    </row>
    <row r="538" spans="1:8">
      <c r="A538" s="214" t="s">
        <v>6276</v>
      </c>
      <c r="B538" s="214" t="s">
        <v>6277</v>
      </c>
      <c r="C538" s="133" t="s">
        <v>8</v>
      </c>
      <c r="D538" s="133" t="s">
        <v>277</v>
      </c>
      <c r="E538" s="133" t="s">
        <v>63</v>
      </c>
      <c r="F538" s="133" t="s">
        <v>120</v>
      </c>
      <c r="G538" s="133" t="s">
        <v>8784</v>
      </c>
      <c r="H538" s="133" t="s">
        <v>8747</v>
      </c>
    </row>
    <row r="539" spans="1:8">
      <c r="A539" s="214" t="s">
        <v>9403</v>
      </c>
      <c r="B539" s="214" t="s">
        <v>3055</v>
      </c>
      <c r="C539" s="133" t="s">
        <v>8</v>
      </c>
      <c r="D539" s="133" t="s">
        <v>932</v>
      </c>
      <c r="E539" s="133" t="s">
        <v>83</v>
      </c>
      <c r="F539" s="133" t="s">
        <v>120</v>
      </c>
      <c r="G539" s="133" t="s">
        <v>8784</v>
      </c>
      <c r="H539" s="133" t="s">
        <v>8747</v>
      </c>
    </row>
    <row r="540" spans="1:8">
      <c r="A540" s="214" t="s">
        <v>3197</v>
      </c>
      <c r="B540" s="214" t="s">
        <v>3199</v>
      </c>
      <c r="C540" s="133" t="s">
        <v>10</v>
      </c>
      <c r="D540" s="133" t="s">
        <v>3198</v>
      </c>
      <c r="E540" s="133" t="s">
        <v>63</v>
      </c>
      <c r="F540" s="133" t="s">
        <v>120</v>
      </c>
      <c r="G540" s="133" t="s">
        <v>9028</v>
      </c>
      <c r="H540" s="133" t="s">
        <v>8747</v>
      </c>
    </row>
    <row r="541" spans="1:8">
      <c r="A541" s="214" t="s">
        <v>9404</v>
      </c>
      <c r="B541" s="214" t="s">
        <v>9405</v>
      </c>
      <c r="C541" s="133" t="s">
        <v>399</v>
      </c>
      <c r="D541" s="133" t="s">
        <v>8769</v>
      </c>
      <c r="E541" s="133" t="s">
        <v>83</v>
      </c>
      <c r="F541" s="133" t="s">
        <v>120</v>
      </c>
      <c r="G541" s="133" t="s">
        <v>8755</v>
      </c>
      <c r="H541" s="133" t="s">
        <v>8747</v>
      </c>
    </row>
    <row r="542" spans="1:8">
      <c r="A542" s="214" t="s">
        <v>9406</v>
      </c>
      <c r="B542" s="214" t="s">
        <v>9407</v>
      </c>
      <c r="C542" s="133" t="s">
        <v>10</v>
      </c>
      <c r="D542" s="133" t="s">
        <v>4914</v>
      </c>
      <c r="E542" s="133" t="s">
        <v>63</v>
      </c>
      <c r="F542" s="133" t="s">
        <v>120</v>
      </c>
      <c r="G542" s="133" t="s">
        <v>8820</v>
      </c>
      <c r="H542" s="133" t="s">
        <v>8747</v>
      </c>
    </row>
    <row r="543" spans="1:8">
      <c r="A543" s="214" t="s">
        <v>4913</v>
      </c>
      <c r="B543" s="214" t="s">
        <v>4534</v>
      </c>
      <c r="C543" s="133" t="s">
        <v>10</v>
      </c>
      <c r="D543" s="133" t="s">
        <v>4914</v>
      </c>
      <c r="E543" s="133" t="s">
        <v>63</v>
      </c>
      <c r="F543" s="133" t="s">
        <v>120</v>
      </c>
      <c r="G543" s="133" t="s">
        <v>8820</v>
      </c>
      <c r="H543" s="133" t="s">
        <v>8747</v>
      </c>
    </row>
    <row r="544" spans="1:8">
      <c r="A544" s="214" t="s">
        <v>3369</v>
      </c>
      <c r="B544" s="214" t="s">
        <v>3371</v>
      </c>
      <c r="C544" s="133" t="s">
        <v>10</v>
      </c>
      <c r="D544" s="133" t="s">
        <v>3370</v>
      </c>
      <c r="E544" s="133" t="s">
        <v>83</v>
      </c>
      <c r="F544" s="133" t="s">
        <v>120</v>
      </c>
      <c r="G544" s="133" t="s">
        <v>8765</v>
      </c>
      <c r="H544" s="133" t="s">
        <v>8747</v>
      </c>
    </row>
    <row r="545" spans="1:8">
      <c r="A545" s="214" t="s">
        <v>9408</v>
      </c>
      <c r="B545" s="214" t="s">
        <v>3148</v>
      </c>
      <c r="C545" s="133" t="s">
        <v>178</v>
      </c>
      <c r="D545" s="133" t="s">
        <v>8979</v>
      </c>
      <c r="E545" s="133" t="s">
        <v>178</v>
      </c>
      <c r="F545" s="133" t="s">
        <v>120</v>
      </c>
      <c r="G545" s="133" t="s">
        <v>8820</v>
      </c>
      <c r="H545" s="133" t="s">
        <v>8747</v>
      </c>
    </row>
    <row r="546" spans="1:8">
      <c r="A546" s="214" t="s">
        <v>4926</v>
      </c>
      <c r="B546" s="214" t="s">
        <v>4927</v>
      </c>
      <c r="C546" s="133" t="s">
        <v>10</v>
      </c>
      <c r="D546" s="133" t="s">
        <v>8956</v>
      </c>
      <c r="E546" s="133" t="s">
        <v>63</v>
      </c>
      <c r="F546" s="133" t="s">
        <v>120</v>
      </c>
      <c r="G546" s="133" t="s">
        <v>9032</v>
      </c>
      <c r="H546" s="133" t="s">
        <v>8747</v>
      </c>
    </row>
    <row r="547" spans="1:8">
      <c r="A547" s="214" t="s">
        <v>9409</v>
      </c>
      <c r="B547" s="214" t="s">
        <v>9410</v>
      </c>
      <c r="C547" s="133" t="s">
        <v>10</v>
      </c>
      <c r="D547" s="133" t="s">
        <v>6405</v>
      </c>
      <c r="E547" s="133" t="s">
        <v>63</v>
      </c>
      <c r="F547" s="133" t="s">
        <v>120</v>
      </c>
      <c r="G547" s="133" t="s">
        <v>9032</v>
      </c>
      <c r="H547" s="133" t="s">
        <v>8747</v>
      </c>
    </row>
    <row r="548" spans="1:8">
      <c r="A548" s="214" t="s">
        <v>9411</v>
      </c>
      <c r="B548" s="214" t="s">
        <v>9412</v>
      </c>
      <c r="C548" s="133" t="s">
        <v>10</v>
      </c>
      <c r="D548" s="133" t="s">
        <v>6012</v>
      </c>
      <c r="E548" s="133" t="s">
        <v>63</v>
      </c>
      <c r="F548" s="133" t="s">
        <v>120</v>
      </c>
      <c r="G548" s="133" t="s">
        <v>9032</v>
      </c>
      <c r="H548" s="133" t="s">
        <v>8747</v>
      </c>
    </row>
    <row r="549" spans="1:8">
      <c r="A549" s="214" t="s">
        <v>9413</v>
      </c>
      <c r="B549" s="214" t="s">
        <v>9414</v>
      </c>
      <c r="C549" s="133" t="s">
        <v>10</v>
      </c>
      <c r="D549" s="133" t="s">
        <v>6012</v>
      </c>
      <c r="E549" s="133" t="s">
        <v>63</v>
      </c>
      <c r="F549" s="133" t="s">
        <v>120</v>
      </c>
      <c r="G549" s="133" t="s">
        <v>8820</v>
      </c>
      <c r="H549" s="133" t="s">
        <v>8747</v>
      </c>
    </row>
    <row r="550" spans="1:8">
      <c r="A550" s="214" t="s">
        <v>9415</v>
      </c>
      <c r="B550" s="214" t="s">
        <v>9416</v>
      </c>
      <c r="C550" s="133" t="s">
        <v>10</v>
      </c>
      <c r="D550" s="133" t="s">
        <v>6012</v>
      </c>
      <c r="E550" s="133" t="s">
        <v>63</v>
      </c>
      <c r="F550" s="133" t="s">
        <v>120</v>
      </c>
      <c r="G550" s="133" t="s">
        <v>8820</v>
      </c>
      <c r="H550" s="133" t="s">
        <v>8747</v>
      </c>
    </row>
    <row r="551" spans="1:8">
      <c r="A551" s="214" t="s">
        <v>4770</v>
      </c>
      <c r="B551" s="214" t="s">
        <v>4771</v>
      </c>
      <c r="C551" s="133" t="s">
        <v>399</v>
      </c>
      <c r="D551" s="133" t="s">
        <v>1375</v>
      </c>
      <c r="E551" s="133" t="s">
        <v>83</v>
      </c>
      <c r="F551" s="133" t="s">
        <v>120</v>
      </c>
      <c r="G551" s="133" t="s">
        <v>8755</v>
      </c>
      <c r="H551" s="133" t="s">
        <v>8747</v>
      </c>
    </row>
    <row r="552" spans="1:8">
      <c r="A552" s="214" t="s">
        <v>988</v>
      </c>
      <c r="B552" s="214" t="s">
        <v>989</v>
      </c>
      <c r="C552" s="133" t="s">
        <v>8</v>
      </c>
      <c r="D552" s="133" t="s">
        <v>9006</v>
      </c>
      <c r="E552" s="133" t="s">
        <v>63</v>
      </c>
      <c r="F552" s="133" t="s">
        <v>120</v>
      </c>
      <c r="G552" s="133" t="s">
        <v>8820</v>
      </c>
      <c r="H552" s="133" t="s">
        <v>8747</v>
      </c>
    </row>
    <row r="553" spans="1:8">
      <c r="A553" s="214" t="s">
        <v>4891</v>
      </c>
      <c r="B553" s="214" t="s">
        <v>4892</v>
      </c>
      <c r="C553" s="133" t="s">
        <v>9</v>
      </c>
      <c r="D553" s="133" t="s">
        <v>4789</v>
      </c>
      <c r="E553" s="133" t="s">
        <v>83</v>
      </c>
      <c r="F553" s="133" t="s">
        <v>120</v>
      </c>
      <c r="G553" s="133" t="s">
        <v>8776</v>
      </c>
      <c r="H553" s="133" t="s">
        <v>8747</v>
      </c>
    </row>
    <row r="554" spans="1:8">
      <c r="A554" s="214" t="s">
        <v>1091</v>
      </c>
      <c r="B554" s="214" t="s">
        <v>1092</v>
      </c>
      <c r="C554" s="133" t="s">
        <v>8</v>
      </c>
      <c r="D554" s="133" t="s">
        <v>918</v>
      </c>
      <c r="E554" s="133" t="s">
        <v>83</v>
      </c>
      <c r="F554" s="133" t="s">
        <v>120</v>
      </c>
      <c r="G554" s="133" t="s">
        <v>8986</v>
      </c>
      <c r="H554" s="133" t="s">
        <v>8747</v>
      </c>
    </row>
    <row r="555" spans="1:8">
      <c r="A555" s="214" t="s">
        <v>4615</v>
      </c>
      <c r="B555" s="214" t="s">
        <v>4616</v>
      </c>
      <c r="C555" s="133" t="s">
        <v>9</v>
      </c>
      <c r="D555" s="133" t="s">
        <v>3541</v>
      </c>
      <c r="E555" s="133" t="s">
        <v>3539</v>
      </c>
      <c r="F555" s="133" t="s">
        <v>120</v>
      </c>
      <c r="G555" s="133" t="s">
        <v>8776</v>
      </c>
      <c r="H555" s="133" t="s">
        <v>8747</v>
      </c>
    </row>
    <row r="556" spans="1:8">
      <c r="A556" s="214" t="s">
        <v>263</v>
      </c>
      <c r="B556" s="214" t="s">
        <v>264</v>
      </c>
      <c r="C556" s="133" t="s">
        <v>8</v>
      </c>
      <c r="D556" s="133" t="s">
        <v>248</v>
      </c>
      <c r="E556" s="133" t="s">
        <v>83</v>
      </c>
      <c r="F556" s="133" t="s">
        <v>120</v>
      </c>
      <c r="G556" s="133" t="s">
        <v>8765</v>
      </c>
      <c r="H556" s="133" t="s">
        <v>8747</v>
      </c>
    </row>
    <row r="557" spans="1:8">
      <c r="A557" s="214" t="s">
        <v>9417</v>
      </c>
      <c r="B557" s="214" t="s">
        <v>9418</v>
      </c>
      <c r="C557" s="133" t="s">
        <v>8</v>
      </c>
      <c r="D557" s="133" t="s">
        <v>6871</v>
      </c>
      <c r="E557" s="133" t="s">
        <v>63</v>
      </c>
      <c r="F557" s="133" t="s">
        <v>120</v>
      </c>
      <c r="G557" s="133" t="s">
        <v>8820</v>
      </c>
      <c r="H557" s="133" t="s">
        <v>8747</v>
      </c>
    </row>
    <row r="558" spans="1:8">
      <c r="A558" s="214" t="s">
        <v>8490</v>
      </c>
      <c r="B558" s="214" t="s">
        <v>4534</v>
      </c>
      <c r="C558" s="133" t="s">
        <v>8</v>
      </c>
      <c r="D558" s="133" t="s">
        <v>248</v>
      </c>
      <c r="E558" s="133" t="s">
        <v>83</v>
      </c>
      <c r="F558" s="133" t="s">
        <v>120</v>
      </c>
      <c r="G558" s="133" t="s">
        <v>8765</v>
      </c>
      <c r="H558" s="133" t="s">
        <v>8747</v>
      </c>
    </row>
    <row r="559" spans="1:8">
      <c r="A559" s="214" t="s">
        <v>4648</v>
      </c>
      <c r="B559" s="214" t="s">
        <v>4649</v>
      </c>
      <c r="C559" s="133" t="s">
        <v>9</v>
      </c>
      <c r="D559" s="133" t="s">
        <v>4819</v>
      </c>
      <c r="E559" s="133" t="s">
        <v>83</v>
      </c>
      <c r="F559" s="133" t="s">
        <v>120</v>
      </c>
      <c r="G559" s="133" t="s">
        <v>8861</v>
      </c>
      <c r="H559" s="133" t="s">
        <v>8747</v>
      </c>
    </row>
    <row r="560" spans="1:8">
      <c r="A560" s="214" t="s">
        <v>1374</v>
      </c>
      <c r="B560" s="214" t="s">
        <v>1376</v>
      </c>
      <c r="C560" s="133" t="s">
        <v>8</v>
      </c>
      <c r="D560" s="133" t="s">
        <v>1132</v>
      </c>
      <c r="E560" s="133" t="s">
        <v>63</v>
      </c>
      <c r="F560" s="133" t="s">
        <v>120</v>
      </c>
      <c r="G560" s="133" t="s">
        <v>8820</v>
      </c>
      <c r="H560" s="133" t="s">
        <v>8747</v>
      </c>
    </row>
    <row r="561" spans="1:8">
      <c r="A561" s="214" t="s">
        <v>6804</v>
      </c>
      <c r="B561" s="214" t="s">
        <v>146</v>
      </c>
      <c r="C561" s="133" t="s">
        <v>8132</v>
      </c>
      <c r="D561" s="133" t="s">
        <v>85</v>
      </c>
      <c r="E561" s="133" t="s">
        <v>83</v>
      </c>
      <c r="F561" s="133" t="s">
        <v>120</v>
      </c>
      <c r="G561" s="133" t="s">
        <v>8755</v>
      </c>
      <c r="H561" s="133" t="s">
        <v>8747</v>
      </c>
    </row>
    <row r="562" spans="1:8">
      <c r="A562" s="214" t="s">
        <v>4533</v>
      </c>
      <c r="B562" s="214" t="s">
        <v>4534</v>
      </c>
      <c r="C562" s="133" t="s">
        <v>178</v>
      </c>
      <c r="D562" s="133" t="s">
        <v>9071</v>
      </c>
      <c r="E562" s="133" t="s">
        <v>178</v>
      </c>
      <c r="F562" s="133" t="s">
        <v>120</v>
      </c>
      <c r="G562" s="133" t="s">
        <v>9072</v>
      </c>
      <c r="H562" s="133" t="s">
        <v>8747</v>
      </c>
    </row>
    <row r="563" spans="1:8">
      <c r="A563" s="214" t="s">
        <v>9419</v>
      </c>
      <c r="B563" s="214" t="s">
        <v>9420</v>
      </c>
      <c r="C563" s="133" t="s">
        <v>399</v>
      </c>
      <c r="D563" s="133" t="s">
        <v>8769</v>
      </c>
      <c r="E563" s="133" t="s">
        <v>83</v>
      </c>
      <c r="F563" s="133" t="s">
        <v>120</v>
      </c>
      <c r="G563" s="133" t="s">
        <v>8755</v>
      </c>
      <c r="H563" s="133" t="s">
        <v>8747</v>
      </c>
    </row>
    <row r="564" spans="1:8">
      <c r="A564" s="214" t="s">
        <v>9421</v>
      </c>
      <c r="B564" s="214" t="s">
        <v>9422</v>
      </c>
      <c r="C564" s="133" t="s">
        <v>10</v>
      </c>
      <c r="D564" s="133" t="s">
        <v>4163</v>
      </c>
      <c r="E564" s="133" t="s">
        <v>83</v>
      </c>
      <c r="F564" s="133" t="s">
        <v>120</v>
      </c>
      <c r="G564" s="133" t="s">
        <v>8861</v>
      </c>
      <c r="H564" s="133" t="s">
        <v>8747</v>
      </c>
    </row>
    <row r="565" spans="1:8">
      <c r="A565" s="214" t="s">
        <v>7286</v>
      </c>
      <c r="B565" s="214" t="s">
        <v>7288</v>
      </c>
      <c r="C565" s="133" t="s">
        <v>10</v>
      </c>
      <c r="D565" s="133" t="s">
        <v>7390</v>
      </c>
      <c r="E565" s="133" t="s">
        <v>63</v>
      </c>
      <c r="F565" s="133" t="s">
        <v>120</v>
      </c>
      <c r="G565" s="133" t="s">
        <v>9032</v>
      </c>
      <c r="H565" s="133" t="s">
        <v>8747</v>
      </c>
    </row>
    <row r="566" spans="1:8">
      <c r="A566" s="214" t="s">
        <v>6232</v>
      </c>
      <c r="B566" s="214" t="s">
        <v>6234</v>
      </c>
      <c r="C566" s="133" t="s">
        <v>10</v>
      </c>
      <c r="D566" s="133" t="s">
        <v>6233</v>
      </c>
      <c r="E566" s="133" t="s">
        <v>63</v>
      </c>
      <c r="F566" s="133" t="s">
        <v>120</v>
      </c>
      <c r="G566" s="133" t="s">
        <v>9032</v>
      </c>
      <c r="H566" s="133" t="s">
        <v>8747</v>
      </c>
    </row>
    <row r="567" spans="1:8">
      <c r="A567" s="214" t="s">
        <v>9423</v>
      </c>
      <c r="B567" s="214" t="s">
        <v>9424</v>
      </c>
      <c r="C567" s="133" t="s">
        <v>10</v>
      </c>
      <c r="D567" s="133" t="s">
        <v>6148</v>
      </c>
      <c r="E567" s="133" t="s">
        <v>63</v>
      </c>
      <c r="F567" s="133" t="s">
        <v>120</v>
      </c>
      <c r="G567" s="133" t="s">
        <v>9032</v>
      </c>
      <c r="H567" s="133" t="s">
        <v>8747</v>
      </c>
    </row>
    <row r="568" spans="1:8">
      <c r="A568" s="214" t="s">
        <v>2808</v>
      </c>
      <c r="B568" s="214" t="s">
        <v>2809</v>
      </c>
      <c r="C568" s="133" t="s">
        <v>237</v>
      </c>
      <c r="D568" s="133" t="s">
        <v>2110</v>
      </c>
      <c r="E568" s="133" t="s">
        <v>83</v>
      </c>
      <c r="F568" s="133" t="s">
        <v>120</v>
      </c>
      <c r="G568" s="133" t="s">
        <v>8991</v>
      </c>
      <c r="H568" s="133" t="s">
        <v>8747</v>
      </c>
    </row>
    <row r="569" spans="1:8">
      <c r="A569" s="214" t="s">
        <v>407</v>
      </c>
      <c r="B569" s="214" t="s">
        <v>408</v>
      </c>
      <c r="C569" s="133" t="s">
        <v>8</v>
      </c>
      <c r="D569" s="133" t="s">
        <v>339</v>
      </c>
      <c r="E569" s="133" t="s">
        <v>83</v>
      </c>
      <c r="F569" s="133" t="s">
        <v>120</v>
      </c>
      <c r="G569" s="133" t="s">
        <v>8987</v>
      </c>
      <c r="H569" s="133" t="s">
        <v>8747</v>
      </c>
    </row>
    <row r="570" spans="1:8">
      <c r="A570" s="214" t="s">
        <v>1072</v>
      </c>
      <c r="B570" s="214" t="s">
        <v>1073</v>
      </c>
      <c r="C570" s="133" t="s">
        <v>8</v>
      </c>
      <c r="D570" s="133" t="s">
        <v>96</v>
      </c>
      <c r="E570" s="133" t="s">
        <v>83</v>
      </c>
      <c r="F570" s="133" t="s">
        <v>120</v>
      </c>
      <c r="G570" s="133" t="s">
        <v>9084</v>
      </c>
      <c r="H570" s="133" t="s">
        <v>8747</v>
      </c>
    </row>
    <row r="571" spans="1:8">
      <c r="A571" s="214" t="s">
        <v>8399</v>
      </c>
      <c r="B571" s="214" t="s">
        <v>7281</v>
      </c>
      <c r="C571" s="133" t="s">
        <v>8132</v>
      </c>
      <c r="D571" s="133" t="s">
        <v>8751</v>
      </c>
      <c r="E571" s="133" t="s">
        <v>83</v>
      </c>
      <c r="F571" s="133" t="s">
        <v>120</v>
      </c>
      <c r="G571" s="133" t="s">
        <v>9089</v>
      </c>
      <c r="H571" s="133" t="s">
        <v>8747</v>
      </c>
    </row>
    <row r="572" spans="1:8">
      <c r="A572" s="214" t="s">
        <v>4561</v>
      </c>
      <c r="B572" s="214" t="s">
        <v>4562</v>
      </c>
      <c r="C572" s="133" t="s">
        <v>9</v>
      </c>
      <c r="D572" s="133" t="s">
        <v>3541</v>
      </c>
      <c r="E572" s="133" t="s">
        <v>3539</v>
      </c>
      <c r="F572" s="133" t="s">
        <v>120</v>
      </c>
      <c r="G572" s="133" t="s">
        <v>8776</v>
      </c>
      <c r="H572" s="133" t="s">
        <v>8747</v>
      </c>
    </row>
    <row r="573" spans="1:8">
      <c r="A573" s="214" t="s">
        <v>5924</v>
      </c>
      <c r="B573" s="214" t="s">
        <v>5925</v>
      </c>
      <c r="C573" s="133" t="s">
        <v>2146</v>
      </c>
      <c r="D573" s="133" t="s">
        <v>5908</v>
      </c>
      <c r="E573" s="133" t="s">
        <v>83</v>
      </c>
      <c r="F573" s="133" t="s">
        <v>120</v>
      </c>
      <c r="G573" s="133" t="s">
        <v>8980</v>
      </c>
      <c r="H573" s="133" t="s">
        <v>8747</v>
      </c>
    </row>
    <row r="574" spans="1:8">
      <c r="A574" s="214" t="s">
        <v>8126</v>
      </c>
      <c r="B574" s="214" t="s">
        <v>8127</v>
      </c>
      <c r="C574" s="133" t="s">
        <v>9</v>
      </c>
      <c r="D574" s="133" t="s">
        <v>4789</v>
      </c>
      <c r="E574" s="133" t="s">
        <v>83</v>
      </c>
      <c r="F574" s="133" t="s">
        <v>120</v>
      </c>
      <c r="G574" s="133" t="s">
        <v>8776</v>
      </c>
      <c r="H574" s="133" t="s">
        <v>8747</v>
      </c>
    </row>
    <row r="575" spans="1:8">
      <c r="A575" s="214" t="s">
        <v>9425</v>
      </c>
      <c r="B575" s="214" t="s">
        <v>9426</v>
      </c>
      <c r="C575" s="133" t="s">
        <v>237</v>
      </c>
      <c r="D575" s="133" t="s">
        <v>290</v>
      </c>
      <c r="E575" s="133" t="s">
        <v>83</v>
      </c>
      <c r="F575" s="133" t="s">
        <v>120</v>
      </c>
      <c r="G575" s="133" t="s">
        <v>300</v>
      </c>
      <c r="H575" s="133" t="s">
        <v>8747</v>
      </c>
    </row>
    <row r="576" spans="1:8">
      <c r="A576" s="214" t="s">
        <v>850</v>
      </c>
      <c r="B576" s="214" t="s">
        <v>851</v>
      </c>
      <c r="C576" s="133" t="s">
        <v>399</v>
      </c>
      <c r="D576" s="133" t="s">
        <v>401</v>
      </c>
      <c r="E576" s="133" t="s">
        <v>83</v>
      </c>
      <c r="F576" s="133" t="s">
        <v>120</v>
      </c>
      <c r="G576" s="133" t="s">
        <v>8755</v>
      </c>
      <c r="H576" s="133" t="s">
        <v>8747</v>
      </c>
    </row>
    <row r="577" spans="1:8">
      <c r="A577" s="214" t="s">
        <v>4162</v>
      </c>
      <c r="B577" s="214" t="s">
        <v>4164</v>
      </c>
      <c r="C577" s="133" t="s">
        <v>10</v>
      </c>
      <c r="D577" s="133" t="s">
        <v>4163</v>
      </c>
      <c r="E577" s="133" t="s">
        <v>83</v>
      </c>
      <c r="F577" s="133" t="s">
        <v>120</v>
      </c>
      <c r="G577" s="133" t="s">
        <v>8861</v>
      </c>
      <c r="H577" s="133" t="s">
        <v>8747</v>
      </c>
    </row>
    <row r="578" spans="1:8">
      <c r="A578" s="214" t="s">
        <v>4169</v>
      </c>
      <c r="B578" s="214" t="s">
        <v>4170</v>
      </c>
      <c r="C578" s="133" t="s">
        <v>399</v>
      </c>
      <c r="D578" s="133" t="s">
        <v>2208</v>
      </c>
      <c r="E578" s="133" t="s">
        <v>83</v>
      </c>
      <c r="F578" s="133" t="s">
        <v>120</v>
      </c>
      <c r="G578" s="133" t="s">
        <v>8755</v>
      </c>
      <c r="H578" s="133" t="s">
        <v>8747</v>
      </c>
    </row>
    <row r="579" spans="1:8">
      <c r="A579" s="214" t="s">
        <v>9427</v>
      </c>
      <c r="B579" s="214" t="s">
        <v>9428</v>
      </c>
      <c r="C579" s="133" t="s">
        <v>10</v>
      </c>
      <c r="D579" s="133" t="s">
        <v>8875</v>
      </c>
      <c r="E579" s="133" t="s">
        <v>63</v>
      </c>
      <c r="F579" s="133" t="s">
        <v>120</v>
      </c>
      <c r="G579" s="133" t="s">
        <v>9032</v>
      </c>
      <c r="H579" s="133" t="s">
        <v>8747</v>
      </c>
    </row>
    <row r="580" spans="1:8">
      <c r="A580" s="214" t="s">
        <v>9429</v>
      </c>
      <c r="B580" s="214" t="s">
        <v>9430</v>
      </c>
      <c r="C580" s="133" t="s">
        <v>2146</v>
      </c>
      <c r="D580" s="133" t="s">
        <v>5634</v>
      </c>
      <c r="E580" s="133" t="s">
        <v>83</v>
      </c>
      <c r="F580" s="133" t="s">
        <v>120</v>
      </c>
      <c r="G580" s="133" t="s">
        <v>8768</v>
      </c>
      <c r="H580" s="133" t="s">
        <v>8747</v>
      </c>
    </row>
    <row r="581" spans="1:8">
      <c r="A581" s="214" t="s">
        <v>9431</v>
      </c>
      <c r="B581" s="214" t="s">
        <v>9432</v>
      </c>
      <c r="C581" s="133" t="s">
        <v>399</v>
      </c>
      <c r="D581" s="133" t="s">
        <v>2260</v>
      </c>
      <c r="E581" s="133" t="s">
        <v>83</v>
      </c>
      <c r="F581" s="133" t="s">
        <v>120</v>
      </c>
      <c r="G581" s="133" t="s">
        <v>9385</v>
      </c>
      <c r="H581" s="133" t="s">
        <v>8747</v>
      </c>
    </row>
    <row r="582" spans="1:8">
      <c r="A582" s="214" t="s">
        <v>3854</v>
      </c>
      <c r="B582" s="214" t="s">
        <v>3856</v>
      </c>
      <c r="C582" s="133" t="s">
        <v>10</v>
      </c>
      <c r="D582" s="133" t="s">
        <v>3855</v>
      </c>
      <c r="E582" s="133" t="s">
        <v>63</v>
      </c>
      <c r="F582" s="133" t="s">
        <v>120</v>
      </c>
      <c r="G582" s="133" t="s">
        <v>9028</v>
      </c>
      <c r="H582" s="133" t="s">
        <v>8747</v>
      </c>
    </row>
    <row r="583" spans="1:8">
      <c r="A583" s="214" t="s">
        <v>9433</v>
      </c>
      <c r="B583" s="214" t="s">
        <v>9434</v>
      </c>
      <c r="C583" s="133" t="s">
        <v>8</v>
      </c>
      <c r="D583" s="133" t="s">
        <v>1701</v>
      </c>
      <c r="E583" s="133" t="s">
        <v>63</v>
      </c>
      <c r="F583" s="133" t="s">
        <v>120</v>
      </c>
      <c r="G583" s="133" t="s">
        <v>8820</v>
      </c>
      <c r="H583" s="133" t="s">
        <v>8747</v>
      </c>
    </row>
    <row r="584" spans="1:8">
      <c r="A584" s="214" t="s">
        <v>9435</v>
      </c>
      <c r="B584" s="214" t="s">
        <v>9436</v>
      </c>
      <c r="C584" s="133" t="s">
        <v>10</v>
      </c>
      <c r="D584" s="133" t="s">
        <v>4336</v>
      </c>
      <c r="E584" s="133" t="s">
        <v>83</v>
      </c>
      <c r="F584" s="133" t="s">
        <v>120</v>
      </c>
      <c r="G584" s="133" t="s">
        <v>8776</v>
      </c>
      <c r="H584" s="133" t="s">
        <v>8747</v>
      </c>
    </row>
    <row r="585" spans="1:8">
      <c r="A585" s="214" t="s">
        <v>2011</v>
      </c>
      <c r="B585" s="214" t="s">
        <v>1856</v>
      </c>
      <c r="C585" s="133" t="s">
        <v>8</v>
      </c>
      <c r="D585" s="133" t="s">
        <v>1368</v>
      </c>
      <c r="E585" s="133" t="s">
        <v>63</v>
      </c>
      <c r="F585" s="133" t="s">
        <v>120</v>
      </c>
      <c r="G585" s="133" t="s">
        <v>8820</v>
      </c>
      <c r="H585" s="133" t="s">
        <v>8747</v>
      </c>
    </row>
    <row r="586" spans="1:8">
      <c r="A586" s="214" t="s">
        <v>9437</v>
      </c>
      <c r="B586" s="214" t="s">
        <v>9438</v>
      </c>
      <c r="C586" s="133" t="s">
        <v>8</v>
      </c>
      <c r="D586" s="133" t="s">
        <v>6871</v>
      </c>
      <c r="E586" s="133" t="s">
        <v>63</v>
      </c>
      <c r="F586" s="133" t="s">
        <v>120</v>
      </c>
      <c r="G586" s="133" t="s">
        <v>9032</v>
      </c>
      <c r="H586" s="133" t="s">
        <v>8747</v>
      </c>
    </row>
    <row r="587" spans="1:8">
      <c r="A587" s="214" t="s">
        <v>4831</v>
      </c>
      <c r="B587" s="214" t="s">
        <v>4832</v>
      </c>
      <c r="C587" s="133" t="s">
        <v>399</v>
      </c>
      <c r="D587" s="133" t="s">
        <v>2208</v>
      </c>
      <c r="E587" s="133" t="s">
        <v>83</v>
      </c>
      <c r="F587" s="133" t="s">
        <v>120</v>
      </c>
      <c r="G587" s="133" t="s">
        <v>8755</v>
      </c>
      <c r="H587" s="133" t="s">
        <v>8747</v>
      </c>
    </row>
    <row r="588" spans="1:8">
      <c r="A588" s="214" t="s">
        <v>1022</v>
      </c>
      <c r="B588" s="214" t="s">
        <v>1023</v>
      </c>
      <c r="C588" s="133" t="s">
        <v>8</v>
      </c>
      <c r="D588" s="133" t="s">
        <v>918</v>
      </c>
      <c r="E588" s="133" t="s">
        <v>83</v>
      </c>
      <c r="F588" s="133" t="s">
        <v>120</v>
      </c>
      <c r="G588" s="133" t="s">
        <v>8986</v>
      </c>
      <c r="H588" s="133" t="s">
        <v>8747</v>
      </c>
    </row>
    <row r="589" spans="1:8">
      <c r="A589" s="214" t="s">
        <v>9439</v>
      </c>
      <c r="B589" s="214" t="s">
        <v>99</v>
      </c>
      <c r="C589" s="133" t="s">
        <v>399</v>
      </c>
      <c r="D589" s="133" t="s">
        <v>2208</v>
      </c>
      <c r="E589" s="133" t="s">
        <v>83</v>
      </c>
      <c r="F589" s="133" t="s">
        <v>120</v>
      </c>
      <c r="G589" s="133" t="s">
        <v>8755</v>
      </c>
      <c r="H589" s="133" t="s">
        <v>8747</v>
      </c>
    </row>
    <row r="590" spans="1:8">
      <c r="A590" s="214" t="s">
        <v>958</v>
      </c>
      <c r="B590" s="214" t="s">
        <v>959</v>
      </c>
      <c r="C590" s="133" t="s">
        <v>8</v>
      </c>
      <c r="D590" s="133" t="s">
        <v>154</v>
      </c>
      <c r="E590" s="133" t="s">
        <v>63</v>
      </c>
      <c r="F590" s="133" t="s">
        <v>120</v>
      </c>
      <c r="G590" s="133" t="s">
        <v>8820</v>
      </c>
      <c r="H590" s="133" t="s">
        <v>8747</v>
      </c>
    </row>
    <row r="591" spans="1:8">
      <c r="A591" s="214" t="s">
        <v>1680</v>
      </c>
      <c r="B591" s="214" t="s">
        <v>1681</v>
      </c>
      <c r="C591" s="133" t="s">
        <v>8</v>
      </c>
      <c r="D591" s="133" t="s">
        <v>248</v>
      </c>
      <c r="E591" s="133" t="s">
        <v>83</v>
      </c>
      <c r="F591" s="133" t="s">
        <v>120</v>
      </c>
      <c r="G591" s="133" t="s">
        <v>8861</v>
      </c>
      <c r="H591" s="133" t="s">
        <v>8747</v>
      </c>
    </row>
    <row r="592" spans="1:8">
      <c r="A592" s="214" t="s">
        <v>9440</v>
      </c>
      <c r="B592" s="214" t="s">
        <v>491</v>
      </c>
      <c r="C592" s="133" t="s">
        <v>8132</v>
      </c>
      <c r="D592" s="133" t="s">
        <v>85</v>
      </c>
      <c r="E592" s="133" t="s">
        <v>83</v>
      </c>
      <c r="F592" s="133" t="s">
        <v>120</v>
      </c>
      <c r="G592" s="133" t="s">
        <v>8755</v>
      </c>
      <c r="H592" s="133" t="s">
        <v>8747</v>
      </c>
    </row>
    <row r="593" spans="1:8">
      <c r="A593" s="214" t="s">
        <v>8651</v>
      </c>
      <c r="B593" s="214" t="s">
        <v>9441</v>
      </c>
      <c r="C593" s="133" t="s">
        <v>8</v>
      </c>
      <c r="D593" s="133" t="s">
        <v>248</v>
      </c>
      <c r="E593" s="133" t="s">
        <v>83</v>
      </c>
      <c r="F593" s="133" t="s">
        <v>120</v>
      </c>
      <c r="G593" s="133" t="s">
        <v>8765</v>
      </c>
      <c r="H593" s="133" t="s">
        <v>8747</v>
      </c>
    </row>
    <row r="594" spans="1:8">
      <c r="A594" s="214" t="s">
        <v>455</v>
      </c>
      <c r="B594" s="214" t="s">
        <v>457</v>
      </c>
      <c r="C594" s="133" t="s">
        <v>8</v>
      </c>
      <c r="D594" s="133" t="s">
        <v>456</v>
      </c>
      <c r="E594" s="133" t="s">
        <v>83</v>
      </c>
      <c r="F594" s="133" t="s">
        <v>120</v>
      </c>
      <c r="G594" s="133" t="s">
        <v>8982</v>
      </c>
      <c r="H594" s="133" t="s">
        <v>8747</v>
      </c>
    </row>
    <row r="595" spans="1:8">
      <c r="A595" s="214" t="s">
        <v>9442</v>
      </c>
      <c r="B595" s="214" t="s">
        <v>1317</v>
      </c>
      <c r="C595" s="133" t="s">
        <v>8</v>
      </c>
      <c r="D595" s="133" t="s">
        <v>9006</v>
      </c>
      <c r="E595" s="133" t="s">
        <v>63</v>
      </c>
      <c r="F595" s="133" t="s">
        <v>120</v>
      </c>
      <c r="G595" s="133" t="s">
        <v>8820</v>
      </c>
      <c r="H595" s="133" t="s">
        <v>8747</v>
      </c>
    </row>
    <row r="596" spans="1:8">
      <c r="A596" s="214" t="s">
        <v>4412</v>
      </c>
      <c r="B596" s="214" t="s">
        <v>4413</v>
      </c>
      <c r="C596" s="133" t="s">
        <v>9</v>
      </c>
      <c r="D596" s="133" t="s">
        <v>4789</v>
      </c>
      <c r="E596" s="133" t="s">
        <v>83</v>
      </c>
      <c r="F596" s="133" t="s">
        <v>120</v>
      </c>
      <c r="G596" s="133" t="s">
        <v>8776</v>
      </c>
      <c r="H596" s="133" t="s">
        <v>8747</v>
      </c>
    </row>
    <row r="597" spans="1:8">
      <c r="A597" s="214" t="s">
        <v>2282</v>
      </c>
      <c r="B597" s="214" t="s">
        <v>2283</v>
      </c>
      <c r="C597" s="133" t="s">
        <v>2146</v>
      </c>
      <c r="D597" s="133" t="s">
        <v>2148</v>
      </c>
      <c r="E597" s="133" t="s">
        <v>83</v>
      </c>
      <c r="F597" s="133" t="s">
        <v>120</v>
      </c>
      <c r="G597" s="133" t="s">
        <v>9028</v>
      </c>
      <c r="H597" s="133" t="s">
        <v>8747</v>
      </c>
    </row>
    <row r="598" spans="1:8">
      <c r="A598" s="214" t="s">
        <v>9443</v>
      </c>
      <c r="B598" s="214" t="s">
        <v>9444</v>
      </c>
      <c r="C598" s="133" t="s">
        <v>2146</v>
      </c>
      <c r="D598" s="133" t="s">
        <v>2197</v>
      </c>
      <c r="E598" s="133" t="s">
        <v>83</v>
      </c>
      <c r="F598" s="133" t="s">
        <v>120</v>
      </c>
      <c r="G598" s="133" t="s">
        <v>8980</v>
      </c>
      <c r="H598" s="133" t="s">
        <v>8747</v>
      </c>
    </row>
    <row r="599" spans="1:8">
      <c r="A599" s="214" t="s">
        <v>5670</v>
      </c>
      <c r="B599" s="214" t="s">
        <v>5671</v>
      </c>
      <c r="C599" s="133" t="s">
        <v>2146</v>
      </c>
      <c r="D599" s="133" t="s">
        <v>2197</v>
      </c>
      <c r="E599" s="133" t="s">
        <v>83</v>
      </c>
      <c r="F599" s="133" t="s">
        <v>120</v>
      </c>
      <c r="G599" s="133" t="s">
        <v>8768</v>
      </c>
      <c r="H599" s="133" t="s">
        <v>8747</v>
      </c>
    </row>
    <row r="600" spans="1:8">
      <c r="A600" s="214" t="s">
        <v>5424</v>
      </c>
      <c r="B600" s="214" t="s">
        <v>5425</v>
      </c>
      <c r="C600" s="133" t="s">
        <v>794</v>
      </c>
      <c r="D600" s="133" t="s">
        <v>5388</v>
      </c>
      <c r="E600" s="133" t="s">
        <v>83</v>
      </c>
      <c r="F600" s="133" t="s">
        <v>120</v>
      </c>
      <c r="G600" s="133" t="s">
        <v>8826</v>
      </c>
      <c r="H600" s="133" t="s">
        <v>8747</v>
      </c>
    </row>
    <row r="601" spans="1:8">
      <c r="A601" s="214" t="s">
        <v>9445</v>
      </c>
      <c r="B601" s="214" t="s">
        <v>9446</v>
      </c>
      <c r="C601" s="133" t="s">
        <v>10</v>
      </c>
      <c r="D601" s="133" t="s">
        <v>3370</v>
      </c>
      <c r="E601" s="133" t="s">
        <v>83</v>
      </c>
      <c r="F601" s="133" t="s">
        <v>120</v>
      </c>
      <c r="G601" s="133" t="s">
        <v>8765</v>
      </c>
      <c r="H601" s="133" t="s">
        <v>8747</v>
      </c>
    </row>
    <row r="602" spans="1:8">
      <c r="A602" s="214" t="s">
        <v>512</v>
      </c>
      <c r="B602" s="214" t="s">
        <v>513</v>
      </c>
      <c r="C602" s="133" t="s">
        <v>8</v>
      </c>
      <c r="D602" s="133" t="s">
        <v>477</v>
      </c>
      <c r="E602" s="133" t="s">
        <v>83</v>
      </c>
      <c r="F602" s="133" t="s">
        <v>120</v>
      </c>
      <c r="G602" s="133" t="s">
        <v>8982</v>
      </c>
      <c r="H602" s="133" t="s">
        <v>8747</v>
      </c>
    </row>
    <row r="603" spans="1:8">
      <c r="A603" s="214" t="s">
        <v>289</v>
      </c>
      <c r="B603" s="214" t="s">
        <v>291</v>
      </c>
      <c r="C603" s="133" t="s">
        <v>237</v>
      </c>
      <c r="D603" s="133" t="s">
        <v>290</v>
      </c>
      <c r="E603" s="133" t="s">
        <v>83</v>
      </c>
      <c r="F603" s="133" t="s">
        <v>120</v>
      </c>
      <c r="G603" s="133" t="s">
        <v>300</v>
      </c>
      <c r="H603" s="133" t="s">
        <v>8747</v>
      </c>
    </row>
    <row r="604" spans="1:8">
      <c r="A604" s="214" t="s">
        <v>2157</v>
      </c>
      <c r="B604" s="214" t="s">
        <v>2158</v>
      </c>
      <c r="C604" s="133" t="s">
        <v>8</v>
      </c>
      <c r="D604" s="133" t="s">
        <v>1368</v>
      </c>
      <c r="E604" s="133" t="s">
        <v>63</v>
      </c>
      <c r="F604" s="133" t="s">
        <v>120</v>
      </c>
      <c r="G604" s="133" t="s">
        <v>8820</v>
      </c>
      <c r="H604" s="133" t="s">
        <v>8747</v>
      </c>
    </row>
    <row r="605" spans="1:8">
      <c r="A605" s="214" t="s">
        <v>9447</v>
      </c>
      <c r="B605" s="214" t="s">
        <v>9448</v>
      </c>
      <c r="C605" s="133" t="s">
        <v>8</v>
      </c>
      <c r="D605" s="133" t="s">
        <v>1653</v>
      </c>
      <c r="E605" s="133" t="s">
        <v>63</v>
      </c>
      <c r="F605" s="133" t="s">
        <v>120</v>
      </c>
      <c r="G605" s="133" t="s">
        <v>8820</v>
      </c>
      <c r="H605" s="133" t="s">
        <v>8747</v>
      </c>
    </row>
    <row r="606" spans="1:8">
      <c r="A606" s="214" t="s">
        <v>1243</v>
      </c>
      <c r="B606" s="214" t="s">
        <v>1244</v>
      </c>
      <c r="C606" s="133" t="s">
        <v>8</v>
      </c>
      <c r="D606" s="133" t="s">
        <v>9096</v>
      </c>
      <c r="E606" s="133" t="s">
        <v>83</v>
      </c>
      <c r="F606" s="133" t="s">
        <v>120</v>
      </c>
      <c r="G606" s="133" t="s">
        <v>8983</v>
      </c>
      <c r="H606" s="133" t="s">
        <v>8747</v>
      </c>
    </row>
    <row r="607" spans="1:8">
      <c r="A607" s="214" t="s">
        <v>9449</v>
      </c>
      <c r="B607" s="214" t="s">
        <v>9450</v>
      </c>
      <c r="C607" s="133" t="s">
        <v>10</v>
      </c>
      <c r="D607" s="133" t="s">
        <v>7955</v>
      </c>
      <c r="E607" s="133" t="s">
        <v>63</v>
      </c>
      <c r="F607" s="133" t="s">
        <v>120</v>
      </c>
      <c r="G607" s="133" t="s">
        <v>8820</v>
      </c>
      <c r="H607" s="133" t="s">
        <v>8747</v>
      </c>
    </row>
    <row r="608" spans="1:8">
      <c r="A608" s="214" t="s">
        <v>9451</v>
      </c>
      <c r="B608" s="214" t="s">
        <v>9452</v>
      </c>
      <c r="C608" s="133" t="s">
        <v>10</v>
      </c>
      <c r="D608" s="133" t="s">
        <v>8021</v>
      </c>
      <c r="E608" s="133" t="s">
        <v>63</v>
      </c>
      <c r="F608" s="133" t="s">
        <v>120</v>
      </c>
      <c r="G608" s="133" t="s">
        <v>9032</v>
      </c>
      <c r="H608" s="133" t="s">
        <v>8747</v>
      </c>
    </row>
    <row r="609" spans="1:8">
      <c r="A609" s="214" t="s">
        <v>4932</v>
      </c>
      <c r="B609" s="214" t="s">
        <v>4933</v>
      </c>
      <c r="C609" s="133" t="s">
        <v>10</v>
      </c>
      <c r="D609" s="133" t="s">
        <v>4920</v>
      </c>
      <c r="E609" s="133" t="s">
        <v>83</v>
      </c>
      <c r="F609" s="133" t="s">
        <v>120</v>
      </c>
      <c r="G609" s="133" t="s">
        <v>8776</v>
      </c>
      <c r="H609" s="133" t="s">
        <v>8747</v>
      </c>
    </row>
    <row r="610" spans="1:8">
      <c r="A610" s="214" t="s">
        <v>6893</v>
      </c>
      <c r="B610" s="214" t="s">
        <v>1818</v>
      </c>
      <c r="C610" s="133" t="s">
        <v>399</v>
      </c>
      <c r="D610" s="133" t="s">
        <v>1375</v>
      </c>
      <c r="E610" s="133" t="s">
        <v>83</v>
      </c>
      <c r="F610" s="133" t="s">
        <v>120</v>
      </c>
      <c r="G610" s="133" t="s">
        <v>8755</v>
      </c>
      <c r="H610" s="133" t="s">
        <v>8747</v>
      </c>
    </row>
    <row r="611" spans="1:8">
      <c r="A611" s="214" t="s">
        <v>925</v>
      </c>
      <c r="B611" s="214" t="s">
        <v>926</v>
      </c>
      <c r="C611" s="133" t="s">
        <v>8</v>
      </c>
      <c r="D611" s="133" t="s">
        <v>248</v>
      </c>
      <c r="E611" s="133" t="s">
        <v>83</v>
      </c>
      <c r="F611" s="133" t="s">
        <v>120</v>
      </c>
      <c r="G611" s="133" t="s">
        <v>8765</v>
      </c>
      <c r="H611" s="133" t="s">
        <v>8747</v>
      </c>
    </row>
    <row r="612" spans="1:8">
      <c r="A612" s="214" t="s">
        <v>9453</v>
      </c>
      <c r="B612" s="214" t="s">
        <v>8851</v>
      </c>
      <c r="C612" s="133" t="s">
        <v>10</v>
      </c>
      <c r="D612" s="133" t="s">
        <v>4064</v>
      </c>
      <c r="E612" s="133" t="s">
        <v>83</v>
      </c>
      <c r="F612" s="133" t="s">
        <v>120</v>
      </c>
      <c r="G612" s="133" t="s">
        <v>8776</v>
      </c>
      <c r="H612" s="133" t="s">
        <v>8747</v>
      </c>
    </row>
    <row r="613" spans="1:8">
      <c r="A613" s="214" t="s">
        <v>4377</v>
      </c>
      <c r="B613" s="214" t="s">
        <v>4378</v>
      </c>
      <c r="C613" s="133" t="s">
        <v>10</v>
      </c>
      <c r="D613" s="133" t="s">
        <v>4336</v>
      </c>
      <c r="E613" s="133" t="s">
        <v>83</v>
      </c>
      <c r="F613" s="133" t="s">
        <v>120</v>
      </c>
      <c r="G613" s="133" t="s">
        <v>8776</v>
      </c>
      <c r="H613" s="133" t="s">
        <v>8747</v>
      </c>
    </row>
    <row r="614" spans="1:8">
      <c r="A614" s="214" t="s">
        <v>9454</v>
      </c>
      <c r="B614" s="214" t="s">
        <v>9455</v>
      </c>
      <c r="C614" s="133" t="s">
        <v>178</v>
      </c>
      <c r="D614" s="133" t="s">
        <v>9071</v>
      </c>
      <c r="E614" s="133" t="s">
        <v>178</v>
      </c>
      <c r="F614" s="133" t="s">
        <v>120</v>
      </c>
      <c r="G614" s="133" t="s">
        <v>70</v>
      </c>
      <c r="H614" s="133" t="s">
        <v>8747</v>
      </c>
    </row>
    <row r="615" spans="1:8">
      <c r="A615" s="214" t="s">
        <v>5504</v>
      </c>
      <c r="B615" s="214" t="s">
        <v>5505</v>
      </c>
      <c r="C615" s="133" t="s">
        <v>794</v>
      </c>
      <c r="D615" s="133" t="s">
        <v>5492</v>
      </c>
      <c r="E615" s="133" t="s">
        <v>83</v>
      </c>
      <c r="F615" s="133" t="s">
        <v>120</v>
      </c>
      <c r="G615" s="133" t="s">
        <v>8826</v>
      </c>
      <c r="H615" s="133" t="s">
        <v>8747</v>
      </c>
    </row>
    <row r="616" spans="1:8">
      <c r="A616" s="214" t="s">
        <v>5633</v>
      </c>
      <c r="B616" s="214" t="s">
        <v>2926</v>
      </c>
      <c r="C616" s="133" t="s">
        <v>2146</v>
      </c>
      <c r="D616" s="133" t="s">
        <v>5634</v>
      </c>
      <c r="E616" s="133" t="s">
        <v>83</v>
      </c>
      <c r="F616" s="133" t="s">
        <v>120</v>
      </c>
      <c r="G616" s="133" t="s">
        <v>8768</v>
      </c>
      <c r="H616" s="133" t="s">
        <v>8747</v>
      </c>
    </row>
    <row r="617" spans="1:8">
      <c r="A617" s="214" t="s">
        <v>9456</v>
      </c>
      <c r="B617" s="214" t="s">
        <v>2926</v>
      </c>
      <c r="C617" s="133" t="s">
        <v>9</v>
      </c>
      <c r="D617" s="133" t="s">
        <v>4484</v>
      </c>
      <c r="E617" s="133" t="s">
        <v>83</v>
      </c>
      <c r="F617" s="133" t="s">
        <v>120</v>
      </c>
      <c r="G617" s="133" t="s">
        <v>8776</v>
      </c>
      <c r="H617" s="133" t="s">
        <v>8747</v>
      </c>
    </row>
    <row r="618" spans="1:8">
      <c r="A618" s="214" t="s">
        <v>5882</v>
      </c>
      <c r="B618" s="214" t="s">
        <v>5883</v>
      </c>
      <c r="C618" s="133" t="s">
        <v>10</v>
      </c>
      <c r="D618" s="133" t="s">
        <v>5843</v>
      </c>
      <c r="E618" s="133" t="s">
        <v>63</v>
      </c>
      <c r="F618" s="133" t="s">
        <v>120</v>
      </c>
      <c r="G618" s="133" t="s">
        <v>9032</v>
      </c>
      <c r="H618" s="133" t="s">
        <v>8747</v>
      </c>
    </row>
    <row r="619" spans="1:8">
      <c r="A619" s="214" t="s">
        <v>4063</v>
      </c>
      <c r="B619" s="214" t="s">
        <v>4065</v>
      </c>
      <c r="C619" s="133" t="s">
        <v>237</v>
      </c>
      <c r="D619" s="133" t="s">
        <v>239</v>
      </c>
      <c r="E619" s="133" t="s">
        <v>83</v>
      </c>
      <c r="F619" s="133" t="s">
        <v>120</v>
      </c>
      <c r="G619" s="133" t="s">
        <v>70</v>
      </c>
      <c r="H619" s="133" t="s">
        <v>8747</v>
      </c>
    </row>
    <row r="620" spans="1:8">
      <c r="A620" s="214" t="s">
        <v>9457</v>
      </c>
      <c r="B620" s="214" t="s">
        <v>9458</v>
      </c>
      <c r="C620" s="133" t="s">
        <v>8</v>
      </c>
      <c r="D620" s="133" t="s">
        <v>2214</v>
      </c>
      <c r="E620" s="133" t="s">
        <v>63</v>
      </c>
      <c r="F620" s="133" t="s">
        <v>120</v>
      </c>
      <c r="G620" s="133" t="s">
        <v>8826</v>
      </c>
      <c r="H620" s="133" t="s">
        <v>8747</v>
      </c>
    </row>
    <row r="621" spans="1:8">
      <c r="A621" s="214" t="s">
        <v>9459</v>
      </c>
      <c r="B621" s="214" t="s">
        <v>9460</v>
      </c>
      <c r="C621" s="133" t="s">
        <v>399</v>
      </c>
      <c r="D621" s="133" t="s">
        <v>8769</v>
      </c>
      <c r="E621" s="133" t="s">
        <v>83</v>
      </c>
      <c r="F621" s="133" t="s">
        <v>120</v>
      </c>
      <c r="G621" s="133" t="s">
        <v>8755</v>
      </c>
      <c r="H621" s="133" t="s">
        <v>8747</v>
      </c>
    </row>
    <row r="622" spans="1:8">
      <c r="A622" s="214" t="s">
        <v>5771</v>
      </c>
      <c r="B622" s="214" t="s">
        <v>5772</v>
      </c>
      <c r="C622" s="133" t="s">
        <v>399</v>
      </c>
      <c r="D622" s="133" t="s">
        <v>2362</v>
      </c>
      <c r="E622" s="133" t="s">
        <v>83</v>
      </c>
      <c r="F622" s="133" t="s">
        <v>120</v>
      </c>
      <c r="G622" s="133" t="s">
        <v>9003</v>
      </c>
      <c r="H622" s="133" t="s">
        <v>8747</v>
      </c>
    </row>
    <row r="623" spans="1:8">
      <c r="A623" s="214" t="s">
        <v>9461</v>
      </c>
      <c r="B623" s="214" t="s">
        <v>1890</v>
      </c>
      <c r="C623" s="133" t="s">
        <v>8</v>
      </c>
      <c r="D623" s="133" t="s">
        <v>809</v>
      </c>
      <c r="E623" s="133" t="s">
        <v>63</v>
      </c>
      <c r="F623" s="133" t="s">
        <v>120</v>
      </c>
      <c r="G623" s="133" t="s">
        <v>8986</v>
      </c>
      <c r="H623" s="133" t="s">
        <v>8747</v>
      </c>
    </row>
    <row r="624" spans="1:8">
      <c r="A624" s="214" t="s">
        <v>882</v>
      </c>
      <c r="B624" s="214" t="s">
        <v>883</v>
      </c>
      <c r="C624" s="133" t="s">
        <v>237</v>
      </c>
      <c r="D624" s="133" t="s">
        <v>290</v>
      </c>
      <c r="E624" s="133" t="s">
        <v>83</v>
      </c>
      <c r="F624" s="133" t="s">
        <v>120</v>
      </c>
      <c r="G624" s="133" t="s">
        <v>300</v>
      </c>
      <c r="H624" s="133" t="s">
        <v>8747</v>
      </c>
    </row>
    <row r="625" spans="1:8">
      <c r="A625" s="214" t="s">
        <v>9462</v>
      </c>
      <c r="B625" s="214" t="s">
        <v>9225</v>
      </c>
      <c r="C625" s="133" t="s">
        <v>8</v>
      </c>
      <c r="D625" s="133" t="s">
        <v>96</v>
      </c>
      <c r="E625" s="133" t="s">
        <v>83</v>
      </c>
      <c r="F625" s="133" t="s">
        <v>120</v>
      </c>
      <c r="G625" s="133" t="s">
        <v>9084</v>
      </c>
      <c r="H625" s="133" t="s">
        <v>8747</v>
      </c>
    </row>
    <row r="626" spans="1:8">
      <c r="A626" s="214" t="s">
        <v>4319</v>
      </c>
      <c r="B626" s="214" t="s">
        <v>4320</v>
      </c>
      <c r="C626" s="133" t="s">
        <v>10</v>
      </c>
      <c r="D626" s="133" t="s">
        <v>4301</v>
      </c>
      <c r="E626" s="133" t="s">
        <v>83</v>
      </c>
      <c r="F626" s="133" t="s">
        <v>120</v>
      </c>
      <c r="G626" s="133" t="s">
        <v>8765</v>
      </c>
      <c r="H626" s="133" t="s">
        <v>8747</v>
      </c>
    </row>
    <row r="627" spans="1:8">
      <c r="A627" s="214" t="s">
        <v>9463</v>
      </c>
      <c r="B627" s="214" t="s">
        <v>9464</v>
      </c>
      <c r="C627" s="133" t="s">
        <v>10</v>
      </c>
      <c r="D627" s="133" t="s">
        <v>9013</v>
      </c>
      <c r="E627" s="133" t="s">
        <v>63</v>
      </c>
      <c r="F627" s="133" t="s">
        <v>120</v>
      </c>
      <c r="G627" s="133" t="s">
        <v>9032</v>
      </c>
      <c r="H627" s="133" t="s">
        <v>8747</v>
      </c>
    </row>
    <row r="628" spans="1:8">
      <c r="A628" s="214" t="s">
        <v>4203</v>
      </c>
      <c r="B628" s="214" t="s">
        <v>4204</v>
      </c>
      <c r="C628" s="133" t="s">
        <v>10</v>
      </c>
      <c r="D628" s="133" t="s">
        <v>4187</v>
      </c>
      <c r="E628" s="133" t="s">
        <v>83</v>
      </c>
      <c r="F628" s="133" t="s">
        <v>120</v>
      </c>
      <c r="G628" s="133" t="s">
        <v>9084</v>
      </c>
      <c r="H628" s="133" t="s">
        <v>8747</v>
      </c>
    </row>
    <row r="629" spans="1:8">
      <c r="A629" s="214" t="s">
        <v>1727</v>
      </c>
      <c r="B629" s="214" t="s">
        <v>1729</v>
      </c>
      <c r="C629" s="133" t="s">
        <v>8</v>
      </c>
      <c r="D629" s="133" t="s">
        <v>918</v>
      </c>
      <c r="E629" s="133" t="s">
        <v>83</v>
      </c>
      <c r="F629" s="133" t="s">
        <v>120</v>
      </c>
      <c r="G629" s="133" t="s">
        <v>8986</v>
      </c>
      <c r="H629" s="133" t="s">
        <v>8747</v>
      </c>
    </row>
    <row r="630" spans="1:8">
      <c r="A630" s="214" t="s">
        <v>195</v>
      </c>
      <c r="B630" s="214" t="s">
        <v>196</v>
      </c>
      <c r="C630" s="133" t="s">
        <v>8</v>
      </c>
      <c r="D630" s="133" t="s">
        <v>96</v>
      </c>
      <c r="E630" s="133" t="s">
        <v>83</v>
      </c>
      <c r="F630" s="133" t="s">
        <v>120</v>
      </c>
      <c r="G630" s="133" t="s">
        <v>9084</v>
      </c>
      <c r="H630" s="133" t="s">
        <v>8747</v>
      </c>
    </row>
    <row r="631" spans="1:8">
      <c r="A631" s="214" t="s">
        <v>9465</v>
      </c>
      <c r="B631" s="214" t="s">
        <v>9466</v>
      </c>
      <c r="C631" s="133" t="s">
        <v>8132</v>
      </c>
      <c r="D631" s="133" t="s">
        <v>8751</v>
      </c>
      <c r="E631" s="133" t="s">
        <v>83</v>
      </c>
      <c r="F631" s="133" t="s">
        <v>120</v>
      </c>
      <c r="G631" s="133" t="s">
        <v>9089</v>
      </c>
      <c r="H631" s="133" t="s">
        <v>8747</v>
      </c>
    </row>
    <row r="632" spans="1:8">
      <c r="A632" s="214" t="s">
        <v>4583</v>
      </c>
      <c r="B632" s="214" t="s">
        <v>4585</v>
      </c>
      <c r="C632" s="133" t="s">
        <v>9</v>
      </c>
      <c r="D632" s="133" t="s">
        <v>4584</v>
      </c>
      <c r="E632" s="133" t="s">
        <v>83</v>
      </c>
      <c r="F632" s="133" t="s">
        <v>120</v>
      </c>
      <c r="G632" s="133" t="s">
        <v>8776</v>
      </c>
      <c r="H632" s="133" t="s">
        <v>8747</v>
      </c>
    </row>
    <row r="633" spans="1:8">
      <c r="A633" s="214" t="s">
        <v>9467</v>
      </c>
      <c r="B633" s="214" t="s">
        <v>9468</v>
      </c>
      <c r="C633" s="133" t="s">
        <v>178</v>
      </c>
      <c r="D633" s="133" t="s">
        <v>9092</v>
      </c>
      <c r="E633" s="133" t="s">
        <v>83</v>
      </c>
      <c r="F633" s="133" t="s">
        <v>120</v>
      </c>
      <c r="G633" s="133" t="s">
        <v>8776</v>
      </c>
      <c r="H633" s="133" t="s">
        <v>8747</v>
      </c>
    </row>
    <row r="634" spans="1:8">
      <c r="A634" s="214" t="s">
        <v>4776</v>
      </c>
      <c r="B634" s="214" t="s">
        <v>4777</v>
      </c>
      <c r="C634" s="133" t="s">
        <v>399</v>
      </c>
      <c r="D634" s="133" t="s">
        <v>1375</v>
      </c>
      <c r="E634" s="133" t="s">
        <v>83</v>
      </c>
      <c r="F634" s="133" t="s">
        <v>120</v>
      </c>
      <c r="G634" s="133" t="s">
        <v>8755</v>
      </c>
      <c r="H634" s="133" t="s">
        <v>8747</v>
      </c>
    </row>
    <row r="635" spans="1:8">
      <c r="A635" s="214" t="s">
        <v>269</v>
      </c>
      <c r="B635" s="214" t="s">
        <v>270</v>
      </c>
      <c r="C635" s="133" t="s">
        <v>8</v>
      </c>
      <c r="D635" s="133" t="s">
        <v>248</v>
      </c>
      <c r="E635" s="133" t="s">
        <v>83</v>
      </c>
      <c r="F635" s="133" t="s">
        <v>120</v>
      </c>
      <c r="G635" s="133" t="s">
        <v>8765</v>
      </c>
      <c r="H635" s="133" t="s">
        <v>8747</v>
      </c>
    </row>
    <row r="636" spans="1:8">
      <c r="A636" s="214" t="s">
        <v>276</v>
      </c>
      <c r="B636" s="214" t="s">
        <v>278</v>
      </c>
      <c r="C636" s="133" t="s">
        <v>8</v>
      </c>
      <c r="D636" s="133" t="s">
        <v>277</v>
      </c>
      <c r="E636" s="133" t="s">
        <v>63</v>
      </c>
      <c r="F636" s="133" t="s">
        <v>120</v>
      </c>
      <c r="G636" s="133" t="s">
        <v>9032</v>
      </c>
      <c r="H636" s="133" t="s">
        <v>8747</v>
      </c>
    </row>
    <row r="637" spans="1:8">
      <c r="A637" s="214" t="s">
        <v>5109</v>
      </c>
      <c r="B637" s="214" t="s">
        <v>5110</v>
      </c>
      <c r="C637" s="133" t="s">
        <v>399</v>
      </c>
      <c r="D637" s="133" t="s">
        <v>2208</v>
      </c>
      <c r="E637" s="133" t="s">
        <v>83</v>
      </c>
      <c r="F637" s="133" t="s">
        <v>120</v>
      </c>
      <c r="G637" s="133" t="s">
        <v>8755</v>
      </c>
      <c r="H637" s="133" t="s">
        <v>8747</v>
      </c>
    </row>
    <row r="638" spans="1:8">
      <c r="A638" s="214" t="s">
        <v>4330</v>
      </c>
      <c r="B638" s="214" t="s">
        <v>4331</v>
      </c>
      <c r="C638" s="133" t="s">
        <v>10</v>
      </c>
      <c r="D638" s="133" t="s">
        <v>4920</v>
      </c>
      <c r="E638" s="133" t="s">
        <v>83</v>
      </c>
      <c r="F638" s="133" t="s">
        <v>120</v>
      </c>
      <c r="G638" s="133" t="s">
        <v>8776</v>
      </c>
      <c r="H638" s="133" t="s">
        <v>8747</v>
      </c>
    </row>
    <row r="639" spans="1:8">
      <c r="A639" s="214" t="s">
        <v>4861</v>
      </c>
      <c r="B639" s="214" t="s">
        <v>4862</v>
      </c>
      <c r="C639" s="133" t="s">
        <v>9</v>
      </c>
      <c r="D639" s="133" t="s">
        <v>4819</v>
      </c>
      <c r="E639" s="133" t="s">
        <v>83</v>
      </c>
      <c r="F639" s="133" t="s">
        <v>120</v>
      </c>
      <c r="G639" s="133" t="s">
        <v>8861</v>
      </c>
      <c r="H639" s="133" t="s">
        <v>8747</v>
      </c>
    </row>
    <row r="640" spans="1:8">
      <c r="A640" s="214" t="s">
        <v>392</v>
      </c>
      <c r="B640" s="214" t="s">
        <v>393</v>
      </c>
      <c r="C640" s="133" t="s">
        <v>8</v>
      </c>
      <c r="D640" s="133" t="s">
        <v>339</v>
      </c>
      <c r="E640" s="133" t="s">
        <v>83</v>
      </c>
      <c r="F640" s="133" t="s">
        <v>120</v>
      </c>
      <c r="G640" s="133" t="s">
        <v>8987</v>
      </c>
      <c r="H640" s="133" t="s">
        <v>8747</v>
      </c>
    </row>
    <row r="641" spans="1:8">
      <c r="A641" s="214" t="s">
        <v>894</v>
      </c>
      <c r="B641" s="214" t="s">
        <v>896</v>
      </c>
      <c r="C641" s="133" t="s">
        <v>8</v>
      </c>
      <c r="D641" s="133" t="s">
        <v>895</v>
      </c>
      <c r="E641" s="133" t="s">
        <v>63</v>
      </c>
      <c r="F641" s="133" t="s">
        <v>120</v>
      </c>
      <c r="G641" s="133" t="s">
        <v>8983</v>
      </c>
      <c r="H641" s="133" t="s">
        <v>8747</v>
      </c>
    </row>
    <row r="642" spans="1:8">
      <c r="A642" s="214" t="s">
        <v>9469</v>
      </c>
      <c r="B642" s="214" t="s">
        <v>8789</v>
      </c>
      <c r="C642" s="133" t="s">
        <v>8</v>
      </c>
      <c r="D642" s="133" t="s">
        <v>1368</v>
      </c>
      <c r="E642" s="133" t="s">
        <v>63</v>
      </c>
      <c r="F642" s="133" t="s">
        <v>120</v>
      </c>
      <c r="G642" s="133" t="s">
        <v>8820</v>
      </c>
      <c r="H642" s="133" t="s">
        <v>8747</v>
      </c>
    </row>
    <row r="643" spans="1:8">
      <c r="A643" s="214" t="s">
        <v>4701</v>
      </c>
      <c r="B643" s="214" t="s">
        <v>4702</v>
      </c>
      <c r="C643" s="133" t="s">
        <v>9</v>
      </c>
      <c r="D643" s="133" t="s">
        <v>4695</v>
      </c>
      <c r="E643" s="133" t="s">
        <v>83</v>
      </c>
      <c r="F643" s="133" t="s">
        <v>120</v>
      </c>
      <c r="G643" s="133" t="s">
        <v>8776</v>
      </c>
      <c r="H643" s="133" t="s">
        <v>8747</v>
      </c>
    </row>
    <row r="644" spans="1:8">
      <c r="A644" s="214" t="s">
        <v>4452</v>
      </c>
      <c r="B644" s="214" t="s">
        <v>4453</v>
      </c>
      <c r="C644" s="133" t="s">
        <v>9</v>
      </c>
      <c r="D644" s="133" t="s">
        <v>4789</v>
      </c>
      <c r="E644" s="133" t="s">
        <v>83</v>
      </c>
      <c r="F644" s="133" t="s">
        <v>120</v>
      </c>
      <c r="G644" s="133" t="s">
        <v>8776</v>
      </c>
      <c r="H644" s="133" t="s">
        <v>8747</v>
      </c>
    </row>
    <row r="645" spans="1:8">
      <c r="A645" s="214" t="s">
        <v>1203</v>
      </c>
      <c r="B645" s="214" t="s">
        <v>1204</v>
      </c>
      <c r="C645" s="133" t="s">
        <v>8</v>
      </c>
      <c r="D645" s="133" t="s">
        <v>910</v>
      </c>
      <c r="E645" s="133" t="s">
        <v>83</v>
      </c>
      <c r="F645" s="133" t="s">
        <v>120</v>
      </c>
      <c r="G645" s="133" t="s">
        <v>8983</v>
      </c>
      <c r="H645" s="133" t="s">
        <v>8747</v>
      </c>
    </row>
    <row r="646" spans="1:8">
      <c r="A646" s="214" t="s">
        <v>5460</v>
      </c>
      <c r="B646" s="214" t="s">
        <v>5461</v>
      </c>
      <c r="C646" s="133" t="s">
        <v>794</v>
      </c>
      <c r="D646" s="133" t="s">
        <v>796</v>
      </c>
      <c r="E646" s="133" t="s">
        <v>83</v>
      </c>
      <c r="F646" s="133" t="s">
        <v>120</v>
      </c>
      <c r="G646" s="133" t="s">
        <v>8826</v>
      </c>
      <c r="H646" s="133" t="s">
        <v>8747</v>
      </c>
    </row>
    <row r="647" spans="1:8">
      <c r="A647" s="214" t="s">
        <v>9470</v>
      </c>
      <c r="B647" s="214" t="s">
        <v>1880</v>
      </c>
      <c r="C647" s="133" t="s">
        <v>8</v>
      </c>
      <c r="D647" s="133" t="s">
        <v>6871</v>
      </c>
      <c r="E647" s="133" t="s">
        <v>63</v>
      </c>
      <c r="F647" s="133" t="s">
        <v>120</v>
      </c>
      <c r="G647" s="133" t="s">
        <v>9032</v>
      </c>
      <c r="H647" s="133" t="s">
        <v>8747</v>
      </c>
    </row>
    <row r="648" spans="1:8">
      <c r="A648" s="214" t="s">
        <v>4609</v>
      </c>
      <c r="B648" s="214" t="s">
        <v>4610</v>
      </c>
      <c r="C648" s="133" t="s">
        <v>9</v>
      </c>
      <c r="D648" s="133" t="s">
        <v>3541</v>
      </c>
      <c r="E648" s="133" t="s">
        <v>3539</v>
      </c>
      <c r="F648" s="133" t="s">
        <v>120</v>
      </c>
      <c r="G648" s="133" t="s">
        <v>8776</v>
      </c>
      <c r="H648" s="133" t="s">
        <v>8747</v>
      </c>
    </row>
    <row r="649" spans="1:8">
      <c r="A649" s="214" t="s">
        <v>9471</v>
      </c>
      <c r="B649" s="214" t="s">
        <v>9472</v>
      </c>
      <c r="C649" s="133" t="s">
        <v>8</v>
      </c>
      <c r="D649" s="133" t="s">
        <v>1522</v>
      </c>
      <c r="E649" s="133" t="s">
        <v>63</v>
      </c>
      <c r="F649" s="133" t="s">
        <v>120</v>
      </c>
      <c r="G649" s="133" t="s">
        <v>8820</v>
      </c>
      <c r="H649" s="133" t="s">
        <v>8747</v>
      </c>
    </row>
    <row r="650" spans="1:8">
      <c r="A650" s="214" t="s">
        <v>2521</v>
      </c>
      <c r="B650" s="214" t="s">
        <v>2522</v>
      </c>
      <c r="C650" s="133" t="s">
        <v>8</v>
      </c>
      <c r="D650" s="133" t="s">
        <v>1562</v>
      </c>
      <c r="E650" s="133" t="s">
        <v>63</v>
      </c>
      <c r="F650" s="133" t="s">
        <v>120</v>
      </c>
      <c r="G650" s="133" t="s">
        <v>8820</v>
      </c>
      <c r="H650" s="133" t="s">
        <v>8747</v>
      </c>
    </row>
    <row r="651" spans="1:8">
      <c r="A651" s="214" t="s">
        <v>9473</v>
      </c>
      <c r="B651" s="214" t="s">
        <v>9474</v>
      </c>
      <c r="C651" s="133" t="s">
        <v>178</v>
      </c>
      <c r="D651" s="133" t="s">
        <v>9170</v>
      </c>
      <c r="E651" s="133" t="s">
        <v>178</v>
      </c>
      <c r="F651" s="133" t="s">
        <v>120</v>
      </c>
      <c r="G651" s="133" t="s">
        <v>8765</v>
      </c>
      <c r="H651" s="133" t="s">
        <v>8747</v>
      </c>
    </row>
    <row r="652" spans="1:8">
      <c r="A652" s="214" t="s">
        <v>9475</v>
      </c>
      <c r="B652" s="214" t="s">
        <v>9476</v>
      </c>
      <c r="C652" s="133" t="s">
        <v>2146</v>
      </c>
      <c r="D652" s="133" t="s">
        <v>2197</v>
      </c>
      <c r="E652" s="133" t="s">
        <v>83</v>
      </c>
      <c r="F652" s="133" t="s">
        <v>120</v>
      </c>
      <c r="G652" s="133" t="s">
        <v>8980</v>
      </c>
      <c r="H652" s="133" t="s">
        <v>8747</v>
      </c>
    </row>
    <row r="653" spans="1:8">
      <c r="A653" s="214" t="s">
        <v>9477</v>
      </c>
      <c r="B653" s="214" t="s">
        <v>9478</v>
      </c>
      <c r="C653" s="133" t="s">
        <v>10</v>
      </c>
      <c r="D653" s="133" t="s">
        <v>7390</v>
      </c>
      <c r="E653" s="133" t="s">
        <v>63</v>
      </c>
      <c r="F653" s="133" t="s">
        <v>120</v>
      </c>
      <c r="G653" s="133" t="s">
        <v>8820</v>
      </c>
      <c r="H653" s="133" t="s">
        <v>8747</v>
      </c>
    </row>
    <row r="654" spans="1:8">
      <c r="A654" s="214" t="s">
        <v>1425</v>
      </c>
      <c r="B654" s="214" t="s">
        <v>196</v>
      </c>
      <c r="C654" s="133" t="s">
        <v>8</v>
      </c>
      <c r="D654" s="133" t="s">
        <v>8884</v>
      </c>
      <c r="E654" s="133" t="s">
        <v>63</v>
      </c>
      <c r="F654" s="133" t="s">
        <v>120</v>
      </c>
      <c r="G654" s="133" t="s">
        <v>8820</v>
      </c>
      <c r="H654" s="133" t="s">
        <v>8747</v>
      </c>
    </row>
    <row r="655" spans="1:8">
      <c r="A655" s="214" t="s">
        <v>4509</v>
      </c>
      <c r="B655" s="214" t="s">
        <v>4510</v>
      </c>
      <c r="C655" s="133" t="s">
        <v>9</v>
      </c>
      <c r="D655" s="133" t="s">
        <v>4497</v>
      </c>
      <c r="E655" s="133" t="s">
        <v>3539</v>
      </c>
      <c r="F655" s="133" t="s">
        <v>120</v>
      </c>
      <c r="G655" s="133" t="s">
        <v>8776</v>
      </c>
      <c r="H655" s="133" t="s">
        <v>8747</v>
      </c>
    </row>
    <row r="656" spans="1:8">
      <c r="A656" s="214" t="s">
        <v>5292</v>
      </c>
      <c r="B656" s="214" t="s">
        <v>5294</v>
      </c>
      <c r="C656" s="133" t="s">
        <v>10</v>
      </c>
      <c r="D656" s="133" t="s">
        <v>4336</v>
      </c>
      <c r="E656" s="133" t="s">
        <v>83</v>
      </c>
      <c r="F656" s="133" t="s">
        <v>120</v>
      </c>
      <c r="G656" s="133" t="s">
        <v>8776</v>
      </c>
      <c r="H656" s="133" t="s">
        <v>8747</v>
      </c>
    </row>
    <row r="657" spans="1:8">
      <c r="A657" s="214" t="s">
        <v>6311</v>
      </c>
      <c r="B657" s="214" t="s">
        <v>6312</v>
      </c>
      <c r="C657" s="133" t="s">
        <v>8</v>
      </c>
      <c r="D657" s="133" t="s">
        <v>1562</v>
      </c>
      <c r="E657" s="133" t="s">
        <v>63</v>
      </c>
      <c r="F657" s="133" t="s">
        <v>120</v>
      </c>
      <c r="G657" s="133" t="s">
        <v>8826</v>
      </c>
      <c r="H657" s="133" t="s">
        <v>8747</v>
      </c>
    </row>
    <row r="658" spans="1:8">
      <c r="A658" s="214" t="s">
        <v>8133</v>
      </c>
      <c r="B658" s="214" t="s">
        <v>198</v>
      </c>
      <c r="C658" s="133" t="s">
        <v>8132</v>
      </c>
      <c r="D658" s="133" t="s">
        <v>85</v>
      </c>
      <c r="E658" s="133" t="s">
        <v>83</v>
      </c>
      <c r="F658" s="133" t="s">
        <v>120</v>
      </c>
      <c r="G658" s="133" t="s">
        <v>8755</v>
      </c>
      <c r="H658" s="133" t="s">
        <v>8747</v>
      </c>
    </row>
    <row r="659" spans="1:8">
      <c r="A659" s="214" t="s">
        <v>2818</v>
      </c>
      <c r="B659" s="214" t="s">
        <v>2819</v>
      </c>
      <c r="C659" s="133" t="s">
        <v>8</v>
      </c>
      <c r="D659" s="133" t="s">
        <v>2054</v>
      </c>
      <c r="E659" s="133" t="s">
        <v>63</v>
      </c>
      <c r="F659" s="133" t="s">
        <v>120</v>
      </c>
      <c r="G659" s="133" t="s">
        <v>8820</v>
      </c>
      <c r="H659" s="133" t="s">
        <v>8747</v>
      </c>
    </row>
    <row r="660" spans="1:8">
      <c r="A660" s="214" t="s">
        <v>5479</v>
      </c>
      <c r="B660" s="214" t="s">
        <v>5480</v>
      </c>
      <c r="C660" s="133" t="s">
        <v>794</v>
      </c>
      <c r="D660" s="133" t="s">
        <v>796</v>
      </c>
      <c r="E660" s="133" t="s">
        <v>83</v>
      </c>
      <c r="F660" s="133" t="s">
        <v>120</v>
      </c>
      <c r="G660" s="133" t="s">
        <v>8826</v>
      </c>
      <c r="H660" s="133" t="s">
        <v>8747</v>
      </c>
    </row>
    <row r="661" spans="1:8">
      <c r="A661" s="214" t="s">
        <v>4275</v>
      </c>
      <c r="B661" s="214" t="s">
        <v>4276</v>
      </c>
      <c r="C661" s="133" t="s">
        <v>399</v>
      </c>
      <c r="D661" s="133" t="s">
        <v>2362</v>
      </c>
      <c r="E661" s="133" t="s">
        <v>83</v>
      </c>
      <c r="F661" s="133" t="s">
        <v>120</v>
      </c>
      <c r="G661" s="133" t="s">
        <v>9003</v>
      </c>
      <c r="H661" s="133" t="s">
        <v>8747</v>
      </c>
    </row>
    <row r="662" spans="1:8">
      <c r="A662" s="214" t="s">
        <v>9479</v>
      </c>
      <c r="B662" s="214" t="s">
        <v>9480</v>
      </c>
      <c r="C662" s="133" t="s">
        <v>8</v>
      </c>
      <c r="D662" s="133" t="s">
        <v>1368</v>
      </c>
      <c r="E662" s="133" t="s">
        <v>63</v>
      </c>
      <c r="F662" s="133" t="s">
        <v>120</v>
      </c>
      <c r="G662" s="133" t="s">
        <v>9032</v>
      </c>
      <c r="H662" s="133" t="s">
        <v>8747</v>
      </c>
    </row>
    <row r="663" spans="1:8">
      <c r="A663" s="214" t="s">
        <v>9481</v>
      </c>
      <c r="B663" s="214" t="s">
        <v>9482</v>
      </c>
      <c r="C663" s="133" t="s">
        <v>8</v>
      </c>
      <c r="D663" s="133" t="s">
        <v>6871</v>
      </c>
      <c r="E663" s="133" t="s">
        <v>63</v>
      </c>
      <c r="F663" s="133" t="s">
        <v>120</v>
      </c>
      <c r="G663" s="133" t="s">
        <v>9032</v>
      </c>
      <c r="H663" s="133" t="s">
        <v>8747</v>
      </c>
    </row>
    <row r="664" spans="1:8">
      <c r="A664" s="214" t="s">
        <v>6870</v>
      </c>
      <c r="B664" s="214" t="s">
        <v>6872</v>
      </c>
      <c r="C664" s="133" t="s">
        <v>8</v>
      </c>
      <c r="D664" s="133" t="s">
        <v>6871</v>
      </c>
      <c r="E664" s="133" t="s">
        <v>63</v>
      </c>
      <c r="F664" s="133" t="s">
        <v>120</v>
      </c>
      <c r="G664" s="133" t="s">
        <v>9032</v>
      </c>
      <c r="H664" s="133" t="s">
        <v>8747</v>
      </c>
    </row>
    <row r="665" spans="1:8">
      <c r="A665" s="214" t="s">
        <v>9483</v>
      </c>
      <c r="B665" s="214" t="s">
        <v>9484</v>
      </c>
      <c r="C665" s="133" t="s">
        <v>10</v>
      </c>
      <c r="D665" s="133" t="s">
        <v>8923</v>
      </c>
      <c r="E665" s="133" t="s">
        <v>63</v>
      </c>
      <c r="F665" s="133" t="s">
        <v>120</v>
      </c>
      <c r="G665" s="133" t="s">
        <v>8826</v>
      </c>
      <c r="H665" s="133" t="s">
        <v>8747</v>
      </c>
    </row>
    <row r="666" spans="1:8">
      <c r="A666" s="214" t="s">
        <v>9485</v>
      </c>
      <c r="B666" s="214" t="s">
        <v>9486</v>
      </c>
      <c r="C666" s="133" t="s">
        <v>10</v>
      </c>
      <c r="D666" s="133" t="s">
        <v>8956</v>
      </c>
      <c r="E666" s="133" t="s">
        <v>63</v>
      </c>
      <c r="F666" s="133" t="s">
        <v>120</v>
      </c>
      <c r="G666" s="133" t="s">
        <v>8826</v>
      </c>
      <c r="H666" s="133" t="s">
        <v>8747</v>
      </c>
    </row>
    <row r="667" spans="1:8">
      <c r="A667" s="214" t="s">
        <v>4471</v>
      </c>
      <c r="B667" s="214" t="s">
        <v>4472</v>
      </c>
      <c r="C667" s="133" t="s">
        <v>9</v>
      </c>
      <c r="D667" s="133" t="s">
        <v>4459</v>
      </c>
      <c r="E667" s="133" t="s">
        <v>83</v>
      </c>
      <c r="F667" s="133" t="s">
        <v>120</v>
      </c>
      <c r="G667" s="133" t="s">
        <v>8776</v>
      </c>
      <c r="H667" s="133" t="s">
        <v>8747</v>
      </c>
    </row>
    <row r="668" spans="1:8">
      <c r="A668" s="214" t="s">
        <v>1304</v>
      </c>
      <c r="B668" s="214" t="s">
        <v>1305</v>
      </c>
      <c r="C668" s="133" t="s">
        <v>9</v>
      </c>
      <c r="D668" s="133" t="s">
        <v>1286</v>
      </c>
      <c r="E668" s="133" t="s">
        <v>83</v>
      </c>
      <c r="F668" s="133" t="s">
        <v>120</v>
      </c>
      <c r="G668" s="133" t="s">
        <v>8983</v>
      </c>
      <c r="H668" s="133" t="s">
        <v>8747</v>
      </c>
    </row>
    <row r="669" spans="1:8">
      <c r="A669" s="214" t="s">
        <v>5123</v>
      </c>
      <c r="B669" s="214" t="s">
        <v>5124</v>
      </c>
      <c r="C669" s="133" t="s">
        <v>8</v>
      </c>
      <c r="D669" s="133" t="s">
        <v>1132</v>
      </c>
      <c r="E669" s="133" t="s">
        <v>63</v>
      </c>
      <c r="F669" s="133" t="s">
        <v>120</v>
      </c>
      <c r="G669" s="133" t="s">
        <v>8826</v>
      </c>
      <c r="H669" s="133" t="s">
        <v>8747</v>
      </c>
    </row>
    <row r="670" spans="1:8">
      <c r="A670" s="214" t="s">
        <v>4496</v>
      </c>
      <c r="B670" s="214" t="s">
        <v>4498</v>
      </c>
      <c r="C670" s="133" t="s">
        <v>9</v>
      </c>
      <c r="D670" s="133" t="s">
        <v>4497</v>
      </c>
      <c r="E670" s="133" t="s">
        <v>3539</v>
      </c>
      <c r="F670" s="133" t="s">
        <v>120</v>
      </c>
      <c r="G670" s="133" t="s">
        <v>8776</v>
      </c>
      <c r="H670" s="133" t="s">
        <v>8747</v>
      </c>
    </row>
    <row r="671" spans="1:8">
      <c r="A671" s="214" t="s">
        <v>2977</v>
      </c>
      <c r="B671" s="214" t="s">
        <v>2978</v>
      </c>
      <c r="C671" s="133" t="s">
        <v>8</v>
      </c>
      <c r="D671" s="133" t="s">
        <v>277</v>
      </c>
      <c r="E671" s="133" t="s">
        <v>63</v>
      </c>
      <c r="F671" s="133" t="s">
        <v>120</v>
      </c>
      <c r="G671" s="133" t="s">
        <v>8826</v>
      </c>
      <c r="H671" s="133" t="s">
        <v>8747</v>
      </c>
    </row>
    <row r="672" spans="1:8">
      <c r="A672" s="214" t="s">
        <v>9487</v>
      </c>
      <c r="B672" s="214" t="s">
        <v>9488</v>
      </c>
      <c r="C672" s="133" t="s">
        <v>10</v>
      </c>
      <c r="D672" s="133" t="s">
        <v>8956</v>
      </c>
      <c r="E672" s="133" t="s">
        <v>63</v>
      </c>
      <c r="F672" s="133" t="s">
        <v>120</v>
      </c>
      <c r="G672" s="133" t="s">
        <v>9032</v>
      </c>
      <c r="H672" s="133" t="s">
        <v>8747</v>
      </c>
    </row>
    <row r="673" spans="1:8">
      <c r="A673" s="214" t="s">
        <v>2834</v>
      </c>
      <c r="B673" s="214" t="s">
        <v>2835</v>
      </c>
      <c r="C673" s="133" t="s">
        <v>8</v>
      </c>
      <c r="D673" s="133" t="s">
        <v>2054</v>
      </c>
      <c r="E673" s="133" t="s">
        <v>63</v>
      </c>
      <c r="F673" s="133" t="s">
        <v>120</v>
      </c>
      <c r="G673" s="133" t="s">
        <v>8820</v>
      </c>
      <c r="H673" s="133" t="s">
        <v>8747</v>
      </c>
    </row>
    <row r="674" spans="1:8">
      <c r="A674" s="214" t="s">
        <v>9489</v>
      </c>
      <c r="B674" s="214" t="s">
        <v>9490</v>
      </c>
      <c r="C674" s="133" t="s">
        <v>8</v>
      </c>
      <c r="D674" s="133" t="s">
        <v>440</v>
      </c>
      <c r="E674" s="133" t="s">
        <v>63</v>
      </c>
      <c r="F674" s="133" t="s">
        <v>120</v>
      </c>
      <c r="G674" s="133" t="s">
        <v>8820</v>
      </c>
      <c r="H674" s="133" t="s">
        <v>8747</v>
      </c>
    </row>
    <row r="675" spans="1:8">
      <c r="A675" s="214" t="s">
        <v>9491</v>
      </c>
      <c r="B675" s="214" t="s">
        <v>9492</v>
      </c>
      <c r="C675" s="133" t="s">
        <v>8</v>
      </c>
      <c r="D675" s="133" t="s">
        <v>1368</v>
      </c>
      <c r="E675" s="133" t="s">
        <v>63</v>
      </c>
      <c r="F675" s="133" t="s">
        <v>120</v>
      </c>
      <c r="G675" s="133" t="s">
        <v>8820</v>
      </c>
      <c r="H675" s="133" t="s">
        <v>8747</v>
      </c>
    </row>
    <row r="676" spans="1:8">
      <c r="A676" s="214" t="s">
        <v>2838</v>
      </c>
      <c r="B676" s="214" t="s">
        <v>2839</v>
      </c>
      <c r="C676" s="133" t="s">
        <v>8</v>
      </c>
      <c r="D676" s="133" t="s">
        <v>639</v>
      </c>
      <c r="E676" s="133" t="s">
        <v>83</v>
      </c>
      <c r="F676" s="133" t="s">
        <v>120</v>
      </c>
      <c r="G676" s="133" t="s">
        <v>8820</v>
      </c>
      <c r="H676" s="133" t="s">
        <v>8747</v>
      </c>
    </row>
    <row r="677" spans="1:8">
      <c r="A677" s="214" t="s">
        <v>9493</v>
      </c>
      <c r="B677" s="214" t="s">
        <v>9494</v>
      </c>
      <c r="C677" s="133" t="s">
        <v>8</v>
      </c>
      <c r="D677" s="133" t="s">
        <v>6871</v>
      </c>
      <c r="E677" s="133" t="s">
        <v>63</v>
      </c>
      <c r="F677" s="133" t="s">
        <v>120</v>
      </c>
      <c r="G677" s="133" t="s">
        <v>9032</v>
      </c>
      <c r="H677" s="133" t="s">
        <v>8747</v>
      </c>
    </row>
    <row r="678" spans="1:8">
      <c r="A678" s="214" t="s">
        <v>5265</v>
      </c>
      <c r="B678" s="214" t="s">
        <v>4425</v>
      </c>
      <c r="C678" s="133" t="s">
        <v>9</v>
      </c>
      <c r="D678" s="133" t="s">
        <v>5149</v>
      </c>
      <c r="E678" s="133" t="s">
        <v>4392</v>
      </c>
      <c r="F678" s="133" t="s">
        <v>120</v>
      </c>
      <c r="G678" s="133" t="s">
        <v>8829</v>
      </c>
      <c r="H678" s="133" t="s">
        <v>8747</v>
      </c>
    </row>
    <row r="679" spans="1:8">
      <c r="A679" s="214" t="s">
        <v>5436</v>
      </c>
      <c r="B679" s="214" t="s">
        <v>5437</v>
      </c>
      <c r="C679" s="133" t="s">
        <v>794</v>
      </c>
      <c r="D679" s="133" t="s">
        <v>796</v>
      </c>
      <c r="E679" s="133" t="s">
        <v>83</v>
      </c>
      <c r="F679" s="133" t="s">
        <v>120</v>
      </c>
      <c r="G679" s="133" t="s">
        <v>8826</v>
      </c>
      <c r="H679" s="133" t="s">
        <v>8747</v>
      </c>
    </row>
    <row r="680" spans="1:8">
      <c r="A680" s="214" t="s">
        <v>1218</v>
      </c>
      <c r="B680" s="214" t="s">
        <v>1219</v>
      </c>
      <c r="C680" s="133" t="s">
        <v>8</v>
      </c>
      <c r="D680" s="133" t="s">
        <v>910</v>
      </c>
      <c r="E680" s="133" t="s">
        <v>83</v>
      </c>
      <c r="F680" s="133" t="s">
        <v>120</v>
      </c>
      <c r="G680" s="133" t="s">
        <v>8983</v>
      </c>
      <c r="H680" s="133" t="s">
        <v>8747</v>
      </c>
    </row>
    <row r="681" spans="1:8">
      <c r="A681" s="214" t="s">
        <v>4270</v>
      </c>
      <c r="B681" s="214" t="s">
        <v>4271</v>
      </c>
      <c r="C681" s="133" t="s">
        <v>10</v>
      </c>
      <c r="D681" s="133" t="s">
        <v>871</v>
      </c>
      <c r="E681" s="133" t="s">
        <v>83</v>
      </c>
      <c r="F681" s="133" t="s">
        <v>120</v>
      </c>
      <c r="G681" s="133" t="s">
        <v>8987</v>
      </c>
      <c r="H681" s="133" t="s">
        <v>8747</v>
      </c>
    </row>
    <row r="682" spans="1:8">
      <c r="A682" s="214" t="s">
        <v>9495</v>
      </c>
      <c r="B682" s="214" t="s">
        <v>9496</v>
      </c>
      <c r="C682" s="133" t="s">
        <v>10</v>
      </c>
      <c r="D682" s="133" t="s">
        <v>3103</v>
      </c>
      <c r="E682" s="133" t="s">
        <v>63</v>
      </c>
      <c r="F682" s="133" t="s">
        <v>120</v>
      </c>
      <c r="G682" s="133" t="s">
        <v>9032</v>
      </c>
      <c r="H682" s="133" t="s">
        <v>8747</v>
      </c>
    </row>
    <row r="683" spans="1:8">
      <c r="A683" s="214" t="s">
        <v>9497</v>
      </c>
      <c r="B683" s="214" t="s">
        <v>9498</v>
      </c>
      <c r="C683" s="133" t="s">
        <v>10</v>
      </c>
      <c r="D683" s="133" t="s">
        <v>7390</v>
      </c>
      <c r="E683" s="133" t="s">
        <v>63</v>
      </c>
      <c r="F683" s="133" t="s">
        <v>120</v>
      </c>
      <c r="G683" s="133" t="s">
        <v>8826</v>
      </c>
      <c r="H683" s="133" t="s">
        <v>8747</v>
      </c>
    </row>
    <row r="684" spans="1:8">
      <c r="A684" s="214" t="s">
        <v>9499</v>
      </c>
      <c r="B684" s="214" t="s">
        <v>9500</v>
      </c>
      <c r="C684" s="133" t="s">
        <v>10</v>
      </c>
      <c r="D684" s="133" t="s">
        <v>8905</v>
      </c>
      <c r="E684" s="133" t="s">
        <v>63</v>
      </c>
      <c r="F684" s="133" t="s">
        <v>120</v>
      </c>
      <c r="G684" s="133" t="s">
        <v>8826</v>
      </c>
      <c r="H684" s="133" t="s">
        <v>8747</v>
      </c>
    </row>
    <row r="685" spans="1:8">
      <c r="A685" s="214" t="s">
        <v>9501</v>
      </c>
      <c r="B685" s="214" t="s">
        <v>9502</v>
      </c>
      <c r="C685" s="133" t="s">
        <v>8</v>
      </c>
      <c r="D685" s="133" t="s">
        <v>2076</v>
      </c>
      <c r="E685" s="133" t="s">
        <v>63</v>
      </c>
      <c r="F685" s="133" t="s">
        <v>120</v>
      </c>
      <c r="G685" s="133" t="s">
        <v>8826</v>
      </c>
      <c r="H685" s="133" t="s">
        <v>8747</v>
      </c>
    </row>
    <row r="686" spans="1:8">
      <c r="A686" s="214" t="s">
        <v>1310</v>
      </c>
      <c r="B686" s="214" t="s">
        <v>1311</v>
      </c>
      <c r="C686" s="133" t="s">
        <v>9</v>
      </c>
      <c r="D686" s="133" t="s">
        <v>1286</v>
      </c>
      <c r="E686" s="133" t="s">
        <v>83</v>
      </c>
      <c r="F686" s="133" t="s">
        <v>120</v>
      </c>
      <c r="G686" s="133" t="s">
        <v>8983</v>
      </c>
      <c r="H686" s="133" t="s">
        <v>8747</v>
      </c>
    </row>
    <row r="687" spans="1:8">
      <c r="A687" s="214" t="s">
        <v>4867</v>
      </c>
      <c r="B687" s="214" t="s">
        <v>4868</v>
      </c>
      <c r="C687" s="133" t="s">
        <v>9</v>
      </c>
      <c r="D687" s="133" t="s">
        <v>4819</v>
      </c>
      <c r="E687" s="133" t="s">
        <v>83</v>
      </c>
      <c r="F687" s="133" t="s">
        <v>120</v>
      </c>
      <c r="G687" s="133" t="s">
        <v>8861</v>
      </c>
      <c r="H687" s="133" t="s">
        <v>8747</v>
      </c>
    </row>
    <row r="688" spans="1:8">
      <c r="A688" s="214" t="s">
        <v>9503</v>
      </c>
      <c r="B688" s="214" t="s">
        <v>9504</v>
      </c>
      <c r="C688" s="133" t="s">
        <v>8</v>
      </c>
      <c r="D688" s="133" t="s">
        <v>1368</v>
      </c>
      <c r="E688" s="133" t="s">
        <v>63</v>
      </c>
      <c r="F688" s="133" t="s">
        <v>120</v>
      </c>
      <c r="G688" s="133" t="s">
        <v>8820</v>
      </c>
      <c r="H688" s="133" t="s">
        <v>8747</v>
      </c>
    </row>
    <row r="689" spans="1:8">
      <c r="A689" s="214" t="s">
        <v>2532</v>
      </c>
      <c r="B689" s="214" t="s">
        <v>2533</v>
      </c>
      <c r="C689" s="133" t="s">
        <v>8</v>
      </c>
      <c r="D689" s="133" t="s">
        <v>339</v>
      </c>
      <c r="E689" s="133" t="s">
        <v>83</v>
      </c>
      <c r="F689" s="133" t="s">
        <v>120</v>
      </c>
      <c r="G689" s="133" t="s">
        <v>8987</v>
      </c>
      <c r="H689" s="133" t="s">
        <v>8747</v>
      </c>
    </row>
    <row r="690" spans="1:8">
      <c r="A690" s="214" t="s">
        <v>3929</v>
      </c>
      <c r="B690" s="214" t="s">
        <v>3930</v>
      </c>
      <c r="C690" s="133" t="s">
        <v>8</v>
      </c>
      <c r="D690" s="133" t="s">
        <v>1132</v>
      </c>
      <c r="E690" s="133" t="s">
        <v>63</v>
      </c>
      <c r="F690" s="133" t="s">
        <v>120</v>
      </c>
      <c r="G690" s="133" t="s">
        <v>9032</v>
      </c>
      <c r="H690" s="133" t="s">
        <v>8747</v>
      </c>
    </row>
    <row r="691" spans="1:8">
      <c r="A691" s="214" t="s">
        <v>2389</v>
      </c>
      <c r="B691" s="214" t="s">
        <v>2390</v>
      </c>
      <c r="C691" s="133" t="s">
        <v>8</v>
      </c>
      <c r="D691" s="133" t="s">
        <v>757</v>
      </c>
      <c r="E691" s="133" t="s">
        <v>63</v>
      </c>
      <c r="F691" s="133" t="s">
        <v>120</v>
      </c>
      <c r="G691" s="133" t="s">
        <v>9032</v>
      </c>
      <c r="H691" s="133" t="s">
        <v>8747</v>
      </c>
    </row>
    <row r="692" spans="1:8">
      <c r="A692" s="214" t="s">
        <v>9505</v>
      </c>
      <c r="B692" s="214" t="s">
        <v>9506</v>
      </c>
      <c r="C692" s="133" t="s">
        <v>8</v>
      </c>
      <c r="D692" s="133" t="s">
        <v>66</v>
      </c>
      <c r="E692" s="133" t="s">
        <v>63</v>
      </c>
      <c r="F692" s="133" t="s">
        <v>120</v>
      </c>
      <c r="G692" s="133" t="s">
        <v>8820</v>
      </c>
      <c r="H692" s="133" t="s">
        <v>8747</v>
      </c>
    </row>
    <row r="693" spans="1:8">
      <c r="A693" s="214" t="s">
        <v>9507</v>
      </c>
      <c r="B693" s="214" t="s">
        <v>9508</v>
      </c>
      <c r="C693" s="133" t="s">
        <v>8</v>
      </c>
      <c r="D693" s="133" t="s">
        <v>1419</v>
      </c>
      <c r="E693" s="133" t="s">
        <v>63</v>
      </c>
      <c r="F693" s="133" t="s">
        <v>120</v>
      </c>
      <c r="G693" s="133" t="s">
        <v>9032</v>
      </c>
      <c r="H693" s="133" t="s">
        <v>8747</v>
      </c>
    </row>
    <row r="694" spans="1:8">
      <c r="A694" s="214" t="s">
        <v>432</v>
      </c>
      <c r="B694" s="214" t="s">
        <v>433</v>
      </c>
      <c r="C694" s="133" t="s">
        <v>8</v>
      </c>
      <c r="D694" s="133" t="s">
        <v>339</v>
      </c>
      <c r="E694" s="133" t="s">
        <v>83</v>
      </c>
      <c r="F694" s="133" t="s">
        <v>120</v>
      </c>
      <c r="G694" s="133" t="s">
        <v>8987</v>
      </c>
      <c r="H694" s="133" t="s">
        <v>8747</v>
      </c>
    </row>
    <row r="695" spans="1:8">
      <c r="A695" s="214" t="s">
        <v>5689</v>
      </c>
      <c r="B695" s="214" t="s">
        <v>5691</v>
      </c>
      <c r="C695" s="133" t="s">
        <v>399</v>
      </c>
      <c r="D695" s="133" t="s">
        <v>5690</v>
      </c>
      <c r="E695" s="133" t="s">
        <v>83</v>
      </c>
      <c r="F695" s="133" t="s">
        <v>120</v>
      </c>
      <c r="G695" s="133" t="s">
        <v>8808</v>
      </c>
      <c r="H695" s="133" t="s">
        <v>8747</v>
      </c>
    </row>
    <row r="696" spans="1:8">
      <c r="A696" s="214" t="s">
        <v>6532</v>
      </c>
      <c r="B696" s="214" t="s">
        <v>6533</v>
      </c>
      <c r="C696" s="133" t="s">
        <v>10</v>
      </c>
      <c r="D696" s="133" t="s">
        <v>1826</v>
      </c>
      <c r="E696" s="133" t="s">
        <v>63</v>
      </c>
      <c r="F696" s="133" t="s">
        <v>120</v>
      </c>
      <c r="G696" s="133" t="s">
        <v>9032</v>
      </c>
      <c r="H696" s="133" t="s">
        <v>8747</v>
      </c>
    </row>
    <row r="697" spans="1:8">
      <c r="A697" s="214" t="s">
        <v>9509</v>
      </c>
      <c r="B697" s="214" t="s">
        <v>9510</v>
      </c>
      <c r="C697" s="133" t="s">
        <v>10</v>
      </c>
      <c r="D697" s="133" t="s">
        <v>6381</v>
      </c>
      <c r="E697" s="133" t="s">
        <v>63</v>
      </c>
      <c r="F697" s="133" t="s">
        <v>120</v>
      </c>
      <c r="G697" s="133" t="s">
        <v>8820</v>
      </c>
      <c r="H697" s="133" t="s">
        <v>8747</v>
      </c>
    </row>
    <row r="698" spans="1:8">
      <c r="A698" s="214" t="s">
        <v>9511</v>
      </c>
      <c r="B698" s="214" t="s">
        <v>9512</v>
      </c>
      <c r="C698" s="133" t="s">
        <v>10</v>
      </c>
      <c r="D698" s="133" t="s">
        <v>6148</v>
      </c>
      <c r="E698" s="133" t="s">
        <v>63</v>
      </c>
      <c r="F698" s="133" t="s">
        <v>120</v>
      </c>
      <c r="G698" s="133" t="s">
        <v>8820</v>
      </c>
      <c r="H698" s="133" t="s">
        <v>8747</v>
      </c>
    </row>
    <row r="699" spans="1:8">
      <c r="A699" s="214" t="s">
        <v>6249</v>
      </c>
      <c r="B699" s="214" t="s">
        <v>6251</v>
      </c>
      <c r="C699" s="133" t="s">
        <v>10</v>
      </c>
      <c r="D699" s="133" t="s">
        <v>6250</v>
      </c>
      <c r="E699" s="133" t="s">
        <v>63</v>
      </c>
      <c r="F699" s="133" t="s">
        <v>120</v>
      </c>
      <c r="G699" s="133" t="s">
        <v>9032</v>
      </c>
      <c r="H699" s="133" t="s">
        <v>8747</v>
      </c>
    </row>
    <row r="700" spans="1:8">
      <c r="A700" s="214" t="s">
        <v>9513</v>
      </c>
      <c r="B700" s="214" t="s">
        <v>9514</v>
      </c>
      <c r="C700" s="133" t="s">
        <v>399</v>
      </c>
      <c r="D700" s="133" t="s">
        <v>5690</v>
      </c>
      <c r="E700" s="133" t="s">
        <v>83</v>
      </c>
      <c r="F700" s="133" t="s">
        <v>120</v>
      </c>
      <c r="G700" s="133" t="s">
        <v>8808</v>
      </c>
      <c r="H700" s="133" t="s">
        <v>8747</v>
      </c>
    </row>
    <row r="701" spans="1:8">
      <c r="A701" s="214" t="s">
        <v>9515</v>
      </c>
      <c r="B701" s="214" t="s">
        <v>9516</v>
      </c>
      <c r="C701" s="133" t="s">
        <v>10</v>
      </c>
      <c r="D701" s="133" t="s">
        <v>5843</v>
      </c>
      <c r="E701" s="133" t="s">
        <v>63</v>
      </c>
      <c r="F701" s="133" t="s">
        <v>120</v>
      </c>
      <c r="G701" s="133" t="s">
        <v>9032</v>
      </c>
      <c r="H701" s="133" t="s">
        <v>8747</v>
      </c>
    </row>
    <row r="702" spans="1:8">
      <c r="A702" s="214" t="s">
        <v>2031</v>
      </c>
      <c r="B702" s="214" t="s">
        <v>1831</v>
      </c>
      <c r="C702" s="133" t="s">
        <v>8</v>
      </c>
      <c r="D702" s="133" t="s">
        <v>1047</v>
      </c>
      <c r="E702" s="133" t="s">
        <v>63</v>
      </c>
      <c r="F702" s="133" t="s">
        <v>120</v>
      </c>
      <c r="G702" s="133" t="s">
        <v>8826</v>
      </c>
      <c r="H702" s="133" t="s">
        <v>8747</v>
      </c>
    </row>
    <row r="703" spans="1:8">
      <c r="A703" s="214" t="s">
        <v>2044</v>
      </c>
      <c r="B703" s="214" t="s">
        <v>2045</v>
      </c>
      <c r="C703" s="133" t="s">
        <v>8</v>
      </c>
      <c r="D703" s="133" t="s">
        <v>818</v>
      </c>
      <c r="E703" s="133" t="s">
        <v>63</v>
      </c>
      <c r="F703" s="133" t="s">
        <v>120</v>
      </c>
      <c r="G703" s="133" t="s">
        <v>8820</v>
      </c>
      <c r="H703" s="133" t="s">
        <v>8747</v>
      </c>
    </row>
    <row r="704" spans="1:8">
      <c r="A704" s="214" t="s">
        <v>3064</v>
      </c>
      <c r="B704" s="214" t="s">
        <v>3065</v>
      </c>
      <c r="C704" s="133" t="s">
        <v>8</v>
      </c>
      <c r="D704" s="133" t="s">
        <v>1413</v>
      </c>
      <c r="E704" s="133" t="s">
        <v>63</v>
      </c>
      <c r="F704" s="133" t="s">
        <v>120</v>
      </c>
      <c r="G704" s="133" t="s">
        <v>8820</v>
      </c>
      <c r="H704" s="133" t="s">
        <v>8747</v>
      </c>
    </row>
    <row r="705" spans="1:8">
      <c r="A705" s="214" t="s">
        <v>2945</v>
      </c>
      <c r="B705" s="214" t="s">
        <v>2946</v>
      </c>
      <c r="C705" s="133" t="s">
        <v>8</v>
      </c>
      <c r="D705" s="133" t="s">
        <v>2076</v>
      </c>
      <c r="E705" s="133" t="s">
        <v>63</v>
      </c>
      <c r="F705" s="133" t="s">
        <v>120</v>
      </c>
      <c r="G705" s="133" t="s">
        <v>8820</v>
      </c>
      <c r="H705" s="133" t="s">
        <v>8747</v>
      </c>
    </row>
    <row r="706" spans="1:8">
      <c r="A706" s="214" t="s">
        <v>2465</v>
      </c>
      <c r="B706" s="214" t="s">
        <v>2466</v>
      </c>
      <c r="C706" s="133" t="s">
        <v>8</v>
      </c>
      <c r="D706" s="133" t="s">
        <v>1562</v>
      </c>
      <c r="E706" s="133" t="s">
        <v>63</v>
      </c>
      <c r="F706" s="133" t="s">
        <v>120</v>
      </c>
      <c r="G706" s="133" t="s">
        <v>9032</v>
      </c>
      <c r="H706" s="133" t="s">
        <v>8747</v>
      </c>
    </row>
    <row r="707" spans="1:8">
      <c r="A707" s="214" t="s">
        <v>5549</v>
      </c>
      <c r="B707" s="214" t="s">
        <v>5550</v>
      </c>
      <c r="C707" s="133" t="s">
        <v>8</v>
      </c>
      <c r="D707" s="133" t="s">
        <v>1132</v>
      </c>
      <c r="E707" s="133" t="s">
        <v>63</v>
      </c>
      <c r="F707" s="133" t="s">
        <v>120</v>
      </c>
      <c r="G707" s="133" t="s">
        <v>8820</v>
      </c>
      <c r="H707" s="133" t="s">
        <v>8747</v>
      </c>
    </row>
    <row r="708" spans="1:8">
      <c r="A708" s="214" t="s">
        <v>716</v>
      </c>
      <c r="B708" s="214" t="s">
        <v>717</v>
      </c>
      <c r="C708" s="133" t="s">
        <v>8</v>
      </c>
      <c r="D708" s="133" t="s">
        <v>686</v>
      </c>
      <c r="E708" s="133" t="s">
        <v>63</v>
      </c>
      <c r="F708" s="133" t="s">
        <v>120</v>
      </c>
      <c r="G708" s="133" t="s">
        <v>9032</v>
      </c>
      <c r="H708" s="133" t="s">
        <v>8747</v>
      </c>
    </row>
    <row r="709" spans="1:8">
      <c r="A709" s="214" t="s">
        <v>9517</v>
      </c>
      <c r="B709" s="214" t="s">
        <v>9518</v>
      </c>
      <c r="C709" s="133" t="s">
        <v>8</v>
      </c>
      <c r="D709" s="133" t="s">
        <v>277</v>
      </c>
      <c r="E709" s="133" t="s">
        <v>63</v>
      </c>
      <c r="F709" s="133" t="s">
        <v>120</v>
      </c>
      <c r="G709" s="133" t="s">
        <v>8820</v>
      </c>
      <c r="H709" s="133" t="s">
        <v>8747</v>
      </c>
    </row>
    <row r="710" spans="1:8">
      <c r="A710" s="214" t="s">
        <v>9519</v>
      </c>
      <c r="B710" s="214" t="s">
        <v>9520</v>
      </c>
      <c r="C710" s="133" t="s">
        <v>8</v>
      </c>
      <c r="D710" s="133" t="s">
        <v>1132</v>
      </c>
      <c r="E710" s="133" t="s">
        <v>63</v>
      </c>
      <c r="F710" s="133" t="s">
        <v>120</v>
      </c>
      <c r="G710" s="133" t="s">
        <v>9032</v>
      </c>
      <c r="H710" s="133" t="s">
        <v>8747</v>
      </c>
    </row>
    <row r="711" spans="1:8">
      <c r="A711" s="214" t="s">
        <v>1085</v>
      </c>
      <c r="B711" s="214" t="s">
        <v>1086</v>
      </c>
      <c r="C711" s="133" t="s">
        <v>8</v>
      </c>
      <c r="D711" s="133" t="s">
        <v>809</v>
      </c>
      <c r="E711" s="133" t="s">
        <v>63</v>
      </c>
      <c r="F711" s="133" t="s">
        <v>120</v>
      </c>
      <c r="G711" s="133" t="s">
        <v>8986</v>
      </c>
      <c r="H711" s="133" t="s">
        <v>8747</v>
      </c>
    </row>
    <row r="712" spans="1:8">
      <c r="A712" s="214" t="s">
        <v>1066</v>
      </c>
      <c r="B712" s="214" t="s">
        <v>1067</v>
      </c>
      <c r="C712" s="133" t="s">
        <v>8</v>
      </c>
      <c r="D712" s="133" t="s">
        <v>809</v>
      </c>
      <c r="E712" s="133" t="s">
        <v>63</v>
      </c>
      <c r="F712" s="133" t="s">
        <v>120</v>
      </c>
      <c r="G712" s="133" t="s">
        <v>8986</v>
      </c>
      <c r="H712" s="133" t="s">
        <v>8747</v>
      </c>
    </row>
    <row r="713" spans="1:8">
      <c r="A713" s="214" t="s">
        <v>9521</v>
      </c>
      <c r="B713" s="214" t="s">
        <v>9522</v>
      </c>
      <c r="C713" s="133" t="s">
        <v>8</v>
      </c>
      <c r="D713" s="133" t="s">
        <v>1406</v>
      </c>
      <c r="E713" s="133" t="s">
        <v>63</v>
      </c>
      <c r="F713" s="133" t="s">
        <v>120</v>
      </c>
      <c r="G713" s="133" t="s">
        <v>8820</v>
      </c>
      <c r="H713" s="133" t="s">
        <v>8747</v>
      </c>
    </row>
    <row r="714" spans="1:8">
      <c r="A714" s="214" t="s">
        <v>9523</v>
      </c>
      <c r="B714" s="214" t="s">
        <v>9524</v>
      </c>
      <c r="C714" s="133" t="s">
        <v>8</v>
      </c>
      <c r="D714" s="133" t="s">
        <v>1406</v>
      </c>
      <c r="E714" s="133" t="s">
        <v>63</v>
      </c>
      <c r="F714" s="133" t="s">
        <v>120</v>
      </c>
      <c r="G714" s="133" t="s">
        <v>8820</v>
      </c>
      <c r="H714" s="133" t="s">
        <v>8747</v>
      </c>
    </row>
    <row r="715" spans="1:8">
      <c r="A715" s="214" t="s">
        <v>9525</v>
      </c>
      <c r="B715" s="214" t="s">
        <v>9526</v>
      </c>
      <c r="C715" s="133" t="s">
        <v>8</v>
      </c>
      <c r="D715" s="133" t="s">
        <v>2380</v>
      </c>
      <c r="E715" s="133" t="s">
        <v>63</v>
      </c>
      <c r="F715" s="133" t="s">
        <v>120</v>
      </c>
      <c r="G715" s="133" t="s">
        <v>8820</v>
      </c>
      <c r="H715" s="133" t="s">
        <v>8747</v>
      </c>
    </row>
    <row r="716" spans="1:8">
      <c r="A716" s="214" t="s">
        <v>9527</v>
      </c>
      <c r="B716" s="214" t="s">
        <v>9528</v>
      </c>
      <c r="C716" s="133" t="s">
        <v>8</v>
      </c>
      <c r="D716" s="133" t="s">
        <v>9096</v>
      </c>
      <c r="E716" s="133" t="s">
        <v>83</v>
      </c>
      <c r="F716" s="133" t="s">
        <v>120</v>
      </c>
      <c r="G716" s="133" t="s">
        <v>8987</v>
      </c>
      <c r="H716" s="133" t="s">
        <v>8747</v>
      </c>
    </row>
    <row r="717" spans="1:8">
      <c r="A717" s="214" t="s">
        <v>9529</v>
      </c>
      <c r="B717" s="214" t="s">
        <v>9530</v>
      </c>
      <c r="C717" s="133" t="s">
        <v>8</v>
      </c>
      <c r="D717" s="133" t="s">
        <v>1132</v>
      </c>
      <c r="E717" s="133" t="s">
        <v>63</v>
      </c>
      <c r="F717" s="133" t="s">
        <v>120</v>
      </c>
      <c r="G717" s="133" t="s">
        <v>8820</v>
      </c>
      <c r="H717" s="133" t="s">
        <v>8747</v>
      </c>
    </row>
    <row r="718" spans="1:8">
      <c r="A718" s="214" t="s">
        <v>1253</v>
      </c>
      <c r="B718" s="214" t="s">
        <v>1254</v>
      </c>
      <c r="C718" s="133" t="s">
        <v>8</v>
      </c>
      <c r="D718" s="133" t="s">
        <v>895</v>
      </c>
      <c r="E718" s="133" t="s">
        <v>63</v>
      </c>
      <c r="F718" s="133" t="s">
        <v>120</v>
      </c>
      <c r="G718" s="133" t="s">
        <v>9104</v>
      </c>
      <c r="H718" s="133" t="s">
        <v>8747</v>
      </c>
    </row>
    <row r="719" spans="1:8">
      <c r="A719" s="214" t="s">
        <v>9531</v>
      </c>
      <c r="B719" s="214" t="s">
        <v>9532</v>
      </c>
      <c r="C719" s="133" t="s">
        <v>10</v>
      </c>
      <c r="D719" s="133" t="s">
        <v>8021</v>
      </c>
      <c r="E719" s="133" t="s">
        <v>63</v>
      </c>
      <c r="F719" s="133" t="s">
        <v>120</v>
      </c>
      <c r="G719" s="133" t="s">
        <v>8826</v>
      </c>
      <c r="H719" s="133" t="s">
        <v>8747</v>
      </c>
    </row>
    <row r="720" spans="1:8">
      <c r="A720" s="214" t="s">
        <v>9533</v>
      </c>
      <c r="B720" s="214" t="s">
        <v>9534</v>
      </c>
      <c r="C720" s="133" t="s">
        <v>794</v>
      </c>
      <c r="D720" s="133" t="s">
        <v>796</v>
      </c>
      <c r="E720" s="133" t="s">
        <v>83</v>
      </c>
      <c r="F720" s="133" t="s">
        <v>120</v>
      </c>
      <c r="G720" s="133" t="s">
        <v>8826</v>
      </c>
      <c r="H720" s="133" t="s">
        <v>8747</v>
      </c>
    </row>
    <row r="721" spans="1:8">
      <c r="A721" s="214" t="s">
        <v>9535</v>
      </c>
      <c r="B721" s="214" t="s">
        <v>9536</v>
      </c>
      <c r="C721" s="133" t="s">
        <v>8</v>
      </c>
      <c r="D721" s="133" t="s">
        <v>440</v>
      </c>
      <c r="E721" s="133" t="s">
        <v>63</v>
      </c>
      <c r="F721" s="133" t="s">
        <v>120</v>
      </c>
      <c r="G721" s="133" t="s">
        <v>8820</v>
      </c>
      <c r="H721" s="133" t="s">
        <v>8747</v>
      </c>
    </row>
    <row r="722" spans="1:8">
      <c r="A722" s="214" t="s">
        <v>7383</v>
      </c>
      <c r="B722" s="214" t="s">
        <v>7384</v>
      </c>
      <c r="C722" s="133" t="s">
        <v>10</v>
      </c>
      <c r="D722" s="133" t="s">
        <v>5893</v>
      </c>
      <c r="E722" s="133" t="s">
        <v>63</v>
      </c>
      <c r="F722" s="133" t="s">
        <v>120</v>
      </c>
      <c r="G722" s="133" t="s">
        <v>8820</v>
      </c>
      <c r="H722" s="133" t="s">
        <v>8747</v>
      </c>
    </row>
    <row r="723" spans="1:8">
      <c r="A723" s="214" t="s">
        <v>9537</v>
      </c>
      <c r="B723" s="214" t="s">
        <v>9538</v>
      </c>
      <c r="C723" s="133" t="s">
        <v>10</v>
      </c>
      <c r="D723" s="133" t="s">
        <v>6405</v>
      </c>
      <c r="E723" s="133" t="s">
        <v>63</v>
      </c>
      <c r="F723" s="133" t="s">
        <v>120</v>
      </c>
      <c r="G723" s="133" t="s">
        <v>8820</v>
      </c>
      <c r="H723" s="133" t="s">
        <v>8747</v>
      </c>
    </row>
    <row r="724" spans="1:8">
      <c r="A724" s="214" t="s">
        <v>9539</v>
      </c>
      <c r="B724" s="214" t="s">
        <v>9540</v>
      </c>
      <c r="C724" s="133" t="s">
        <v>8</v>
      </c>
      <c r="D724" s="133" t="s">
        <v>2214</v>
      </c>
      <c r="E724" s="133" t="s">
        <v>63</v>
      </c>
      <c r="F724" s="133" t="s">
        <v>120</v>
      </c>
      <c r="G724" s="133" t="s">
        <v>8826</v>
      </c>
      <c r="H724" s="133" t="s">
        <v>8747</v>
      </c>
    </row>
    <row r="725" spans="1:8">
      <c r="A725" s="214" t="s">
        <v>5450</v>
      </c>
      <c r="B725" s="214" t="s">
        <v>5451</v>
      </c>
      <c r="C725" s="133" t="s">
        <v>794</v>
      </c>
      <c r="D725" s="133" t="s">
        <v>796</v>
      </c>
      <c r="E725" s="133" t="s">
        <v>83</v>
      </c>
      <c r="F725" s="133" t="s">
        <v>120</v>
      </c>
      <c r="G725" s="133" t="s">
        <v>8826</v>
      </c>
      <c r="H725" s="133" t="s">
        <v>8747</v>
      </c>
    </row>
    <row r="726" spans="1:8">
      <c r="A726" s="214" t="s">
        <v>9541</v>
      </c>
      <c r="B726" s="214" t="s">
        <v>9542</v>
      </c>
      <c r="C726" s="133" t="s">
        <v>10</v>
      </c>
      <c r="D726" s="133" t="s">
        <v>3855</v>
      </c>
      <c r="E726" s="133" t="s">
        <v>63</v>
      </c>
      <c r="F726" s="133" t="s">
        <v>120</v>
      </c>
      <c r="G726" s="133" t="s">
        <v>8826</v>
      </c>
      <c r="H726" s="133" t="s">
        <v>8747</v>
      </c>
    </row>
    <row r="727" spans="1:8">
      <c r="A727" s="214" t="s">
        <v>5394</v>
      </c>
      <c r="B727" s="214" t="s">
        <v>5395</v>
      </c>
      <c r="C727" s="133" t="s">
        <v>794</v>
      </c>
      <c r="D727" s="133" t="s">
        <v>5388</v>
      </c>
      <c r="E727" s="133" t="s">
        <v>83</v>
      </c>
      <c r="F727" s="133" t="s">
        <v>120</v>
      </c>
      <c r="G727" s="133" t="s">
        <v>8826</v>
      </c>
      <c r="H727" s="133" t="s">
        <v>8747</v>
      </c>
    </row>
    <row r="728" spans="1:8">
      <c r="A728" s="214" t="s">
        <v>8672</v>
      </c>
      <c r="B728" s="214" t="s">
        <v>9543</v>
      </c>
      <c r="C728" s="133" t="s">
        <v>8</v>
      </c>
      <c r="D728" s="133" t="s">
        <v>2380</v>
      </c>
      <c r="E728" s="133" t="s">
        <v>63</v>
      </c>
      <c r="F728" s="133" t="s">
        <v>120</v>
      </c>
      <c r="G728" s="133" t="s">
        <v>8826</v>
      </c>
      <c r="H728" s="133" t="s">
        <v>8747</v>
      </c>
    </row>
    <row r="729" spans="1:8">
      <c r="A729" s="214" t="s">
        <v>9544</v>
      </c>
      <c r="B729" s="214" t="s">
        <v>9545</v>
      </c>
      <c r="C729" s="133" t="s">
        <v>10</v>
      </c>
      <c r="D729" s="133" t="s">
        <v>6250</v>
      </c>
      <c r="E729" s="133" t="s">
        <v>63</v>
      </c>
      <c r="F729" s="133" t="s">
        <v>120</v>
      </c>
      <c r="G729" s="133" t="s">
        <v>8826</v>
      </c>
      <c r="H729" s="133" t="s">
        <v>8747</v>
      </c>
    </row>
    <row r="730" spans="1:8">
      <c r="A730" s="214" t="s">
        <v>9546</v>
      </c>
      <c r="B730" s="214" t="s">
        <v>9547</v>
      </c>
      <c r="C730" s="133" t="s">
        <v>8</v>
      </c>
      <c r="D730" s="133" t="s">
        <v>8884</v>
      </c>
      <c r="E730" s="133" t="s">
        <v>63</v>
      </c>
      <c r="F730" s="133" t="s">
        <v>120</v>
      </c>
      <c r="G730" s="133" t="s">
        <v>8826</v>
      </c>
      <c r="H730" s="133" t="s">
        <v>8747</v>
      </c>
    </row>
    <row r="731" spans="1:8">
      <c r="A731" s="214" t="s">
        <v>9548</v>
      </c>
      <c r="B731" s="214" t="s">
        <v>9549</v>
      </c>
      <c r="C731" s="133" t="s">
        <v>10</v>
      </c>
      <c r="D731" s="133" t="s">
        <v>8905</v>
      </c>
      <c r="E731" s="133" t="s">
        <v>63</v>
      </c>
      <c r="F731" s="133" t="s">
        <v>120</v>
      </c>
      <c r="G731" s="133" t="s">
        <v>8826</v>
      </c>
      <c r="H731" s="133" t="s">
        <v>8747</v>
      </c>
    </row>
    <row r="732" spans="1:8">
      <c r="A732" s="214" t="s">
        <v>9550</v>
      </c>
      <c r="B732" s="214" t="s">
        <v>9551</v>
      </c>
      <c r="C732" s="133" t="s">
        <v>178</v>
      </c>
      <c r="D732" s="133" t="s">
        <v>9071</v>
      </c>
      <c r="E732" s="133" t="s">
        <v>178</v>
      </c>
      <c r="F732" s="133" t="s">
        <v>120</v>
      </c>
      <c r="G732" s="133" t="s">
        <v>8826</v>
      </c>
      <c r="H732" s="133" t="s">
        <v>8747</v>
      </c>
    </row>
    <row r="733" spans="1:8">
      <c r="A733" s="214" t="s">
        <v>9552</v>
      </c>
      <c r="B733" s="214" t="s">
        <v>9553</v>
      </c>
      <c r="C733" s="133" t="s">
        <v>178</v>
      </c>
      <c r="D733" s="133" t="s">
        <v>9071</v>
      </c>
      <c r="E733" s="133" t="s">
        <v>178</v>
      </c>
      <c r="F733" s="133" t="s">
        <v>120</v>
      </c>
      <c r="G733" s="133" t="s">
        <v>9072</v>
      </c>
      <c r="H733" s="133" t="s">
        <v>8747</v>
      </c>
    </row>
    <row r="734" spans="1:8">
      <c r="A734" s="214" t="s">
        <v>6373</v>
      </c>
      <c r="B734" s="214" t="s">
        <v>6375</v>
      </c>
      <c r="C734" s="133" t="s">
        <v>10</v>
      </c>
      <c r="D734" s="133" t="s">
        <v>6374</v>
      </c>
      <c r="E734" s="133" t="s">
        <v>63</v>
      </c>
      <c r="F734" s="133" t="s">
        <v>120</v>
      </c>
      <c r="G734" s="133" t="s">
        <v>9032</v>
      </c>
      <c r="H734" s="133" t="s">
        <v>8747</v>
      </c>
    </row>
    <row r="735" spans="1:8">
      <c r="A735" s="214" t="s">
        <v>9554</v>
      </c>
      <c r="B735" s="214" t="s">
        <v>9555</v>
      </c>
      <c r="C735" s="133" t="s">
        <v>10</v>
      </c>
      <c r="D735" s="133" t="s">
        <v>5893</v>
      </c>
      <c r="E735" s="133" t="s">
        <v>63</v>
      </c>
      <c r="F735" s="133" t="s">
        <v>120</v>
      </c>
      <c r="G735" s="133" t="s">
        <v>8820</v>
      </c>
      <c r="H735" s="133" t="s">
        <v>8747</v>
      </c>
    </row>
    <row r="736" spans="1:8">
      <c r="A736" s="214" t="s">
        <v>3074</v>
      </c>
      <c r="B736" s="214" t="s">
        <v>3075</v>
      </c>
      <c r="C736" s="133" t="s">
        <v>8</v>
      </c>
      <c r="D736" s="133" t="s">
        <v>440</v>
      </c>
      <c r="E736" s="133" t="s">
        <v>63</v>
      </c>
      <c r="F736" s="133" t="s">
        <v>120</v>
      </c>
      <c r="G736" s="133" t="s">
        <v>8820</v>
      </c>
      <c r="H736" s="133" t="s">
        <v>8747</v>
      </c>
    </row>
    <row r="737" spans="1:8">
      <c r="A737" s="214" t="s">
        <v>9556</v>
      </c>
      <c r="B737" s="214" t="s">
        <v>9557</v>
      </c>
      <c r="C737" s="133" t="s">
        <v>8</v>
      </c>
      <c r="D737" s="133" t="s">
        <v>6871</v>
      </c>
      <c r="E737" s="133" t="s">
        <v>63</v>
      </c>
      <c r="F737" s="133" t="s">
        <v>120</v>
      </c>
      <c r="G737" s="133" t="s">
        <v>9032</v>
      </c>
      <c r="H737" s="133" t="s">
        <v>8747</v>
      </c>
    </row>
    <row r="738" spans="1:8">
      <c r="A738" s="214" t="s">
        <v>5498</v>
      </c>
      <c r="B738" s="214" t="s">
        <v>5499</v>
      </c>
      <c r="C738" s="133" t="s">
        <v>794</v>
      </c>
      <c r="D738" s="133" t="s">
        <v>5492</v>
      </c>
      <c r="E738" s="133" t="s">
        <v>83</v>
      </c>
      <c r="F738" s="133" t="s">
        <v>120</v>
      </c>
      <c r="G738" s="133" t="s">
        <v>8826</v>
      </c>
      <c r="H738" s="133" t="s">
        <v>8747</v>
      </c>
    </row>
    <row r="739" spans="1:8">
      <c r="A739" s="214" t="s">
        <v>4288</v>
      </c>
      <c r="B739" s="214" t="s">
        <v>4289</v>
      </c>
      <c r="C739" s="133" t="s">
        <v>10</v>
      </c>
      <c r="D739" s="133" t="s">
        <v>4282</v>
      </c>
      <c r="E739" s="133" t="s">
        <v>83</v>
      </c>
      <c r="F739" s="133" t="s">
        <v>120</v>
      </c>
      <c r="G739" s="133" t="s">
        <v>8826</v>
      </c>
      <c r="H739" s="133" t="s">
        <v>8747</v>
      </c>
    </row>
    <row r="740" spans="1:8">
      <c r="A740" s="214" t="s">
        <v>9558</v>
      </c>
      <c r="B740" s="214" t="s">
        <v>9559</v>
      </c>
      <c r="C740" s="133" t="s">
        <v>8</v>
      </c>
      <c r="D740" s="133" t="s">
        <v>6871</v>
      </c>
      <c r="E740" s="133" t="s">
        <v>63</v>
      </c>
      <c r="F740" s="133" t="s">
        <v>120</v>
      </c>
      <c r="G740" s="133" t="s">
        <v>9032</v>
      </c>
      <c r="H740" s="133" t="s">
        <v>8747</v>
      </c>
    </row>
    <row r="741" spans="1:8">
      <c r="A741" s="214" t="s">
        <v>9560</v>
      </c>
      <c r="B741" s="214" t="s">
        <v>9561</v>
      </c>
      <c r="C741" s="133" t="s">
        <v>8</v>
      </c>
      <c r="D741" s="133" t="s">
        <v>440</v>
      </c>
      <c r="E741" s="133" t="s">
        <v>63</v>
      </c>
      <c r="F741" s="133" t="s">
        <v>120</v>
      </c>
      <c r="G741" s="133" t="s">
        <v>8820</v>
      </c>
      <c r="H741" s="133" t="s">
        <v>8747</v>
      </c>
    </row>
    <row r="742" spans="1:8">
      <c r="A742" s="214" t="s">
        <v>9562</v>
      </c>
      <c r="B742" s="214" t="s">
        <v>9563</v>
      </c>
      <c r="C742" s="133" t="s">
        <v>8</v>
      </c>
      <c r="D742" s="133" t="s">
        <v>918</v>
      </c>
      <c r="E742" s="133" t="s">
        <v>83</v>
      </c>
      <c r="F742" s="133" t="s">
        <v>120</v>
      </c>
      <c r="G742" s="133" t="s">
        <v>8986</v>
      </c>
      <c r="H742" s="133" t="s">
        <v>8747</v>
      </c>
    </row>
    <row r="743" spans="1:8">
      <c r="A743" s="214" t="s">
        <v>9564</v>
      </c>
      <c r="B743" s="214" t="s">
        <v>9565</v>
      </c>
      <c r="C743" s="133" t="s">
        <v>8</v>
      </c>
      <c r="D743" s="133" t="s">
        <v>1047</v>
      </c>
      <c r="E743" s="133" t="s">
        <v>63</v>
      </c>
      <c r="F743" s="133" t="s">
        <v>120</v>
      </c>
      <c r="G743" s="133" t="s">
        <v>8820</v>
      </c>
      <c r="H743" s="133" t="s">
        <v>8747</v>
      </c>
    </row>
    <row r="744" spans="1:8">
      <c r="A744" s="214" t="s">
        <v>2636</v>
      </c>
      <c r="B744" s="214" t="s">
        <v>2637</v>
      </c>
      <c r="C744" s="133" t="s">
        <v>8</v>
      </c>
      <c r="D744" s="133" t="s">
        <v>995</v>
      </c>
      <c r="E744" s="133" t="s">
        <v>63</v>
      </c>
      <c r="F744" s="133" t="s">
        <v>120</v>
      </c>
      <c r="G744" s="133" t="s">
        <v>9032</v>
      </c>
      <c r="H744" s="133" t="s">
        <v>8747</v>
      </c>
    </row>
    <row r="745" spans="1:8">
      <c r="A745" s="214" t="s">
        <v>6626</v>
      </c>
      <c r="B745" s="214" t="s">
        <v>6627</v>
      </c>
      <c r="C745" s="133" t="s">
        <v>8</v>
      </c>
      <c r="D745" s="133" t="s">
        <v>1132</v>
      </c>
      <c r="E745" s="133" t="s">
        <v>63</v>
      </c>
      <c r="F745" s="133" t="s">
        <v>120</v>
      </c>
      <c r="G745" s="133" t="s">
        <v>8820</v>
      </c>
      <c r="H745" s="133" t="s">
        <v>8747</v>
      </c>
    </row>
    <row r="746" spans="1:8">
      <c r="A746" s="214" t="s">
        <v>3510</v>
      </c>
      <c r="B746" s="214" t="s">
        <v>3511</v>
      </c>
      <c r="C746" s="133" t="s">
        <v>8</v>
      </c>
      <c r="D746" s="133" t="s">
        <v>818</v>
      </c>
      <c r="E746" s="133" t="s">
        <v>63</v>
      </c>
      <c r="F746" s="133" t="s">
        <v>120</v>
      </c>
      <c r="G746" s="133" t="s">
        <v>8820</v>
      </c>
      <c r="H746" s="133" t="s">
        <v>8747</v>
      </c>
    </row>
    <row r="747" spans="1:8">
      <c r="A747" s="214" t="s">
        <v>9566</v>
      </c>
      <c r="B747" s="214" t="s">
        <v>9567</v>
      </c>
      <c r="C747" s="133" t="s">
        <v>8</v>
      </c>
      <c r="D747" s="133" t="s">
        <v>1398</v>
      </c>
      <c r="E747" s="133" t="s">
        <v>63</v>
      </c>
      <c r="F747" s="133" t="s">
        <v>120</v>
      </c>
      <c r="G747" s="133" t="s">
        <v>8820</v>
      </c>
      <c r="H747" s="133" t="s">
        <v>8747</v>
      </c>
    </row>
    <row r="748" spans="1:8">
      <c r="A748" s="214" t="s">
        <v>9568</v>
      </c>
      <c r="B748" s="214" t="s">
        <v>9569</v>
      </c>
      <c r="C748" s="133" t="s">
        <v>8</v>
      </c>
      <c r="D748" s="133" t="s">
        <v>2380</v>
      </c>
      <c r="E748" s="133" t="s">
        <v>63</v>
      </c>
      <c r="F748" s="133" t="s">
        <v>120</v>
      </c>
      <c r="G748" s="133" t="s">
        <v>9032</v>
      </c>
      <c r="H748" s="133" t="s">
        <v>8747</v>
      </c>
    </row>
    <row r="749" spans="1:8">
      <c r="A749" s="214" t="s">
        <v>1046</v>
      </c>
      <c r="B749" s="214" t="s">
        <v>1048</v>
      </c>
      <c r="C749" s="133" t="s">
        <v>8</v>
      </c>
      <c r="D749" s="133" t="s">
        <v>1047</v>
      </c>
      <c r="E749" s="133" t="s">
        <v>63</v>
      </c>
      <c r="F749" s="133" t="s">
        <v>120</v>
      </c>
      <c r="G749" s="133" t="s">
        <v>9032</v>
      </c>
      <c r="H749" s="133" t="s">
        <v>8747</v>
      </c>
    </row>
    <row r="750" spans="1:8">
      <c r="A750" s="214" t="s">
        <v>9570</v>
      </c>
      <c r="B750" s="214" t="s">
        <v>9571</v>
      </c>
      <c r="C750" s="133" t="s">
        <v>8</v>
      </c>
      <c r="D750" s="133" t="s">
        <v>277</v>
      </c>
      <c r="E750" s="133" t="s">
        <v>63</v>
      </c>
      <c r="F750" s="133" t="s">
        <v>120</v>
      </c>
      <c r="G750" s="133" t="s">
        <v>8820</v>
      </c>
      <c r="H750" s="133" t="s">
        <v>8747</v>
      </c>
    </row>
    <row r="751" spans="1:8">
      <c r="A751" s="214" t="s">
        <v>9572</v>
      </c>
      <c r="B751" s="214" t="s">
        <v>9573</v>
      </c>
      <c r="C751" s="133" t="s">
        <v>8</v>
      </c>
      <c r="D751" s="133" t="s">
        <v>1368</v>
      </c>
      <c r="E751" s="133" t="s">
        <v>63</v>
      </c>
      <c r="F751" s="133" t="s">
        <v>120</v>
      </c>
      <c r="G751" s="133" t="s">
        <v>8820</v>
      </c>
      <c r="H751" s="133" t="s">
        <v>8747</v>
      </c>
    </row>
    <row r="752" spans="1:8">
      <c r="A752" s="214" t="s">
        <v>6688</v>
      </c>
      <c r="B752" s="214" t="s">
        <v>6689</v>
      </c>
      <c r="C752" s="133" t="s">
        <v>8</v>
      </c>
      <c r="D752" s="133" t="s">
        <v>1132</v>
      </c>
      <c r="E752" s="133" t="s">
        <v>63</v>
      </c>
      <c r="F752" s="133" t="s">
        <v>120</v>
      </c>
      <c r="G752" s="133" t="s">
        <v>8820</v>
      </c>
      <c r="H752" s="133" t="s">
        <v>8747</v>
      </c>
    </row>
    <row r="753" spans="1:8">
      <c r="A753" s="214" t="s">
        <v>9574</v>
      </c>
      <c r="B753" s="214" t="s">
        <v>9575</v>
      </c>
      <c r="C753" s="133" t="s">
        <v>8</v>
      </c>
      <c r="D753" s="133" t="s">
        <v>66</v>
      </c>
      <c r="E753" s="133" t="s">
        <v>63</v>
      </c>
      <c r="F753" s="133" t="s">
        <v>120</v>
      </c>
      <c r="G753" s="133" t="s">
        <v>8820</v>
      </c>
      <c r="H753" s="133" t="s">
        <v>8747</v>
      </c>
    </row>
    <row r="754" spans="1:8">
      <c r="A754" s="214" t="s">
        <v>2305</v>
      </c>
      <c r="B754" s="214" t="s">
        <v>2306</v>
      </c>
      <c r="C754" s="133" t="s">
        <v>8</v>
      </c>
      <c r="D754" s="133" t="s">
        <v>8868</v>
      </c>
      <c r="E754" s="133" t="s">
        <v>63</v>
      </c>
      <c r="F754" s="133" t="s">
        <v>120</v>
      </c>
      <c r="G754" s="133" t="s">
        <v>9032</v>
      </c>
      <c r="H754" s="133" t="s">
        <v>8747</v>
      </c>
    </row>
    <row r="755" spans="1:8">
      <c r="A755" s="214" t="s">
        <v>9576</v>
      </c>
      <c r="B755" s="214" t="s">
        <v>9577</v>
      </c>
      <c r="C755" s="133" t="s">
        <v>8</v>
      </c>
      <c r="D755" s="133" t="s">
        <v>932</v>
      </c>
      <c r="E755" s="133" t="s">
        <v>83</v>
      </c>
      <c r="F755" s="133" t="s">
        <v>120</v>
      </c>
      <c r="G755" s="133" t="s">
        <v>8784</v>
      </c>
      <c r="H755" s="133" t="s">
        <v>8747</v>
      </c>
    </row>
    <row r="756" spans="1:8">
      <c r="A756" s="214" t="s">
        <v>2865</v>
      </c>
      <c r="B756" s="214" t="s">
        <v>2866</v>
      </c>
      <c r="C756" s="133" t="s">
        <v>8</v>
      </c>
      <c r="D756" s="133" t="s">
        <v>2054</v>
      </c>
      <c r="E756" s="133" t="s">
        <v>63</v>
      </c>
      <c r="F756" s="133" t="s">
        <v>120</v>
      </c>
      <c r="G756" s="133" t="s">
        <v>8820</v>
      </c>
      <c r="H756" s="133" t="s">
        <v>8747</v>
      </c>
    </row>
    <row r="757" spans="1:8">
      <c r="A757" s="214" t="s">
        <v>9578</v>
      </c>
      <c r="B757" s="214" t="s">
        <v>9579</v>
      </c>
      <c r="C757" s="133" t="s">
        <v>8</v>
      </c>
      <c r="D757" s="133" t="s">
        <v>2299</v>
      </c>
      <c r="E757" s="133" t="s">
        <v>63</v>
      </c>
      <c r="F757" s="133" t="s">
        <v>120</v>
      </c>
      <c r="G757" s="133" t="s">
        <v>8820</v>
      </c>
      <c r="H757" s="133" t="s">
        <v>8747</v>
      </c>
    </row>
    <row r="758" spans="1:8">
      <c r="A758" s="214" t="s">
        <v>763</v>
      </c>
      <c r="B758" s="214" t="s">
        <v>764</v>
      </c>
      <c r="C758" s="133" t="s">
        <v>8</v>
      </c>
      <c r="D758" s="133" t="s">
        <v>488</v>
      </c>
      <c r="E758" s="133" t="s">
        <v>83</v>
      </c>
      <c r="F758" s="133" t="s">
        <v>120</v>
      </c>
      <c r="G758" s="133" t="s">
        <v>8820</v>
      </c>
      <c r="H758" s="133" t="s">
        <v>8747</v>
      </c>
    </row>
    <row r="759" spans="1:8">
      <c r="A759" s="214" t="s">
        <v>2795</v>
      </c>
      <c r="B759" s="214" t="s">
        <v>2796</v>
      </c>
      <c r="C759" s="133" t="s">
        <v>8</v>
      </c>
      <c r="D759" s="133" t="s">
        <v>2054</v>
      </c>
      <c r="E759" s="133" t="s">
        <v>63</v>
      </c>
      <c r="F759" s="133" t="s">
        <v>120</v>
      </c>
      <c r="G759" s="133" t="s">
        <v>8820</v>
      </c>
      <c r="H759" s="133" t="s">
        <v>8747</v>
      </c>
    </row>
    <row r="760" spans="1:8">
      <c r="A760" s="214" t="s">
        <v>2728</v>
      </c>
      <c r="B760" s="214" t="s">
        <v>2729</v>
      </c>
      <c r="C760" s="133" t="s">
        <v>8</v>
      </c>
      <c r="D760" s="133" t="s">
        <v>2076</v>
      </c>
      <c r="E760" s="133" t="s">
        <v>63</v>
      </c>
      <c r="F760" s="133" t="s">
        <v>120</v>
      </c>
      <c r="G760" s="133" t="s">
        <v>8820</v>
      </c>
      <c r="H760" s="133" t="s">
        <v>8747</v>
      </c>
    </row>
    <row r="761" spans="1:8">
      <c r="A761" s="214" t="s">
        <v>3023</v>
      </c>
      <c r="B761" s="214" t="s">
        <v>3024</v>
      </c>
      <c r="C761" s="133" t="s">
        <v>8</v>
      </c>
      <c r="D761" s="133" t="s">
        <v>818</v>
      </c>
      <c r="E761" s="133" t="s">
        <v>63</v>
      </c>
      <c r="F761" s="133" t="s">
        <v>120</v>
      </c>
      <c r="G761" s="133" t="s">
        <v>8820</v>
      </c>
      <c r="H761" s="133" t="s">
        <v>8747</v>
      </c>
    </row>
    <row r="762" spans="1:8">
      <c r="A762" s="214" t="s">
        <v>9580</v>
      </c>
      <c r="B762" s="214" t="s">
        <v>9581</v>
      </c>
      <c r="C762" s="133" t="s">
        <v>8</v>
      </c>
      <c r="D762" s="133" t="s">
        <v>918</v>
      </c>
      <c r="E762" s="133" t="s">
        <v>83</v>
      </c>
      <c r="F762" s="133" t="s">
        <v>120</v>
      </c>
      <c r="G762" s="133" t="s">
        <v>8986</v>
      </c>
      <c r="H762" s="133" t="s">
        <v>8747</v>
      </c>
    </row>
    <row r="763" spans="1:8">
      <c r="A763" s="214" t="s">
        <v>2203</v>
      </c>
      <c r="B763" s="214" t="s">
        <v>2204</v>
      </c>
      <c r="C763" s="133" t="s">
        <v>8</v>
      </c>
      <c r="D763" s="133" t="s">
        <v>818</v>
      </c>
      <c r="E763" s="133" t="s">
        <v>63</v>
      </c>
      <c r="F763" s="133" t="s">
        <v>120</v>
      </c>
      <c r="G763" s="133" t="s">
        <v>8820</v>
      </c>
      <c r="H763" s="133" t="s">
        <v>8747</v>
      </c>
    </row>
    <row r="764" spans="1:8">
      <c r="A764" s="214" t="s">
        <v>1053</v>
      </c>
      <c r="B764" s="214" t="s">
        <v>1054</v>
      </c>
      <c r="C764" s="133" t="s">
        <v>8</v>
      </c>
      <c r="D764" s="133" t="s">
        <v>918</v>
      </c>
      <c r="E764" s="133" t="s">
        <v>83</v>
      </c>
      <c r="F764" s="133" t="s">
        <v>120</v>
      </c>
      <c r="G764" s="133" t="s">
        <v>8986</v>
      </c>
      <c r="H764" s="133" t="s">
        <v>8747</v>
      </c>
    </row>
    <row r="765" spans="1:8">
      <c r="A765" s="214" t="s">
        <v>973</v>
      </c>
      <c r="B765" s="214" t="s">
        <v>974</v>
      </c>
      <c r="C765" s="133" t="s">
        <v>8</v>
      </c>
      <c r="D765" s="133" t="s">
        <v>932</v>
      </c>
      <c r="E765" s="133" t="s">
        <v>83</v>
      </c>
      <c r="F765" s="133" t="s">
        <v>120</v>
      </c>
      <c r="G765" s="133" t="s">
        <v>8784</v>
      </c>
      <c r="H765" s="133" t="s">
        <v>8747</v>
      </c>
    </row>
    <row r="766" spans="1:8">
      <c r="A766" s="214" t="s">
        <v>330</v>
      </c>
      <c r="B766" s="214" t="s">
        <v>331</v>
      </c>
      <c r="C766" s="133" t="s">
        <v>8</v>
      </c>
      <c r="D766" s="133" t="s">
        <v>248</v>
      </c>
      <c r="E766" s="133" t="s">
        <v>83</v>
      </c>
      <c r="F766" s="133" t="s">
        <v>120</v>
      </c>
      <c r="G766" s="133" t="s">
        <v>8765</v>
      </c>
      <c r="H766" s="133" t="s">
        <v>8747</v>
      </c>
    </row>
    <row r="767" spans="1:8">
      <c r="A767" s="214" t="s">
        <v>4597</v>
      </c>
      <c r="B767" s="214" t="s">
        <v>4598</v>
      </c>
      <c r="C767" s="133" t="s">
        <v>9</v>
      </c>
      <c r="D767" s="133" t="s">
        <v>3541</v>
      </c>
      <c r="E767" s="133" t="s">
        <v>3539</v>
      </c>
      <c r="F767" s="133" t="s">
        <v>120</v>
      </c>
      <c r="G767" s="133" t="s">
        <v>8776</v>
      </c>
      <c r="H767" s="133" t="s">
        <v>8747</v>
      </c>
    </row>
    <row r="768" spans="1:8">
      <c r="A768" s="214" t="s">
        <v>5387</v>
      </c>
      <c r="B768" s="214" t="s">
        <v>5389</v>
      </c>
      <c r="C768" s="133" t="s">
        <v>794</v>
      </c>
      <c r="D768" s="133" t="s">
        <v>5388</v>
      </c>
      <c r="E768" s="133" t="s">
        <v>83</v>
      </c>
      <c r="F768" s="133" t="s">
        <v>120</v>
      </c>
      <c r="G768" s="133" t="s">
        <v>8826</v>
      </c>
      <c r="H768" s="133" t="s">
        <v>8747</v>
      </c>
    </row>
    <row r="769" spans="1:8">
      <c r="A769" s="214" t="s">
        <v>4281</v>
      </c>
      <c r="B769" s="214" t="s">
        <v>4283</v>
      </c>
      <c r="C769" s="133" t="s">
        <v>10</v>
      </c>
      <c r="D769" s="133" t="s">
        <v>4282</v>
      </c>
      <c r="E769" s="133" t="s">
        <v>83</v>
      </c>
      <c r="F769" s="133" t="s">
        <v>120</v>
      </c>
      <c r="G769" s="133" t="s">
        <v>8826</v>
      </c>
      <c r="H769" s="133" t="s">
        <v>8747</v>
      </c>
    </row>
    <row r="770" spans="1:8">
      <c r="A770" s="214" t="s">
        <v>9582</v>
      </c>
      <c r="B770" s="214" t="s">
        <v>9583</v>
      </c>
      <c r="C770" s="133" t="s">
        <v>8</v>
      </c>
      <c r="D770" s="133" t="s">
        <v>818</v>
      </c>
      <c r="E770" s="133" t="s">
        <v>63</v>
      </c>
      <c r="F770" s="133" t="s">
        <v>120</v>
      </c>
      <c r="G770" s="133" t="s">
        <v>8826</v>
      </c>
      <c r="H770" s="133" t="s">
        <v>8747</v>
      </c>
    </row>
    <row r="771" spans="1:8">
      <c r="A771" s="214" t="s">
        <v>9584</v>
      </c>
      <c r="B771" s="214" t="s">
        <v>4175</v>
      </c>
      <c r="C771" s="133" t="s">
        <v>10</v>
      </c>
      <c r="D771" s="133" t="s">
        <v>4301</v>
      </c>
      <c r="E771" s="133" t="s">
        <v>83</v>
      </c>
      <c r="F771" s="133" t="s">
        <v>120</v>
      </c>
      <c r="G771" s="133" t="s">
        <v>8776</v>
      </c>
      <c r="H771" s="133" t="s">
        <v>8747</v>
      </c>
    </row>
    <row r="772" spans="1:8">
      <c r="A772" s="214" t="s">
        <v>9585</v>
      </c>
      <c r="B772" s="214" t="s">
        <v>9586</v>
      </c>
      <c r="C772" s="133" t="s">
        <v>10</v>
      </c>
      <c r="D772" s="133" t="s">
        <v>5335</v>
      </c>
      <c r="E772" s="133" t="s">
        <v>63</v>
      </c>
      <c r="F772" s="133" t="s">
        <v>120</v>
      </c>
      <c r="G772" s="133" t="s">
        <v>8820</v>
      </c>
      <c r="H772" s="133" t="s">
        <v>8747</v>
      </c>
    </row>
    <row r="773" spans="1:8">
      <c r="A773" s="214" t="s">
        <v>9587</v>
      </c>
      <c r="B773" s="214" t="s">
        <v>9588</v>
      </c>
      <c r="C773" s="133" t="s">
        <v>10</v>
      </c>
      <c r="D773" s="133" t="s">
        <v>3676</v>
      </c>
      <c r="E773" s="133" t="s">
        <v>63</v>
      </c>
      <c r="F773" s="133" t="s">
        <v>120</v>
      </c>
      <c r="G773" s="133" t="s">
        <v>8820</v>
      </c>
      <c r="H773" s="133" t="s">
        <v>8747</v>
      </c>
    </row>
    <row r="774" spans="1:8">
      <c r="A774" s="214" t="s">
        <v>9589</v>
      </c>
      <c r="B774" s="214" t="s">
        <v>9590</v>
      </c>
      <c r="C774" s="133" t="s">
        <v>10</v>
      </c>
      <c r="D774" s="133" t="s">
        <v>3103</v>
      </c>
      <c r="E774" s="133" t="s">
        <v>63</v>
      </c>
      <c r="F774" s="133" t="s">
        <v>120</v>
      </c>
      <c r="G774" s="133" t="s">
        <v>8820</v>
      </c>
      <c r="H774" s="133" t="s">
        <v>8747</v>
      </c>
    </row>
    <row r="775" spans="1:8">
      <c r="A775" s="214" t="s">
        <v>9591</v>
      </c>
      <c r="B775" s="214" t="s">
        <v>9592</v>
      </c>
      <c r="C775" s="133" t="s">
        <v>10</v>
      </c>
      <c r="D775" s="133" t="s">
        <v>4920</v>
      </c>
      <c r="E775" s="133" t="s">
        <v>83</v>
      </c>
      <c r="F775" s="133" t="s">
        <v>120</v>
      </c>
      <c r="G775" s="133" t="s">
        <v>8776</v>
      </c>
      <c r="H775" s="133" t="s">
        <v>8747</v>
      </c>
    </row>
    <row r="776" spans="1:8">
      <c r="A776" s="214" t="s">
        <v>9593</v>
      </c>
      <c r="B776" s="214" t="s">
        <v>9594</v>
      </c>
      <c r="C776" s="133" t="s">
        <v>10</v>
      </c>
      <c r="D776" s="133" t="s">
        <v>6405</v>
      </c>
      <c r="E776" s="133" t="s">
        <v>63</v>
      </c>
      <c r="F776" s="133" t="s">
        <v>120</v>
      </c>
      <c r="G776" s="133" t="s">
        <v>9032</v>
      </c>
      <c r="H776" s="133" t="s">
        <v>8747</v>
      </c>
    </row>
    <row r="777" spans="1:8">
      <c r="A777" s="214" t="s">
        <v>1017</v>
      </c>
      <c r="B777" s="214" t="s">
        <v>1018</v>
      </c>
      <c r="C777" s="133" t="s">
        <v>8</v>
      </c>
      <c r="D777" s="133" t="s">
        <v>918</v>
      </c>
      <c r="E777" s="133" t="s">
        <v>83</v>
      </c>
      <c r="F777" s="133" t="s">
        <v>120</v>
      </c>
      <c r="G777" s="133" t="s">
        <v>8986</v>
      </c>
      <c r="H777" s="133" t="s">
        <v>8747</v>
      </c>
    </row>
    <row r="778" spans="1:8">
      <c r="A778" s="214" t="s">
        <v>2344</v>
      </c>
      <c r="B778" s="214" t="s">
        <v>2345</v>
      </c>
      <c r="C778" s="133" t="s">
        <v>8</v>
      </c>
      <c r="D778" s="133" t="s">
        <v>818</v>
      </c>
      <c r="E778" s="133" t="s">
        <v>63</v>
      </c>
      <c r="F778" s="133" t="s">
        <v>120</v>
      </c>
      <c r="G778" s="133" t="s">
        <v>8820</v>
      </c>
      <c r="H778" s="133" t="s">
        <v>8747</v>
      </c>
    </row>
    <row r="779" spans="1:8">
      <c r="A779" s="214" t="s">
        <v>2116</v>
      </c>
      <c r="B779" s="214" t="s">
        <v>2117</v>
      </c>
      <c r="C779" s="133" t="s">
        <v>8</v>
      </c>
      <c r="D779" s="133" t="s">
        <v>1041</v>
      </c>
      <c r="E779" s="133" t="s">
        <v>63</v>
      </c>
      <c r="F779" s="133" t="s">
        <v>120</v>
      </c>
      <c r="G779" s="133" t="s">
        <v>8820</v>
      </c>
      <c r="H779" s="133" t="s">
        <v>8747</v>
      </c>
    </row>
    <row r="780" spans="1:8">
      <c r="A780" s="214" t="s">
        <v>2619</v>
      </c>
      <c r="B780" s="214" t="s">
        <v>2620</v>
      </c>
      <c r="C780" s="133" t="s">
        <v>8</v>
      </c>
      <c r="D780" s="133" t="s">
        <v>2076</v>
      </c>
      <c r="E780" s="133" t="s">
        <v>63</v>
      </c>
      <c r="F780" s="133" t="s">
        <v>120</v>
      </c>
      <c r="G780" s="133" t="s">
        <v>8820</v>
      </c>
      <c r="H780" s="133" t="s">
        <v>8747</v>
      </c>
    </row>
    <row r="781" spans="1:8">
      <c r="A781" s="214" t="s">
        <v>692</v>
      </c>
      <c r="B781" s="214" t="s">
        <v>693</v>
      </c>
      <c r="C781" s="133" t="s">
        <v>8</v>
      </c>
      <c r="D781" s="133" t="s">
        <v>440</v>
      </c>
      <c r="E781" s="133" t="s">
        <v>63</v>
      </c>
      <c r="F781" s="133" t="s">
        <v>120</v>
      </c>
      <c r="G781" s="133" t="s">
        <v>8820</v>
      </c>
      <c r="H781" s="133" t="s">
        <v>8747</v>
      </c>
    </row>
    <row r="782" spans="1:8">
      <c r="A782" s="214" t="s">
        <v>470</v>
      </c>
      <c r="B782" s="214" t="s">
        <v>471</v>
      </c>
      <c r="C782" s="133" t="s">
        <v>2146</v>
      </c>
      <c r="D782" s="133" t="s">
        <v>2197</v>
      </c>
      <c r="E782" s="133" t="s">
        <v>83</v>
      </c>
      <c r="F782" s="133" t="s">
        <v>120</v>
      </c>
      <c r="G782" s="133" t="s">
        <v>9003</v>
      </c>
      <c r="H782" s="133" t="s">
        <v>8747</v>
      </c>
    </row>
    <row r="783" spans="1:8">
      <c r="A783" s="214" t="s">
        <v>356</v>
      </c>
      <c r="B783" s="214" t="s">
        <v>357</v>
      </c>
      <c r="C783" s="133" t="s">
        <v>8</v>
      </c>
      <c r="D783" s="133" t="s">
        <v>339</v>
      </c>
      <c r="E783" s="133" t="s">
        <v>83</v>
      </c>
      <c r="F783" s="133" t="s">
        <v>120</v>
      </c>
      <c r="G783" s="133" t="s">
        <v>8987</v>
      </c>
      <c r="H783" s="133" t="s">
        <v>8747</v>
      </c>
    </row>
    <row r="784" spans="1:8">
      <c r="A784" s="214" t="s">
        <v>3770</v>
      </c>
      <c r="B784" s="214" t="s">
        <v>3771</v>
      </c>
      <c r="C784" s="133" t="s">
        <v>8</v>
      </c>
      <c r="D784" s="133" t="s">
        <v>995</v>
      </c>
      <c r="E784" s="133" t="s">
        <v>63</v>
      </c>
      <c r="F784" s="133" t="s">
        <v>120</v>
      </c>
      <c r="G784" s="133" t="s">
        <v>8820</v>
      </c>
      <c r="H784" s="133" t="s">
        <v>8747</v>
      </c>
    </row>
    <row r="785" spans="1:8">
      <c r="A785" s="214" t="s">
        <v>9595</v>
      </c>
      <c r="B785" s="214" t="s">
        <v>9596</v>
      </c>
      <c r="C785" s="133" t="s">
        <v>8</v>
      </c>
      <c r="D785" s="133" t="s">
        <v>9006</v>
      </c>
      <c r="E785" s="133" t="s">
        <v>63</v>
      </c>
      <c r="F785" s="133" t="s">
        <v>120</v>
      </c>
      <c r="G785" s="133" t="s">
        <v>9032</v>
      </c>
      <c r="H785" s="133" t="s">
        <v>8747</v>
      </c>
    </row>
    <row r="786" spans="1:8">
      <c r="A786" s="214" t="s">
        <v>8617</v>
      </c>
      <c r="B786" s="214" t="s">
        <v>9597</v>
      </c>
      <c r="C786" s="133" t="s">
        <v>8</v>
      </c>
      <c r="D786" s="133" t="s">
        <v>248</v>
      </c>
      <c r="E786" s="133" t="s">
        <v>83</v>
      </c>
      <c r="F786" s="133" t="s">
        <v>120</v>
      </c>
      <c r="G786" s="133" t="s">
        <v>8765</v>
      </c>
      <c r="H786" s="133" t="s">
        <v>8747</v>
      </c>
    </row>
    <row r="787" spans="1:8">
      <c r="A787" s="214" t="s">
        <v>119</v>
      </c>
      <c r="B787" s="214" t="s">
        <v>121</v>
      </c>
      <c r="C787" s="133" t="s">
        <v>8</v>
      </c>
      <c r="D787" s="133" t="s">
        <v>96</v>
      </c>
      <c r="E787" s="133" t="s">
        <v>83</v>
      </c>
      <c r="F787" s="133" t="s">
        <v>120</v>
      </c>
      <c r="G787" s="133" t="s">
        <v>9084</v>
      </c>
      <c r="H787" s="133" t="s">
        <v>8747</v>
      </c>
    </row>
    <row r="788" spans="1:8">
      <c r="A788" s="214" t="s">
        <v>1316</v>
      </c>
      <c r="B788" s="214" t="s">
        <v>1317</v>
      </c>
      <c r="C788" s="133" t="s">
        <v>9</v>
      </c>
      <c r="D788" s="133" t="s">
        <v>1286</v>
      </c>
      <c r="E788" s="133" t="s">
        <v>83</v>
      </c>
      <c r="F788" s="133" t="s">
        <v>120</v>
      </c>
      <c r="G788" s="133" t="s">
        <v>8983</v>
      </c>
      <c r="H788" s="133" t="s">
        <v>8747</v>
      </c>
    </row>
    <row r="789" spans="1:8">
      <c r="A789" s="214" t="s">
        <v>9598</v>
      </c>
      <c r="B789" s="214" t="s">
        <v>9599</v>
      </c>
      <c r="C789" s="133" t="s">
        <v>10</v>
      </c>
      <c r="D789" s="133" t="s">
        <v>4914</v>
      </c>
      <c r="E789" s="133" t="s">
        <v>63</v>
      </c>
      <c r="F789" s="133" t="s">
        <v>120</v>
      </c>
      <c r="G789" s="133" t="s">
        <v>8820</v>
      </c>
      <c r="H789" s="133" t="s">
        <v>8747</v>
      </c>
    </row>
    <row r="790" spans="1:8">
      <c r="A790" s="214" t="s">
        <v>9600</v>
      </c>
      <c r="B790" s="214" t="s">
        <v>9601</v>
      </c>
      <c r="C790" s="133" t="s">
        <v>10</v>
      </c>
      <c r="D790" s="133" t="s">
        <v>5893</v>
      </c>
      <c r="E790" s="133" t="s">
        <v>63</v>
      </c>
      <c r="F790" s="133" t="s">
        <v>120</v>
      </c>
      <c r="G790" s="133" t="s">
        <v>9032</v>
      </c>
      <c r="H790" s="133" t="s">
        <v>8747</v>
      </c>
    </row>
    <row r="791" spans="1:8">
      <c r="A791" s="214" t="s">
        <v>9602</v>
      </c>
      <c r="B791" s="214" t="s">
        <v>9603</v>
      </c>
      <c r="C791" s="133" t="s">
        <v>10</v>
      </c>
      <c r="D791" s="133" t="s">
        <v>9061</v>
      </c>
      <c r="E791" s="133" t="s">
        <v>63</v>
      </c>
      <c r="F791" s="133" t="s">
        <v>120</v>
      </c>
      <c r="G791" s="133" t="s">
        <v>8820</v>
      </c>
      <c r="H791" s="133" t="s">
        <v>8747</v>
      </c>
    </row>
    <row r="792" spans="1:8">
      <c r="A792" s="214" t="s">
        <v>9604</v>
      </c>
      <c r="B792" s="214" t="s">
        <v>9605</v>
      </c>
      <c r="C792" s="133" t="s">
        <v>10</v>
      </c>
      <c r="D792" s="133" t="s">
        <v>5335</v>
      </c>
      <c r="E792" s="133" t="s">
        <v>63</v>
      </c>
      <c r="F792" s="133" t="s">
        <v>120</v>
      </c>
      <c r="G792" s="133" t="s">
        <v>9032</v>
      </c>
      <c r="H792" s="133" t="s">
        <v>8747</v>
      </c>
    </row>
    <row r="793" spans="1:8">
      <c r="A793" s="214" t="s">
        <v>2600</v>
      </c>
      <c r="B793" s="214" t="s">
        <v>1949</v>
      </c>
      <c r="C793" s="133" t="s">
        <v>8</v>
      </c>
      <c r="D793" s="133" t="s">
        <v>1413</v>
      </c>
      <c r="E793" s="133" t="s">
        <v>63</v>
      </c>
      <c r="F793" s="133" t="s">
        <v>120</v>
      </c>
      <c r="G793" s="133" t="s">
        <v>8826</v>
      </c>
      <c r="H793" s="133" t="s">
        <v>8747</v>
      </c>
    </row>
    <row r="794" spans="1:8">
      <c r="A794" s="214" t="s">
        <v>1248</v>
      </c>
      <c r="B794" s="214" t="s">
        <v>1249</v>
      </c>
      <c r="C794" s="133" t="s">
        <v>8</v>
      </c>
      <c r="D794" s="133" t="s">
        <v>910</v>
      </c>
      <c r="E794" s="133" t="s">
        <v>83</v>
      </c>
      <c r="F794" s="133" t="s">
        <v>120</v>
      </c>
      <c r="G794" s="133" t="s">
        <v>8983</v>
      </c>
      <c r="H794" s="133" t="s">
        <v>8747</v>
      </c>
    </row>
    <row r="795" spans="1:8">
      <c r="A795" s="214" t="s">
        <v>1001</v>
      </c>
      <c r="B795" s="214" t="s">
        <v>1002</v>
      </c>
      <c r="C795" s="133" t="s">
        <v>8</v>
      </c>
      <c r="D795" s="133" t="s">
        <v>918</v>
      </c>
      <c r="E795" s="133" t="s">
        <v>83</v>
      </c>
      <c r="F795" s="133" t="s">
        <v>120</v>
      </c>
      <c r="G795" s="133" t="s">
        <v>8986</v>
      </c>
      <c r="H795" s="133" t="s">
        <v>8747</v>
      </c>
    </row>
    <row r="796" spans="1:8">
      <c r="A796" s="214" t="s">
        <v>168</v>
      </c>
      <c r="B796" s="214" t="s">
        <v>169</v>
      </c>
      <c r="C796" s="133" t="s">
        <v>8</v>
      </c>
      <c r="D796" s="133" t="s">
        <v>96</v>
      </c>
      <c r="E796" s="133" t="s">
        <v>83</v>
      </c>
      <c r="F796" s="133" t="s">
        <v>120</v>
      </c>
      <c r="G796" s="133" t="s">
        <v>9084</v>
      </c>
      <c r="H796" s="133" t="s">
        <v>8747</v>
      </c>
    </row>
    <row r="797" spans="1:8">
      <c r="A797" s="214" t="s">
        <v>938</v>
      </c>
      <c r="B797" s="214" t="s">
        <v>939</v>
      </c>
      <c r="C797" s="133" t="s">
        <v>8</v>
      </c>
      <c r="D797" s="133" t="s">
        <v>932</v>
      </c>
      <c r="E797" s="133" t="s">
        <v>83</v>
      </c>
      <c r="F797" s="133" t="s">
        <v>120</v>
      </c>
      <c r="G797" s="133" t="s">
        <v>8784</v>
      </c>
      <c r="H797" s="133" t="s">
        <v>8747</v>
      </c>
    </row>
    <row r="798" spans="1:8">
      <c r="A798" s="214" t="s">
        <v>2892</v>
      </c>
      <c r="B798" s="214" t="s">
        <v>2893</v>
      </c>
      <c r="C798" s="133" t="s">
        <v>8</v>
      </c>
      <c r="D798" s="133" t="s">
        <v>686</v>
      </c>
      <c r="E798" s="133" t="s">
        <v>63</v>
      </c>
      <c r="F798" s="133" t="s">
        <v>120</v>
      </c>
      <c r="G798" s="133" t="s">
        <v>8820</v>
      </c>
      <c r="H798" s="133" t="s">
        <v>8747</v>
      </c>
    </row>
    <row r="799" spans="1:8">
      <c r="A799" s="214" t="s">
        <v>2586</v>
      </c>
      <c r="B799" s="214" t="s">
        <v>2587</v>
      </c>
      <c r="C799" s="133" t="s">
        <v>8</v>
      </c>
      <c r="D799" s="133" t="s">
        <v>1419</v>
      </c>
      <c r="E799" s="133" t="s">
        <v>63</v>
      </c>
      <c r="F799" s="133" t="s">
        <v>120</v>
      </c>
      <c r="G799" s="133" t="s">
        <v>8820</v>
      </c>
      <c r="H799" s="133" t="s">
        <v>8747</v>
      </c>
    </row>
    <row r="800" spans="1:8">
      <c r="A800" s="214" t="s">
        <v>9606</v>
      </c>
      <c r="B800" s="214" t="s">
        <v>9607</v>
      </c>
      <c r="C800" s="133" t="s">
        <v>8</v>
      </c>
      <c r="D800" s="133" t="s">
        <v>8870</v>
      </c>
      <c r="E800" s="133" t="s">
        <v>63</v>
      </c>
      <c r="F800" s="133" t="s">
        <v>120</v>
      </c>
      <c r="G800" s="133" t="s">
        <v>8986</v>
      </c>
      <c r="H800" s="133" t="s">
        <v>8747</v>
      </c>
    </row>
    <row r="801" spans="1:8">
      <c r="A801" s="214" t="s">
        <v>2418</v>
      </c>
      <c r="B801" s="214" t="s">
        <v>2419</v>
      </c>
      <c r="C801" s="133" t="s">
        <v>8</v>
      </c>
      <c r="D801" s="133" t="s">
        <v>1413</v>
      </c>
      <c r="E801" s="133" t="s">
        <v>63</v>
      </c>
      <c r="F801" s="133" t="s">
        <v>120</v>
      </c>
      <c r="G801" s="133" t="s">
        <v>8820</v>
      </c>
      <c r="H801" s="133" t="s">
        <v>8747</v>
      </c>
    </row>
    <row r="802" spans="1:8">
      <c r="A802" s="214" t="s">
        <v>8732</v>
      </c>
      <c r="B802" s="214" t="s">
        <v>9608</v>
      </c>
      <c r="C802" s="133" t="s">
        <v>8</v>
      </c>
      <c r="D802" s="133" t="s">
        <v>639</v>
      </c>
      <c r="E802" s="133" t="s">
        <v>83</v>
      </c>
      <c r="F802" s="133" t="s">
        <v>120</v>
      </c>
      <c r="G802" s="133" t="s">
        <v>8820</v>
      </c>
      <c r="H802" s="133" t="s">
        <v>8747</v>
      </c>
    </row>
    <row r="803" spans="1:8">
      <c r="A803" s="214" t="s">
        <v>2548</v>
      </c>
      <c r="B803" s="214" t="s">
        <v>2549</v>
      </c>
      <c r="C803" s="133" t="s">
        <v>8</v>
      </c>
      <c r="D803" s="133" t="s">
        <v>8884</v>
      </c>
      <c r="E803" s="133" t="s">
        <v>63</v>
      </c>
      <c r="F803" s="133" t="s">
        <v>120</v>
      </c>
      <c r="G803" s="133" t="s">
        <v>8820</v>
      </c>
      <c r="H803" s="133" t="s">
        <v>8747</v>
      </c>
    </row>
    <row r="804" spans="1:8">
      <c r="A804" s="214" t="s">
        <v>9609</v>
      </c>
      <c r="B804" s="214" t="s">
        <v>9610</v>
      </c>
      <c r="C804" s="133" t="s">
        <v>8</v>
      </c>
      <c r="D804" s="133" t="s">
        <v>1041</v>
      </c>
      <c r="E804" s="133" t="s">
        <v>63</v>
      </c>
      <c r="F804" s="133" t="s">
        <v>120</v>
      </c>
      <c r="G804" s="133" t="s">
        <v>8820</v>
      </c>
      <c r="H804" s="133" t="s">
        <v>8747</v>
      </c>
    </row>
    <row r="805" spans="1:8">
      <c r="A805" s="214" t="s">
        <v>7806</v>
      </c>
      <c r="B805" s="214" t="s">
        <v>7807</v>
      </c>
      <c r="C805" s="133" t="s">
        <v>8</v>
      </c>
      <c r="D805" s="133" t="s">
        <v>1047</v>
      </c>
      <c r="E805" s="133" t="s">
        <v>63</v>
      </c>
      <c r="F805" s="133" t="s">
        <v>120</v>
      </c>
      <c r="G805" s="133" t="s">
        <v>8820</v>
      </c>
      <c r="H805" s="133" t="s">
        <v>8747</v>
      </c>
    </row>
    <row r="806" spans="1:8">
      <c r="A806" s="214" t="s">
        <v>9611</v>
      </c>
      <c r="B806" s="214" t="s">
        <v>9612</v>
      </c>
      <c r="C806" s="133" t="s">
        <v>8</v>
      </c>
      <c r="D806" s="133" t="s">
        <v>2380</v>
      </c>
      <c r="E806" s="133" t="s">
        <v>63</v>
      </c>
      <c r="F806" s="133" t="s">
        <v>120</v>
      </c>
      <c r="G806" s="133" t="s">
        <v>8820</v>
      </c>
      <c r="H806" s="133" t="s">
        <v>8747</v>
      </c>
    </row>
    <row r="807" spans="1:8">
      <c r="A807" s="214" t="s">
        <v>185</v>
      </c>
      <c r="B807" s="214" t="s">
        <v>186</v>
      </c>
      <c r="C807" s="133" t="s">
        <v>8</v>
      </c>
      <c r="D807" s="133" t="s">
        <v>96</v>
      </c>
      <c r="E807" s="133" t="s">
        <v>83</v>
      </c>
      <c r="F807" s="133" t="s">
        <v>120</v>
      </c>
      <c r="G807" s="133" t="s">
        <v>9084</v>
      </c>
      <c r="H807" s="133" t="s">
        <v>8747</v>
      </c>
    </row>
    <row r="808" spans="1:8">
      <c r="A808" s="214" t="s">
        <v>2677</v>
      </c>
      <c r="B808" s="214" t="s">
        <v>2678</v>
      </c>
      <c r="C808" s="133" t="s">
        <v>8</v>
      </c>
      <c r="D808" s="133" t="s">
        <v>1368</v>
      </c>
      <c r="E808" s="133" t="s">
        <v>63</v>
      </c>
      <c r="F808" s="133" t="s">
        <v>120</v>
      </c>
      <c r="G808" s="133" t="s">
        <v>9032</v>
      </c>
      <c r="H808" s="133" t="s">
        <v>8747</v>
      </c>
    </row>
    <row r="809" spans="1:8">
      <c r="A809" s="214" t="s">
        <v>3032</v>
      </c>
      <c r="B809" s="214" t="s">
        <v>3034</v>
      </c>
      <c r="C809" s="133" t="s">
        <v>8</v>
      </c>
      <c r="D809" s="133" t="s">
        <v>1047</v>
      </c>
      <c r="E809" s="133" t="s">
        <v>63</v>
      </c>
      <c r="F809" s="133" t="s">
        <v>120</v>
      </c>
      <c r="G809" s="133" t="s">
        <v>8820</v>
      </c>
      <c r="H809" s="133" t="s">
        <v>8747</v>
      </c>
    </row>
    <row r="810" spans="1:8">
      <c r="A810" s="214" t="s">
        <v>3434</v>
      </c>
      <c r="B810" s="214" t="s">
        <v>3435</v>
      </c>
      <c r="C810" s="133" t="s">
        <v>8</v>
      </c>
      <c r="D810" s="133" t="s">
        <v>809</v>
      </c>
      <c r="E810" s="133" t="s">
        <v>63</v>
      </c>
      <c r="F810" s="133" t="s">
        <v>120</v>
      </c>
      <c r="G810" s="133" t="s">
        <v>8986</v>
      </c>
      <c r="H810" s="133" t="s">
        <v>8747</v>
      </c>
    </row>
    <row r="811" spans="1:8">
      <c r="A811" s="214" t="s">
        <v>9613</v>
      </c>
      <c r="B811" s="214" t="s">
        <v>9614</v>
      </c>
      <c r="C811" s="133" t="s">
        <v>8</v>
      </c>
      <c r="D811" s="133" t="s">
        <v>277</v>
      </c>
      <c r="E811" s="133" t="s">
        <v>63</v>
      </c>
      <c r="F811" s="133" t="s">
        <v>120</v>
      </c>
      <c r="G811" s="133" t="s">
        <v>8820</v>
      </c>
      <c r="H811" s="133" t="s">
        <v>8747</v>
      </c>
    </row>
    <row r="812" spans="1:8">
      <c r="A812" s="214" t="s">
        <v>5709</v>
      </c>
      <c r="B812" s="214" t="s">
        <v>5710</v>
      </c>
      <c r="C812" s="133" t="s">
        <v>399</v>
      </c>
      <c r="D812" s="133" t="s">
        <v>5690</v>
      </c>
      <c r="E812" s="133" t="s">
        <v>83</v>
      </c>
      <c r="F812" s="133" t="s">
        <v>120</v>
      </c>
      <c r="G812" s="133" t="s">
        <v>8808</v>
      </c>
      <c r="H812" s="133" t="s">
        <v>8747</v>
      </c>
    </row>
    <row r="813" spans="1:8">
      <c r="A813" s="214" t="s">
        <v>2264</v>
      </c>
      <c r="B813" s="214" t="s">
        <v>2265</v>
      </c>
      <c r="C813" s="133" t="s">
        <v>399</v>
      </c>
      <c r="D813" s="133" t="s">
        <v>2260</v>
      </c>
      <c r="E813" s="133" t="s">
        <v>83</v>
      </c>
      <c r="F813" s="133" t="s">
        <v>120</v>
      </c>
      <c r="G813" s="133" t="s">
        <v>9385</v>
      </c>
      <c r="H813" s="133" t="s">
        <v>8747</v>
      </c>
    </row>
    <row r="814" spans="1:8">
      <c r="A814" s="214" t="s">
        <v>9615</v>
      </c>
      <c r="B814" s="214" t="s">
        <v>9616</v>
      </c>
      <c r="C814" s="133" t="s">
        <v>399</v>
      </c>
      <c r="D814" s="133" t="s">
        <v>8769</v>
      </c>
      <c r="E814" s="133" t="s">
        <v>83</v>
      </c>
      <c r="F814" s="133" t="s">
        <v>120</v>
      </c>
      <c r="G814" s="133" t="s">
        <v>8755</v>
      </c>
      <c r="H814" s="133" t="s">
        <v>8747</v>
      </c>
    </row>
    <row r="815" spans="1:8">
      <c r="A815" s="214" t="s">
        <v>7389</v>
      </c>
      <c r="B815" s="214" t="s">
        <v>7391</v>
      </c>
      <c r="C815" s="133" t="s">
        <v>10</v>
      </c>
      <c r="D815" s="133" t="s">
        <v>7390</v>
      </c>
      <c r="E815" s="133" t="s">
        <v>63</v>
      </c>
      <c r="F815" s="133" t="s">
        <v>120</v>
      </c>
      <c r="G815" s="133" t="s">
        <v>9032</v>
      </c>
      <c r="H815" s="133" t="s">
        <v>8747</v>
      </c>
    </row>
    <row r="816" spans="1:8">
      <c r="A816" s="214" t="s">
        <v>4350</v>
      </c>
      <c r="B816" s="214" t="s">
        <v>4351</v>
      </c>
      <c r="C816" s="133" t="s">
        <v>10</v>
      </c>
      <c r="D816" s="133" t="s">
        <v>4336</v>
      </c>
      <c r="E816" s="133" t="s">
        <v>83</v>
      </c>
      <c r="F816" s="133" t="s">
        <v>120</v>
      </c>
      <c r="G816" s="133" t="s">
        <v>8776</v>
      </c>
      <c r="H816" s="133" t="s">
        <v>8747</v>
      </c>
    </row>
    <row r="817" spans="1:8">
      <c r="A817" s="214" t="s">
        <v>7095</v>
      </c>
      <c r="B817" s="214" t="s">
        <v>7096</v>
      </c>
      <c r="C817" s="133" t="s">
        <v>8</v>
      </c>
      <c r="D817" s="133" t="s">
        <v>339</v>
      </c>
      <c r="E817" s="133" t="s">
        <v>83</v>
      </c>
      <c r="F817" s="133" t="s">
        <v>120</v>
      </c>
      <c r="G817" s="133" t="s">
        <v>8987</v>
      </c>
      <c r="H817" s="133" t="s">
        <v>8747</v>
      </c>
    </row>
    <row r="818" spans="1:8">
      <c r="A818" s="214" t="s">
        <v>8424</v>
      </c>
      <c r="B818" s="214" t="s">
        <v>9617</v>
      </c>
      <c r="C818" s="133" t="s">
        <v>10</v>
      </c>
      <c r="D818" s="133" t="s">
        <v>8942</v>
      </c>
      <c r="E818" s="133" t="s">
        <v>63</v>
      </c>
      <c r="F818" s="133" t="s">
        <v>120</v>
      </c>
      <c r="G818" s="133" t="s">
        <v>8826</v>
      </c>
      <c r="H818" s="133" t="s">
        <v>8747</v>
      </c>
    </row>
    <row r="819" spans="1:8">
      <c r="A819" s="214" t="s">
        <v>9618</v>
      </c>
      <c r="B819" s="214" t="s">
        <v>9619</v>
      </c>
      <c r="C819" s="133" t="s">
        <v>8</v>
      </c>
      <c r="D819" s="133" t="s">
        <v>440</v>
      </c>
      <c r="E819" s="133" t="s">
        <v>63</v>
      </c>
      <c r="F819" s="133" t="s">
        <v>120</v>
      </c>
      <c r="G819" s="133" t="s">
        <v>8826</v>
      </c>
      <c r="H819" s="133" t="s">
        <v>8747</v>
      </c>
    </row>
    <row r="820" spans="1:8">
      <c r="A820" s="214" t="s">
        <v>9620</v>
      </c>
      <c r="B820" s="214" t="s">
        <v>2671</v>
      </c>
      <c r="C820" s="133" t="s">
        <v>10</v>
      </c>
      <c r="D820" s="133" t="s">
        <v>5293</v>
      </c>
      <c r="E820" s="133" t="s">
        <v>63</v>
      </c>
      <c r="F820" s="133" t="s">
        <v>120</v>
      </c>
      <c r="G820" s="133" t="s">
        <v>8826</v>
      </c>
      <c r="H820" s="133" t="s">
        <v>8747</v>
      </c>
    </row>
    <row r="821" spans="1:8">
      <c r="A821" s="214" t="s">
        <v>9621</v>
      </c>
      <c r="B821" s="214" t="s">
        <v>9622</v>
      </c>
      <c r="C821" s="133" t="s">
        <v>10</v>
      </c>
      <c r="D821" s="133" t="s">
        <v>4920</v>
      </c>
      <c r="E821" s="133" t="s">
        <v>83</v>
      </c>
      <c r="F821" s="133" t="s">
        <v>120</v>
      </c>
      <c r="G821" s="133" t="s">
        <v>8776</v>
      </c>
      <c r="H821" s="133" t="s">
        <v>8747</v>
      </c>
    </row>
    <row r="822" spans="1:8">
      <c r="A822" s="214" t="s">
        <v>9623</v>
      </c>
      <c r="B822" s="214" t="s">
        <v>9624</v>
      </c>
      <c r="C822" s="133" t="s">
        <v>10</v>
      </c>
      <c r="D822" s="133" t="s">
        <v>4187</v>
      </c>
      <c r="E822" s="133" t="s">
        <v>83</v>
      </c>
      <c r="F822" s="133" t="s">
        <v>120</v>
      </c>
      <c r="G822" s="133" t="s">
        <v>9084</v>
      </c>
      <c r="H822" s="133" t="s">
        <v>8747</v>
      </c>
    </row>
    <row r="823" spans="1:8">
      <c r="A823" s="214" t="s">
        <v>9625</v>
      </c>
      <c r="B823" s="214" t="s">
        <v>9626</v>
      </c>
      <c r="C823" s="133" t="s">
        <v>10</v>
      </c>
      <c r="D823" s="133" t="s">
        <v>3370</v>
      </c>
      <c r="E823" s="133" t="s">
        <v>83</v>
      </c>
      <c r="F823" s="133" t="s">
        <v>120</v>
      </c>
      <c r="G823" s="133" t="s">
        <v>8987</v>
      </c>
      <c r="H823" s="133" t="s">
        <v>8747</v>
      </c>
    </row>
    <row r="824" spans="1:8">
      <c r="A824" s="214" t="s">
        <v>9627</v>
      </c>
      <c r="B824" s="214" t="s">
        <v>2149</v>
      </c>
      <c r="C824" s="133" t="s">
        <v>2146</v>
      </c>
      <c r="D824" s="133" t="s">
        <v>2148</v>
      </c>
      <c r="E824" s="133" t="s">
        <v>83</v>
      </c>
      <c r="F824" s="133" t="s">
        <v>120</v>
      </c>
      <c r="G824" s="133" t="s">
        <v>9028</v>
      </c>
      <c r="H824" s="133" t="s">
        <v>8747</v>
      </c>
    </row>
    <row r="825" spans="1:8">
      <c r="A825" s="214" t="s">
        <v>9628</v>
      </c>
      <c r="B825" s="214" t="s">
        <v>9629</v>
      </c>
      <c r="C825" s="133" t="s">
        <v>8</v>
      </c>
      <c r="D825" s="133" t="s">
        <v>1413</v>
      </c>
      <c r="E825" s="133" t="s">
        <v>63</v>
      </c>
      <c r="F825" s="133" t="s">
        <v>120</v>
      </c>
      <c r="G825" s="133" t="s">
        <v>8820</v>
      </c>
      <c r="H825" s="133" t="s">
        <v>8747</v>
      </c>
    </row>
    <row r="826" spans="1:8">
      <c r="A826" s="214" t="s">
        <v>9630</v>
      </c>
      <c r="B826" s="214" t="s">
        <v>9631</v>
      </c>
      <c r="C826" s="133" t="s">
        <v>10</v>
      </c>
      <c r="D826" s="133" t="s">
        <v>3855</v>
      </c>
      <c r="E826" s="133" t="s">
        <v>63</v>
      </c>
      <c r="F826" s="133" t="s">
        <v>120</v>
      </c>
      <c r="G826" s="133" t="s">
        <v>8784</v>
      </c>
      <c r="H826" s="133" t="s">
        <v>8747</v>
      </c>
    </row>
    <row r="827" spans="1:8">
      <c r="A827" s="214" t="s">
        <v>9632</v>
      </c>
      <c r="B827" s="214" t="s">
        <v>9633</v>
      </c>
      <c r="C827" s="133" t="s">
        <v>10</v>
      </c>
      <c r="D827" s="133" t="s">
        <v>7955</v>
      </c>
      <c r="E827" s="133" t="s">
        <v>63</v>
      </c>
      <c r="F827" s="133" t="s">
        <v>120</v>
      </c>
      <c r="G827" s="133" t="s">
        <v>8784</v>
      </c>
      <c r="H827" s="133" t="s">
        <v>8747</v>
      </c>
    </row>
    <row r="828" spans="1:8">
      <c r="A828" s="214" t="s">
        <v>9634</v>
      </c>
      <c r="B828" s="214" t="s">
        <v>4939</v>
      </c>
      <c r="C828" s="133" t="s">
        <v>10</v>
      </c>
      <c r="D828" s="133" t="s">
        <v>7390</v>
      </c>
      <c r="E828" s="133" t="s">
        <v>63</v>
      </c>
      <c r="F828" s="133" t="s">
        <v>120</v>
      </c>
      <c r="G828" s="133" t="s">
        <v>8784</v>
      </c>
      <c r="H828" s="133" t="s">
        <v>8747</v>
      </c>
    </row>
    <row r="829" spans="1:8">
      <c r="A829" s="214" t="s">
        <v>7373</v>
      </c>
      <c r="B829" s="214" t="s">
        <v>7374</v>
      </c>
      <c r="C829" s="133" t="s">
        <v>10</v>
      </c>
      <c r="D829" s="133" t="s">
        <v>5893</v>
      </c>
      <c r="E829" s="133" t="s">
        <v>63</v>
      </c>
      <c r="F829" s="133" t="s">
        <v>120</v>
      </c>
      <c r="G829" s="133" t="s">
        <v>8784</v>
      </c>
      <c r="H829" s="133" t="s">
        <v>8747</v>
      </c>
    </row>
    <row r="830" spans="1:8">
      <c r="A830" s="214" t="s">
        <v>9635</v>
      </c>
      <c r="B830" s="214" t="s">
        <v>9636</v>
      </c>
      <c r="C830" s="133" t="s">
        <v>10</v>
      </c>
      <c r="D830" s="133" t="s">
        <v>8875</v>
      </c>
      <c r="E830" s="133" t="s">
        <v>63</v>
      </c>
      <c r="F830" s="133" t="s">
        <v>120</v>
      </c>
      <c r="G830" s="133" t="s">
        <v>8784</v>
      </c>
      <c r="H830" s="133" t="s">
        <v>8747</v>
      </c>
    </row>
    <row r="831" spans="1:8">
      <c r="A831" s="214" t="s">
        <v>9637</v>
      </c>
      <c r="B831" s="214" t="s">
        <v>9638</v>
      </c>
      <c r="C831" s="133" t="s">
        <v>10</v>
      </c>
      <c r="D831" s="133" t="s">
        <v>3676</v>
      </c>
      <c r="E831" s="133" t="s">
        <v>63</v>
      </c>
      <c r="F831" s="133" t="s">
        <v>120</v>
      </c>
      <c r="G831" s="133" t="s">
        <v>8784</v>
      </c>
      <c r="H831" s="133" t="s">
        <v>8747</v>
      </c>
    </row>
    <row r="832" spans="1:8">
      <c r="A832" s="214" t="s">
        <v>9639</v>
      </c>
      <c r="B832" s="214" t="s">
        <v>9640</v>
      </c>
      <c r="C832" s="133" t="s">
        <v>10</v>
      </c>
      <c r="D832" s="133" t="s">
        <v>3676</v>
      </c>
      <c r="E832" s="133" t="s">
        <v>63</v>
      </c>
      <c r="F832" s="133" t="s">
        <v>65</v>
      </c>
      <c r="G832" s="133" t="s">
        <v>8826</v>
      </c>
      <c r="H832" s="133" t="s">
        <v>8747</v>
      </c>
    </row>
    <row r="833" spans="1:8">
      <c r="A833" s="214" t="s">
        <v>7191</v>
      </c>
      <c r="B833" s="214" t="s">
        <v>7192</v>
      </c>
      <c r="C833" s="133" t="s">
        <v>8</v>
      </c>
      <c r="D833" s="133" t="s">
        <v>995</v>
      </c>
      <c r="E833" s="133" t="s">
        <v>63</v>
      </c>
      <c r="F833" s="133" t="s">
        <v>65</v>
      </c>
      <c r="G833" s="133" t="s">
        <v>8820</v>
      </c>
      <c r="H833" s="133" t="s">
        <v>8747</v>
      </c>
    </row>
    <row r="834" spans="1:8">
      <c r="A834" s="214" t="s">
        <v>9641</v>
      </c>
      <c r="B834" s="214" t="s">
        <v>9642</v>
      </c>
      <c r="C834" s="133" t="s">
        <v>10</v>
      </c>
      <c r="D834" s="133" t="s">
        <v>9013</v>
      </c>
      <c r="E834" s="133" t="s">
        <v>63</v>
      </c>
      <c r="F834" s="133" t="s">
        <v>65</v>
      </c>
      <c r="G834" s="133" t="s">
        <v>8826</v>
      </c>
      <c r="H834" s="133" t="s">
        <v>8747</v>
      </c>
    </row>
    <row r="835" spans="1:8">
      <c r="A835" s="214" t="s">
        <v>3682</v>
      </c>
      <c r="B835" s="214" t="s">
        <v>3683</v>
      </c>
      <c r="C835" s="133" t="s">
        <v>8</v>
      </c>
      <c r="D835" s="133" t="s">
        <v>1701</v>
      </c>
      <c r="E835" s="133" t="s">
        <v>63</v>
      </c>
      <c r="F835" s="133" t="s">
        <v>65</v>
      </c>
      <c r="G835" s="133" t="s">
        <v>9032</v>
      </c>
      <c r="H835" s="133" t="s">
        <v>8747</v>
      </c>
    </row>
    <row r="836" spans="1:8">
      <c r="A836" s="214" t="s">
        <v>2933</v>
      </c>
      <c r="B836" s="214" t="s">
        <v>2934</v>
      </c>
      <c r="C836" s="133" t="s">
        <v>8</v>
      </c>
      <c r="D836" s="133" t="s">
        <v>2076</v>
      </c>
      <c r="E836" s="133" t="s">
        <v>63</v>
      </c>
      <c r="F836" s="133" t="s">
        <v>65</v>
      </c>
      <c r="G836" s="133" t="s">
        <v>8820</v>
      </c>
      <c r="H836" s="133" t="s">
        <v>8747</v>
      </c>
    </row>
    <row r="837" spans="1:8">
      <c r="A837" s="214" t="s">
        <v>9643</v>
      </c>
      <c r="B837" s="214" t="s">
        <v>9644</v>
      </c>
      <c r="C837" s="133" t="s">
        <v>8</v>
      </c>
      <c r="D837" s="133" t="s">
        <v>1041</v>
      </c>
      <c r="E837" s="133" t="s">
        <v>63</v>
      </c>
      <c r="F837" s="133" t="s">
        <v>65</v>
      </c>
      <c r="G837" s="133" t="s">
        <v>8820</v>
      </c>
      <c r="H837" s="133" t="s">
        <v>8747</v>
      </c>
    </row>
    <row r="838" spans="1:8">
      <c r="A838" s="214" t="s">
        <v>9645</v>
      </c>
      <c r="B838" s="214" t="s">
        <v>9646</v>
      </c>
      <c r="C838" s="133" t="s">
        <v>8</v>
      </c>
      <c r="D838" s="133" t="s">
        <v>1047</v>
      </c>
      <c r="E838" s="133" t="s">
        <v>63</v>
      </c>
      <c r="F838" s="133" t="s">
        <v>65</v>
      </c>
      <c r="G838" s="133" t="s">
        <v>9032</v>
      </c>
      <c r="H838" s="133" t="s">
        <v>8747</v>
      </c>
    </row>
    <row r="839" spans="1:8">
      <c r="A839" s="214" t="s">
        <v>8407</v>
      </c>
      <c r="B839" s="214" t="s">
        <v>9647</v>
      </c>
      <c r="C839" s="133" t="s">
        <v>10</v>
      </c>
      <c r="D839" s="133" t="s">
        <v>5293</v>
      </c>
      <c r="E839" s="133" t="s">
        <v>63</v>
      </c>
      <c r="F839" s="133" t="s">
        <v>65</v>
      </c>
      <c r="G839" s="133" t="s">
        <v>9032</v>
      </c>
      <c r="H839" s="133" t="s">
        <v>8747</v>
      </c>
    </row>
    <row r="840" spans="1:8">
      <c r="A840" s="214" t="s">
        <v>4243</v>
      </c>
      <c r="B840" s="214" t="s">
        <v>4244</v>
      </c>
      <c r="C840" s="133" t="s">
        <v>10</v>
      </c>
      <c r="D840" s="133" t="s">
        <v>4216</v>
      </c>
      <c r="E840" s="133" t="s">
        <v>83</v>
      </c>
      <c r="F840" s="133" t="s">
        <v>65</v>
      </c>
      <c r="G840" s="133" t="s">
        <v>8776</v>
      </c>
      <c r="H840" s="133" t="s">
        <v>8747</v>
      </c>
    </row>
    <row r="841" spans="1:8">
      <c r="A841" s="214" t="s">
        <v>9648</v>
      </c>
      <c r="B841" s="214" t="s">
        <v>9649</v>
      </c>
      <c r="C841" s="133" t="s">
        <v>10</v>
      </c>
      <c r="D841" s="133" t="s">
        <v>3370</v>
      </c>
      <c r="E841" s="133" t="s">
        <v>83</v>
      </c>
      <c r="F841" s="133" t="s">
        <v>65</v>
      </c>
      <c r="G841" s="133" t="s">
        <v>8765</v>
      </c>
      <c r="H841" s="133" t="s">
        <v>8747</v>
      </c>
    </row>
    <row r="842" spans="1:8">
      <c r="A842" s="214" t="s">
        <v>3216</v>
      </c>
      <c r="B842" s="214" t="s">
        <v>3217</v>
      </c>
      <c r="C842" s="133" t="s">
        <v>9</v>
      </c>
      <c r="D842" s="133" t="s">
        <v>3541</v>
      </c>
      <c r="E842" s="133" t="s">
        <v>3539</v>
      </c>
      <c r="F842" s="133" t="s">
        <v>65</v>
      </c>
      <c r="G842" s="133" t="s">
        <v>8776</v>
      </c>
      <c r="H842" s="133" t="s">
        <v>8747</v>
      </c>
    </row>
    <row r="843" spans="1:8">
      <c r="A843" s="214" t="s">
        <v>5359</v>
      </c>
      <c r="B843" s="214" t="s">
        <v>4544</v>
      </c>
      <c r="C843" s="133" t="s">
        <v>8</v>
      </c>
      <c r="D843" s="133" t="s">
        <v>781</v>
      </c>
      <c r="E843" s="133" t="s">
        <v>83</v>
      </c>
      <c r="F843" s="133" t="s">
        <v>65</v>
      </c>
      <c r="G843" s="133" t="s">
        <v>8826</v>
      </c>
      <c r="H843" s="133" t="s">
        <v>8747</v>
      </c>
    </row>
    <row r="844" spans="1:8">
      <c r="A844" s="214" t="s">
        <v>9650</v>
      </c>
      <c r="B844" s="214" t="s">
        <v>9651</v>
      </c>
      <c r="C844" s="133" t="s">
        <v>399</v>
      </c>
      <c r="D844" s="133" t="s">
        <v>2260</v>
      </c>
      <c r="E844" s="133" t="s">
        <v>83</v>
      </c>
      <c r="F844" s="133" t="s">
        <v>65</v>
      </c>
      <c r="G844" s="133" t="s">
        <v>9385</v>
      </c>
      <c r="H844" s="133" t="s">
        <v>8747</v>
      </c>
    </row>
    <row r="845" spans="1:8">
      <c r="A845" s="214" t="s">
        <v>2311</v>
      </c>
      <c r="B845" s="214" t="s">
        <v>2312</v>
      </c>
      <c r="C845" s="133" t="s">
        <v>8</v>
      </c>
      <c r="D845" s="133" t="s">
        <v>1368</v>
      </c>
      <c r="E845" s="133" t="s">
        <v>63</v>
      </c>
      <c r="F845" s="133" t="s">
        <v>65</v>
      </c>
      <c r="G845" s="133" t="s">
        <v>8826</v>
      </c>
      <c r="H845" s="133" t="s">
        <v>8747</v>
      </c>
    </row>
    <row r="846" spans="1:8">
      <c r="A846" s="214" t="s">
        <v>8527</v>
      </c>
      <c r="B846" s="214" t="s">
        <v>9652</v>
      </c>
      <c r="C846" s="133" t="s">
        <v>8</v>
      </c>
      <c r="D846" s="133" t="s">
        <v>248</v>
      </c>
      <c r="E846" s="133" t="s">
        <v>83</v>
      </c>
      <c r="F846" s="133" t="s">
        <v>65</v>
      </c>
      <c r="G846" s="133" t="s">
        <v>8765</v>
      </c>
      <c r="H846" s="133" t="s">
        <v>8747</v>
      </c>
    </row>
    <row r="847" spans="1:8">
      <c r="A847" s="214" t="s">
        <v>143</v>
      </c>
      <c r="B847" s="214" t="s">
        <v>144</v>
      </c>
      <c r="C847" s="133" t="s">
        <v>8</v>
      </c>
      <c r="D847" s="133" t="s">
        <v>96</v>
      </c>
      <c r="E847" s="133" t="s">
        <v>83</v>
      </c>
      <c r="F847" s="133" t="s">
        <v>65</v>
      </c>
      <c r="G847" s="133" t="s">
        <v>9084</v>
      </c>
      <c r="H847" s="133" t="s">
        <v>8747</v>
      </c>
    </row>
    <row r="848" spans="1:8">
      <c r="A848" s="214" t="s">
        <v>1418</v>
      </c>
      <c r="B848" s="214" t="s">
        <v>1420</v>
      </c>
      <c r="C848" s="133" t="s">
        <v>8</v>
      </c>
      <c r="D848" s="133" t="s">
        <v>1419</v>
      </c>
      <c r="E848" s="133" t="s">
        <v>63</v>
      </c>
      <c r="F848" s="133" t="s">
        <v>65</v>
      </c>
      <c r="G848" s="133" t="s">
        <v>8820</v>
      </c>
      <c r="H848" s="133" t="s">
        <v>8747</v>
      </c>
    </row>
    <row r="849" spans="1:8">
      <c r="A849" s="214" t="s">
        <v>4667</v>
      </c>
      <c r="B849" s="214" t="s">
        <v>4668</v>
      </c>
      <c r="C849" s="133" t="s">
        <v>9</v>
      </c>
      <c r="D849" s="133" t="s">
        <v>4636</v>
      </c>
      <c r="E849" s="133" t="s">
        <v>83</v>
      </c>
      <c r="F849" s="133" t="s">
        <v>65</v>
      </c>
      <c r="G849" s="133" t="s">
        <v>8776</v>
      </c>
      <c r="H849" s="133" t="s">
        <v>8747</v>
      </c>
    </row>
    <row r="850" spans="1:8">
      <c r="A850" s="214" t="s">
        <v>1367</v>
      </c>
      <c r="B850" s="214" t="s">
        <v>1369</v>
      </c>
      <c r="C850" s="133" t="s">
        <v>8</v>
      </c>
      <c r="D850" s="133" t="s">
        <v>1368</v>
      </c>
      <c r="E850" s="133" t="s">
        <v>63</v>
      </c>
      <c r="F850" s="133" t="s">
        <v>65</v>
      </c>
      <c r="G850" s="133" t="s">
        <v>9032</v>
      </c>
      <c r="H850" s="133" t="s">
        <v>8747</v>
      </c>
    </row>
    <row r="851" spans="1:8">
      <c r="A851" s="214" t="s">
        <v>877</v>
      </c>
      <c r="B851" s="214" t="s">
        <v>878</v>
      </c>
      <c r="C851" s="133" t="s">
        <v>237</v>
      </c>
      <c r="D851" s="133" t="s">
        <v>290</v>
      </c>
      <c r="E851" s="133" t="s">
        <v>83</v>
      </c>
      <c r="F851" s="133" t="s">
        <v>65</v>
      </c>
      <c r="G851" s="133" t="s">
        <v>300</v>
      </c>
      <c r="H851" s="133" t="s">
        <v>8747</v>
      </c>
    </row>
    <row r="852" spans="1:8">
      <c r="A852" s="214" t="s">
        <v>400</v>
      </c>
      <c r="B852" s="214" t="s">
        <v>402</v>
      </c>
      <c r="C852" s="133" t="s">
        <v>399</v>
      </c>
      <c r="D852" s="133" t="s">
        <v>401</v>
      </c>
      <c r="E852" s="133" t="s">
        <v>83</v>
      </c>
      <c r="F852" s="133" t="s">
        <v>65</v>
      </c>
      <c r="G852" s="133" t="s">
        <v>8755</v>
      </c>
      <c r="H852" s="133" t="s">
        <v>8747</v>
      </c>
    </row>
    <row r="853" spans="1:8">
      <c r="A853" s="214" t="s">
        <v>9653</v>
      </c>
      <c r="B853" s="214" t="s">
        <v>9654</v>
      </c>
      <c r="C853" s="133" t="s">
        <v>8</v>
      </c>
      <c r="D853" s="133" t="s">
        <v>1419</v>
      </c>
      <c r="E853" s="133" t="s">
        <v>63</v>
      </c>
      <c r="F853" s="133" t="s">
        <v>65</v>
      </c>
      <c r="G853" s="133" t="s">
        <v>8826</v>
      </c>
      <c r="H853" s="133" t="s">
        <v>8747</v>
      </c>
    </row>
    <row r="854" spans="1:8">
      <c r="A854" s="214" t="s">
        <v>518</v>
      </c>
      <c r="B854" s="214" t="s">
        <v>519</v>
      </c>
      <c r="C854" s="133" t="s">
        <v>8</v>
      </c>
      <c r="D854" s="133" t="s">
        <v>477</v>
      </c>
      <c r="E854" s="133" t="s">
        <v>83</v>
      </c>
      <c r="F854" s="133" t="s">
        <v>65</v>
      </c>
      <c r="G854" s="133" t="s">
        <v>8982</v>
      </c>
      <c r="H854" s="133" t="s">
        <v>8747</v>
      </c>
    </row>
    <row r="855" spans="1:8">
      <c r="A855" s="214" t="s">
        <v>9655</v>
      </c>
      <c r="B855" s="214" t="s">
        <v>9656</v>
      </c>
      <c r="C855" s="133" t="s">
        <v>8</v>
      </c>
      <c r="D855" s="133" t="s">
        <v>96</v>
      </c>
      <c r="E855" s="133" t="s">
        <v>83</v>
      </c>
      <c r="F855" s="133" t="s">
        <v>65</v>
      </c>
      <c r="G855" s="133" t="s">
        <v>9084</v>
      </c>
      <c r="H855" s="133" t="s">
        <v>8747</v>
      </c>
    </row>
    <row r="856" spans="1:8">
      <c r="A856" s="214" t="s">
        <v>209</v>
      </c>
      <c r="B856" s="214" t="s">
        <v>210</v>
      </c>
      <c r="C856" s="133" t="s">
        <v>8</v>
      </c>
      <c r="D856" s="133" t="s">
        <v>96</v>
      </c>
      <c r="E856" s="133" t="s">
        <v>83</v>
      </c>
      <c r="F856" s="133" t="s">
        <v>65</v>
      </c>
      <c r="G856" s="133" t="s">
        <v>9084</v>
      </c>
      <c r="H856" s="133" t="s">
        <v>8747</v>
      </c>
    </row>
    <row r="857" spans="1:8">
      <c r="A857" s="214" t="s">
        <v>9657</v>
      </c>
      <c r="B857" s="214" t="s">
        <v>9658</v>
      </c>
      <c r="C857" s="133" t="s">
        <v>399</v>
      </c>
      <c r="D857" s="133" t="s">
        <v>401</v>
      </c>
      <c r="E857" s="133" t="s">
        <v>83</v>
      </c>
      <c r="F857" s="133" t="s">
        <v>65</v>
      </c>
      <c r="G857" s="133" t="s">
        <v>8755</v>
      </c>
      <c r="H857" s="133" t="s">
        <v>8747</v>
      </c>
    </row>
    <row r="858" spans="1:8">
      <c r="A858" s="214" t="s">
        <v>4976</v>
      </c>
      <c r="B858" s="214" t="s">
        <v>4978</v>
      </c>
      <c r="C858" s="133" t="s">
        <v>9</v>
      </c>
      <c r="D858" s="133" t="s">
        <v>4695</v>
      </c>
      <c r="E858" s="133" t="s">
        <v>83</v>
      </c>
      <c r="F858" s="133" t="s">
        <v>65</v>
      </c>
      <c r="G858" s="133" t="s">
        <v>8776</v>
      </c>
      <c r="H858" s="133" t="s">
        <v>8747</v>
      </c>
    </row>
    <row r="859" spans="1:8">
      <c r="A859" s="214" t="s">
        <v>4782</v>
      </c>
      <c r="B859" s="214" t="s">
        <v>4783</v>
      </c>
      <c r="C859" s="133" t="s">
        <v>399</v>
      </c>
      <c r="D859" s="133" t="s">
        <v>1375</v>
      </c>
      <c r="E859" s="133" t="s">
        <v>83</v>
      </c>
      <c r="F859" s="133" t="s">
        <v>65</v>
      </c>
      <c r="G859" s="133" t="s">
        <v>8755</v>
      </c>
      <c r="H859" s="133" t="s">
        <v>8747</v>
      </c>
    </row>
    <row r="860" spans="1:8">
      <c r="A860" s="214" t="s">
        <v>9659</v>
      </c>
      <c r="B860" s="214" t="s">
        <v>9660</v>
      </c>
      <c r="C860" s="133" t="s">
        <v>10</v>
      </c>
      <c r="D860" s="133" t="s">
        <v>8021</v>
      </c>
      <c r="E860" s="133" t="s">
        <v>63</v>
      </c>
      <c r="F860" s="133" t="s">
        <v>65</v>
      </c>
      <c r="G860" s="133" t="s">
        <v>9032</v>
      </c>
      <c r="H860" s="133" t="s">
        <v>8747</v>
      </c>
    </row>
    <row r="861" spans="1:8">
      <c r="A861" s="214" t="s">
        <v>1618</v>
      </c>
      <c r="B861" s="214" t="s">
        <v>1619</v>
      </c>
      <c r="C861" s="133" t="s">
        <v>8</v>
      </c>
      <c r="D861" s="133" t="s">
        <v>2076</v>
      </c>
      <c r="E861" s="133" t="s">
        <v>63</v>
      </c>
      <c r="F861" s="133" t="s">
        <v>65</v>
      </c>
      <c r="G861" s="133" t="s">
        <v>8820</v>
      </c>
      <c r="H861" s="133" t="s">
        <v>8747</v>
      </c>
    </row>
    <row r="862" spans="1:8">
      <c r="A862" s="214" t="s">
        <v>4465</v>
      </c>
      <c r="B862" s="214" t="s">
        <v>4466</v>
      </c>
      <c r="C862" s="133" t="s">
        <v>9</v>
      </c>
      <c r="D862" s="133" t="s">
        <v>4459</v>
      </c>
      <c r="E862" s="133" t="s">
        <v>83</v>
      </c>
      <c r="F862" s="133" t="s">
        <v>65</v>
      </c>
      <c r="G862" s="133" t="s">
        <v>8776</v>
      </c>
      <c r="H862" s="133" t="s">
        <v>8747</v>
      </c>
    </row>
    <row r="863" spans="1:8">
      <c r="A863" s="214" t="s">
        <v>5097</v>
      </c>
      <c r="B863" s="214" t="s">
        <v>5098</v>
      </c>
      <c r="C863" s="133" t="s">
        <v>399</v>
      </c>
      <c r="D863" s="133" t="s">
        <v>2208</v>
      </c>
      <c r="E863" s="133" t="s">
        <v>83</v>
      </c>
      <c r="F863" s="133" t="s">
        <v>65</v>
      </c>
      <c r="G863" s="133" t="s">
        <v>8755</v>
      </c>
      <c r="H863" s="133" t="s">
        <v>8747</v>
      </c>
    </row>
    <row r="864" spans="1:8">
      <c r="A864" s="214" t="s">
        <v>9661</v>
      </c>
      <c r="B864" s="214" t="s">
        <v>9662</v>
      </c>
      <c r="C864" s="133" t="s">
        <v>178</v>
      </c>
      <c r="D864" s="133" t="s">
        <v>8976</v>
      </c>
      <c r="E864" s="133" t="s">
        <v>83</v>
      </c>
      <c r="F864" s="133" t="s">
        <v>65</v>
      </c>
      <c r="G864" s="133" t="s">
        <v>9072</v>
      </c>
      <c r="H864" s="133" t="s">
        <v>8747</v>
      </c>
    </row>
    <row r="865" spans="1:8">
      <c r="A865" s="214" t="s">
        <v>9663</v>
      </c>
      <c r="B865" s="214" t="s">
        <v>9664</v>
      </c>
      <c r="C865" s="133" t="s">
        <v>10</v>
      </c>
      <c r="D865" s="133" t="s">
        <v>3103</v>
      </c>
      <c r="E865" s="133" t="s">
        <v>63</v>
      </c>
      <c r="F865" s="133" t="s">
        <v>65</v>
      </c>
      <c r="G865" s="133" t="s">
        <v>9032</v>
      </c>
      <c r="H865" s="133" t="s">
        <v>8747</v>
      </c>
    </row>
    <row r="866" spans="1:8">
      <c r="A866" s="214" t="s">
        <v>4325</v>
      </c>
      <c r="B866" s="214" t="s">
        <v>2926</v>
      </c>
      <c r="C866" s="133" t="s">
        <v>10</v>
      </c>
      <c r="D866" s="133" t="s">
        <v>4920</v>
      </c>
      <c r="E866" s="133" t="s">
        <v>83</v>
      </c>
      <c r="F866" s="133" t="s">
        <v>65</v>
      </c>
      <c r="G866" s="133" t="s">
        <v>8776</v>
      </c>
      <c r="H866" s="133" t="s">
        <v>8747</v>
      </c>
    </row>
    <row r="867" spans="1:8">
      <c r="A867" s="214" t="s">
        <v>5576</v>
      </c>
      <c r="B867" s="214" t="s">
        <v>2671</v>
      </c>
      <c r="C867" s="133" t="s">
        <v>2146</v>
      </c>
      <c r="D867" s="133" t="s">
        <v>2197</v>
      </c>
      <c r="E867" s="133" t="s">
        <v>83</v>
      </c>
      <c r="F867" s="133" t="s">
        <v>65</v>
      </c>
      <c r="G867" s="133" t="s">
        <v>8980</v>
      </c>
      <c r="H867" s="133" t="s">
        <v>8747</v>
      </c>
    </row>
    <row r="868" spans="1:8">
      <c r="A868" s="214" t="s">
        <v>2813</v>
      </c>
      <c r="B868" s="214" t="s">
        <v>2814</v>
      </c>
      <c r="C868" s="133" t="s">
        <v>8</v>
      </c>
      <c r="D868" s="133" t="s">
        <v>918</v>
      </c>
      <c r="E868" s="133" t="s">
        <v>83</v>
      </c>
      <c r="F868" s="133" t="s">
        <v>65</v>
      </c>
      <c r="G868" s="133" t="s">
        <v>8986</v>
      </c>
      <c r="H868" s="133" t="s">
        <v>8747</v>
      </c>
    </row>
    <row r="869" spans="1:8">
      <c r="A869" s="214" t="s">
        <v>9665</v>
      </c>
      <c r="B869" s="214" t="s">
        <v>9666</v>
      </c>
      <c r="C869" s="133" t="s">
        <v>178</v>
      </c>
      <c r="D869" s="133" t="s">
        <v>9092</v>
      </c>
      <c r="E869" s="133" t="s">
        <v>83</v>
      </c>
      <c r="F869" s="133" t="s">
        <v>65</v>
      </c>
      <c r="G869" s="133" t="s">
        <v>8776</v>
      </c>
      <c r="H869" s="133" t="s">
        <v>8747</v>
      </c>
    </row>
    <row r="870" spans="1:8">
      <c r="A870" s="214" t="s">
        <v>5877</v>
      </c>
      <c r="B870" s="214" t="s">
        <v>112</v>
      </c>
      <c r="C870" s="133" t="s">
        <v>8132</v>
      </c>
      <c r="D870" s="133" t="s">
        <v>85</v>
      </c>
      <c r="E870" s="133" t="s">
        <v>83</v>
      </c>
      <c r="F870" s="133" t="s">
        <v>65</v>
      </c>
      <c r="G870" s="133" t="s">
        <v>8755</v>
      </c>
      <c r="H870" s="133" t="s">
        <v>8747</v>
      </c>
    </row>
    <row r="871" spans="1:8">
      <c r="A871" s="214" t="s">
        <v>2683</v>
      </c>
      <c r="B871" s="214" t="s">
        <v>2684</v>
      </c>
      <c r="C871" s="133" t="s">
        <v>8</v>
      </c>
      <c r="D871" s="133" t="s">
        <v>2299</v>
      </c>
      <c r="E871" s="133" t="s">
        <v>63</v>
      </c>
      <c r="F871" s="133" t="s">
        <v>65</v>
      </c>
      <c r="G871" s="133" t="s">
        <v>9032</v>
      </c>
      <c r="H871" s="133" t="s">
        <v>8747</v>
      </c>
    </row>
    <row r="872" spans="1:8">
      <c r="A872" s="214" t="s">
        <v>95</v>
      </c>
      <c r="B872" s="214" t="s">
        <v>97</v>
      </c>
      <c r="C872" s="133" t="s">
        <v>8</v>
      </c>
      <c r="D872" s="133" t="s">
        <v>96</v>
      </c>
      <c r="E872" s="133" t="s">
        <v>83</v>
      </c>
      <c r="F872" s="133" t="s">
        <v>65</v>
      </c>
      <c r="G872" s="133" t="s">
        <v>9084</v>
      </c>
      <c r="H872" s="133" t="s">
        <v>8747</v>
      </c>
    </row>
    <row r="873" spans="1:8">
      <c r="A873" s="214" t="s">
        <v>2099</v>
      </c>
      <c r="B873" s="214" t="s">
        <v>2101</v>
      </c>
      <c r="C873" s="133" t="s">
        <v>8</v>
      </c>
      <c r="D873" s="133" t="s">
        <v>8884</v>
      </c>
      <c r="E873" s="133" t="s">
        <v>63</v>
      </c>
      <c r="F873" s="133" t="s">
        <v>65</v>
      </c>
      <c r="G873" s="133" t="s">
        <v>9032</v>
      </c>
      <c r="H873" s="133" t="s">
        <v>8747</v>
      </c>
    </row>
    <row r="874" spans="1:8">
      <c r="A874" s="214" t="s">
        <v>238</v>
      </c>
      <c r="B874" s="214" t="s">
        <v>240</v>
      </c>
      <c r="C874" s="133" t="s">
        <v>237</v>
      </c>
      <c r="D874" s="133" t="s">
        <v>239</v>
      </c>
      <c r="E874" s="133" t="s">
        <v>83</v>
      </c>
      <c r="F874" s="133" t="s">
        <v>65</v>
      </c>
      <c r="G874" s="133" t="s">
        <v>70</v>
      </c>
      <c r="H874" s="133" t="s">
        <v>8747</v>
      </c>
    </row>
    <row r="875" spans="1:8">
      <c r="A875" s="214" t="s">
        <v>3549</v>
      </c>
      <c r="B875" s="214" t="s">
        <v>3550</v>
      </c>
      <c r="C875" s="133" t="s">
        <v>8</v>
      </c>
      <c r="D875" s="133" t="s">
        <v>1701</v>
      </c>
      <c r="E875" s="133" t="s">
        <v>63</v>
      </c>
      <c r="F875" s="133" t="s">
        <v>65</v>
      </c>
      <c r="G875" s="133" t="s">
        <v>8820</v>
      </c>
      <c r="H875" s="133" t="s">
        <v>8747</v>
      </c>
    </row>
    <row r="876" spans="1:8">
      <c r="A876" s="214" t="s">
        <v>2825</v>
      </c>
      <c r="B876" s="214" t="s">
        <v>2826</v>
      </c>
      <c r="C876" s="133" t="s">
        <v>8</v>
      </c>
      <c r="D876" s="133" t="s">
        <v>9096</v>
      </c>
      <c r="E876" s="133" t="s">
        <v>83</v>
      </c>
      <c r="F876" s="133" t="s">
        <v>65</v>
      </c>
      <c r="G876" s="133" t="s">
        <v>8987</v>
      </c>
      <c r="H876" s="133" t="s">
        <v>8747</v>
      </c>
    </row>
    <row r="877" spans="1:8">
      <c r="A877" s="214" t="s">
        <v>9667</v>
      </c>
      <c r="B877" s="214" t="s">
        <v>9668</v>
      </c>
      <c r="C877" s="133" t="s">
        <v>8</v>
      </c>
      <c r="D877" s="133" t="s">
        <v>248</v>
      </c>
      <c r="E877" s="133" t="s">
        <v>83</v>
      </c>
      <c r="F877" s="133" t="s">
        <v>65</v>
      </c>
      <c r="G877" s="133" t="s">
        <v>8861</v>
      </c>
      <c r="H877" s="133" t="s">
        <v>8747</v>
      </c>
    </row>
    <row r="878" spans="1:8">
      <c r="A878" s="214" t="s">
        <v>5937</v>
      </c>
      <c r="B878" s="214" t="s">
        <v>5938</v>
      </c>
      <c r="C878" s="133" t="s">
        <v>2146</v>
      </c>
      <c r="D878" s="133" t="s">
        <v>5908</v>
      </c>
      <c r="E878" s="133" t="s">
        <v>83</v>
      </c>
      <c r="F878" s="133" t="s">
        <v>65</v>
      </c>
      <c r="G878" s="133" t="s">
        <v>8980</v>
      </c>
      <c r="H878" s="133" t="s">
        <v>8747</v>
      </c>
    </row>
    <row r="879" spans="1:8">
      <c r="A879" s="214" t="s">
        <v>5658</v>
      </c>
      <c r="B879" s="214" t="s">
        <v>5659</v>
      </c>
      <c r="C879" s="133" t="s">
        <v>2146</v>
      </c>
      <c r="D879" s="133" t="s">
        <v>5640</v>
      </c>
      <c r="E879" s="133" t="s">
        <v>83</v>
      </c>
      <c r="F879" s="133" t="s">
        <v>65</v>
      </c>
      <c r="G879" s="133" t="s">
        <v>8768</v>
      </c>
      <c r="H879" s="133" t="s">
        <v>8747</v>
      </c>
    </row>
    <row r="880" spans="1:8">
      <c r="A880" s="214" t="s">
        <v>84</v>
      </c>
      <c r="B880" s="214" t="s">
        <v>86</v>
      </c>
      <c r="C880" s="133" t="s">
        <v>8132</v>
      </c>
      <c r="D880" s="133" t="s">
        <v>85</v>
      </c>
      <c r="E880" s="133" t="s">
        <v>83</v>
      </c>
      <c r="F880" s="133" t="s">
        <v>65</v>
      </c>
      <c r="G880" s="133" t="s">
        <v>8755</v>
      </c>
      <c r="H880" s="133" t="s">
        <v>8747</v>
      </c>
    </row>
    <row r="881" spans="1:8">
      <c r="A881" s="214" t="s">
        <v>1337</v>
      </c>
      <c r="B881" s="214" t="s">
        <v>1338</v>
      </c>
      <c r="C881" s="133" t="s">
        <v>8</v>
      </c>
      <c r="D881" s="133" t="s">
        <v>440</v>
      </c>
      <c r="E881" s="133" t="s">
        <v>63</v>
      </c>
      <c r="F881" s="133" t="s">
        <v>65</v>
      </c>
      <c r="G881" s="133" t="s">
        <v>9032</v>
      </c>
      <c r="H881" s="133" t="s">
        <v>8747</v>
      </c>
    </row>
    <row r="882" spans="1:8">
      <c r="A882" s="214" t="s">
        <v>9669</v>
      </c>
      <c r="B882" s="214" t="s">
        <v>9670</v>
      </c>
      <c r="C882" s="133" t="s">
        <v>2146</v>
      </c>
      <c r="D882" s="133" t="s">
        <v>2197</v>
      </c>
      <c r="E882" s="133" t="s">
        <v>83</v>
      </c>
      <c r="F882" s="133" t="s">
        <v>65</v>
      </c>
      <c r="G882" s="133" t="s">
        <v>8776</v>
      </c>
      <c r="H882" s="133" t="s">
        <v>8747</v>
      </c>
    </row>
    <row r="883" spans="1:8">
      <c r="A883" s="214" t="s">
        <v>4458</v>
      </c>
      <c r="B883" s="214" t="s">
        <v>4460</v>
      </c>
      <c r="C883" s="133" t="s">
        <v>9</v>
      </c>
      <c r="D883" s="133" t="s">
        <v>4459</v>
      </c>
      <c r="E883" s="133" t="s">
        <v>83</v>
      </c>
      <c r="F883" s="133" t="s">
        <v>65</v>
      </c>
      <c r="G883" s="133" t="s">
        <v>8776</v>
      </c>
      <c r="H883" s="133" t="s">
        <v>8747</v>
      </c>
    </row>
    <row r="884" spans="1:8">
      <c r="A884" s="214" t="s">
        <v>9671</v>
      </c>
      <c r="B884" s="214" t="s">
        <v>9672</v>
      </c>
      <c r="C884" s="133" t="s">
        <v>10</v>
      </c>
      <c r="D884" s="133" t="s">
        <v>8930</v>
      </c>
      <c r="E884" s="133" t="s">
        <v>63</v>
      </c>
      <c r="F884" s="133" t="s">
        <v>65</v>
      </c>
      <c r="G884" s="133" t="s">
        <v>8826</v>
      </c>
      <c r="H884" s="133" t="s">
        <v>8747</v>
      </c>
    </row>
    <row r="885" spans="1:8">
      <c r="A885" s="214" t="s">
        <v>788</v>
      </c>
      <c r="B885" s="214" t="s">
        <v>789</v>
      </c>
      <c r="C885" s="133" t="s">
        <v>8</v>
      </c>
      <c r="D885" s="133" t="s">
        <v>781</v>
      </c>
      <c r="E885" s="133" t="s">
        <v>83</v>
      </c>
      <c r="F885" s="133" t="s">
        <v>65</v>
      </c>
      <c r="G885" s="133" t="s">
        <v>8826</v>
      </c>
      <c r="H885" s="133" t="s">
        <v>8747</v>
      </c>
    </row>
    <row r="886" spans="1:8">
      <c r="A886" s="214" t="s">
        <v>1197</v>
      </c>
      <c r="B886" s="214" t="s">
        <v>1198</v>
      </c>
      <c r="C886" s="133" t="s">
        <v>8</v>
      </c>
      <c r="D886" s="133" t="s">
        <v>910</v>
      </c>
      <c r="E886" s="133" t="s">
        <v>83</v>
      </c>
      <c r="F886" s="133" t="s">
        <v>65</v>
      </c>
      <c r="G886" s="133" t="s">
        <v>8983</v>
      </c>
      <c r="H886" s="133" t="s">
        <v>8747</v>
      </c>
    </row>
    <row r="887" spans="1:8">
      <c r="A887" s="214" t="s">
        <v>1272</v>
      </c>
      <c r="B887" s="214" t="s">
        <v>1273</v>
      </c>
      <c r="C887" s="133" t="s">
        <v>8</v>
      </c>
      <c r="D887" s="133" t="s">
        <v>910</v>
      </c>
      <c r="E887" s="133" t="s">
        <v>83</v>
      </c>
      <c r="F887" s="133" t="s">
        <v>65</v>
      </c>
      <c r="G887" s="133" t="s">
        <v>8983</v>
      </c>
      <c r="H887" s="133" t="s">
        <v>8747</v>
      </c>
    </row>
    <row r="888" spans="1:8">
      <c r="A888" s="214" t="s">
        <v>413</v>
      </c>
      <c r="B888" s="214" t="s">
        <v>414</v>
      </c>
      <c r="C888" s="133" t="s">
        <v>8</v>
      </c>
      <c r="D888" s="133" t="s">
        <v>339</v>
      </c>
      <c r="E888" s="133" t="s">
        <v>83</v>
      </c>
      <c r="F888" s="133" t="s">
        <v>65</v>
      </c>
      <c r="G888" s="133" t="s">
        <v>8987</v>
      </c>
      <c r="H888" s="133" t="s">
        <v>8747</v>
      </c>
    </row>
    <row r="889" spans="1:8">
      <c r="A889" s="214" t="s">
        <v>4629</v>
      </c>
      <c r="B889" s="214" t="s">
        <v>4630</v>
      </c>
      <c r="C889" s="133" t="s">
        <v>9</v>
      </c>
      <c r="D889" s="133" t="s">
        <v>4459</v>
      </c>
      <c r="E889" s="133" t="s">
        <v>83</v>
      </c>
      <c r="F889" s="133" t="s">
        <v>65</v>
      </c>
      <c r="G889" s="133" t="s">
        <v>8776</v>
      </c>
      <c r="H889" s="133" t="s">
        <v>8747</v>
      </c>
    </row>
    <row r="890" spans="1:8">
      <c r="A890" s="214" t="s">
        <v>4490</v>
      </c>
      <c r="B890" s="214" t="s">
        <v>4491</v>
      </c>
      <c r="C890" s="133" t="s">
        <v>9</v>
      </c>
      <c r="D890" s="133" t="s">
        <v>4819</v>
      </c>
      <c r="E890" s="133" t="s">
        <v>83</v>
      </c>
      <c r="F890" s="133" t="s">
        <v>65</v>
      </c>
      <c r="G890" s="133" t="s">
        <v>8861</v>
      </c>
      <c r="H890" s="133" t="s">
        <v>8747</v>
      </c>
    </row>
    <row r="891" spans="1:8">
      <c r="A891" s="214" t="s">
        <v>1028</v>
      </c>
      <c r="B891" s="214" t="s">
        <v>1029</v>
      </c>
      <c r="C891" s="133" t="s">
        <v>8</v>
      </c>
      <c r="D891" s="133" t="s">
        <v>918</v>
      </c>
      <c r="E891" s="133" t="s">
        <v>83</v>
      </c>
      <c r="F891" s="133" t="s">
        <v>65</v>
      </c>
      <c r="G891" s="133" t="s">
        <v>8986</v>
      </c>
      <c r="H891" s="133" t="s">
        <v>8747</v>
      </c>
    </row>
    <row r="892" spans="1:8">
      <c r="A892" s="214" t="s">
        <v>8276</v>
      </c>
      <c r="B892" s="214" t="s">
        <v>9673</v>
      </c>
      <c r="C892" s="133" t="s">
        <v>8</v>
      </c>
      <c r="D892" s="133" t="s">
        <v>66</v>
      </c>
      <c r="E892" s="133" t="s">
        <v>63</v>
      </c>
      <c r="F892" s="133" t="s">
        <v>65</v>
      </c>
      <c r="G892" s="133" t="s">
        <v>8820</v>
      </c>
      <c r="H892" s="133" t="s">
        <v>8747</v>
      </c>
    </row>
    <row r="893" spans="1:8">
      <c r="A893" s="214" t="s">
        <v>2844</v>
      </c>
      <c r="B893" s="214" t="s">
        <v>2845</v>
      </c>
      <c r="C893" s="133" t="s">
        <v>8</v>
      </c>
      <c r="D893" s="133" t="s">
        <v>818</v>
      </c>
      <c r="E893" s="133" t="s">
        <v>63</v>
      </c>
      <c r="F893" s="133" t="s">
        <v>65</v>
      </c>
      <c r="G893" s="133" t="s">
        <v>8820</v>
      </c>
      <c r="H893" s="133" t="s">
        <v>8747</v>
      </c>
    </row>
    <row r="894" spans="1:8">
      <c r="A894" s="214" t="s">
        <v>2527</v>
      </c>
      <c r="B894" s="214" t="s">
        <v>2528</v>
      </c>
      <c r="C894" s="133" t="s">
        <v>8</v>
      </c>
      <c r="D894" s="133" t="s">
        <v>1701</v>
      </c>
      <c r="E894" s="133" t="s">
        <v>63</v>
      </c>
      <c r="F894" s="133" t="s">
        <v>65</v>
      </c>
      <c r="G894" s="133" t="s">
        <v>8820</v>
      </c>
      <c r="H894" s="133" t="s">
        <v>8747</v>
      </c>
    </row>
    <row r="895" spans="1:8">
      <c r="A895" s="214" t="s">
        <v>9674</v>
      </c>
      <c r="B895" s="214" t="s">
        <v>9675</v>
      </c>
      <c r="C895" s="133" t="s">
        <v>8</v>
      </c>
      <c r="D895" s="133" t="s">
        <v>1522</v>
      </c>
      <c r="E895" s="133" t="s">
        <v>63</v>
      </c>
      <c r="F895" s="133" t="s">
        <v>65</v>
      </c>
      <c r="G895" s="133" t="s">
        <v>8820</v>
      </c>
      <c r="H895" s="133" t="s">
        <v>8747</v>
      </c>
    </row>
    <row r="896" spans="1:8">
      <c r="A896" s="214" t="s">
        <v>2691</v>
      </c>
      <c r="B896" s="214" t="s">
        <v>2692</v>
      </c>
      <c r="C896" s="133" t="s">
        <v>8</v>
      </c>
      <c r="D896" s="133" t="s">
        <v>1419</v>
      </c>
      <c r="E896" s="133" t="s">
        <v>63</v>
      </c>
      <c r="F896" s="133" t="s">
        <v>65</v>
      </c>
      <c r="G896" s="133" t="s">
        <v>8820</v>
      </c>
      <c r="H896" s="133" t="s">
        <v>8747</v>
      </c>
    </row>
    <row r="897" spans="1:8">
      <c r="A897" s="214" t="s">
        <v>2925</v>
      </c>
      <c r="B897" s="214" t="s">
        <v>2926</v>
      </c>
      <c r="C897" s="133" t="s">
        <v>8</v>
      </c>
      <c r="D897" s="133" t="s">
        <v>1413</v>
      </c>
      <c r="E897" s="133" t="s">
        <v>63</v>
      </c>
      <c r="F897" s="133" t="s">
        <v>65</v>
      </c>
      <c r="G897" s="133" t="s">
        <v>8820</v>
      </c>
      <c r="H897" s="133" t="s">
        <v>8747</v>
      </c>
    </row>
    <row r="898" spans="1:8">
      <c r="A898" s="214" t="s">
        <v>2367</v>
      </c>
      <c r="B898" s="214" t="s">
        <v>2368</v>
      </c>
      <c r="C898" s="133" t="s">
        <v>8</v>
      </c>
      <c r="D898" s="133" t="s">
        <v>2076</v>
      </c>
      <c r="E898" s="133" t="s">
        <v>63</v>
      </c>
      <c r="F898" s="133" t="s">
        <v>65</v>
      </c>
      <c r="G898" s="133" t="s">
        <v>9032</v>
      </c>
      <c r="H898" s="133" t="s">
        <v>8747</v>
      </c>
    </row>
    <row r="899" spans="1:8">
      <c r="A899" s="214" t="s">
        <v>9676</v>
      </c>
      <c r="B899" s="214" t="s">
        <v>9677</v>
      </c>
      <c r="C899" s="133" t="s">
        <v>8</v>
      </c>
      <c r="D899" s="133" t="s">
        <v>8869</v>
      </c>
      <c r="E899" s="133" t="s">
        <v>63</v>
      </c>
      <c r="F899" s="133" t="s">
        <v>65</v>
      </c>
      <c r="G899" s="133" t="s">
        <v>8986</v>
      </c>
      <c r="H899" s="133" t="s">
        <v>8747</v>
      </c>
    </row>
    <row r="900" spans="1:8">
      <c r="A900" s="214" t="s">
        <v>9678</v>
      </c>
      <c r="B900" s="214" t="s">
        <v>6034</v>
      </c>
      <c r="C900" s="133" t="s">
        <v>10</v>
      </c>
      <c r="D900" s="133" t="s">
        <v>4914</v>
      </c>
      <c r="E900" s="133" t="s">
        <v>63</v>
      </c>
      <c r="F900" s="133" t="s">
        <v>65</v>
      </c>
      <c r="G900" s="133" t="s">
        <v>8820</v>
      </c>
      <c r="H900" s="133" t="s">
        <v>8747</v>
      </c>
    </row>
    <row r="901" spans="1:8">
      <c r="A901" s="214" t="s">
        <v>9679</v>
      </c>
      <c r="B901" s="214" t="s">
        <v>9680</v>
      </c>
      <c r="C901" s="133" t="s">
        <v>8</v>
      </c>
      <c r="D901" s="133" t="s">
        <v>2299</v>
      </c>
      <c r="E901" s="133" t="s">
        <v>63</v>
      </c>
      <c r="F901" s="133" t="s">
        <v>65</v>
      </c>
      <c r="G901" s="133" t="s">
        <v>8826</v>
      </c>
      <c r="H901" s="133" t="s">
        <v>8747</v>
      </c>
    </row>
    <row r="902" spans="1:8">
      <c r="A902" s="214" t="s">
        <v>9681</v>
      </c>
      <c r="B902" s="214" t="s">
        <v>9682</v>
      </c>
      <c r="C902" s="133" t="s">
        <v>2146</v>
      </c>
      <c r="D902" s="133" t="s">
        <v>2197</v>
      </c>
      <c r="E902" s="133" t="s">
        <v>83</v>
      </c>
      <c r="F902" s="133" t="s">
        <v>65</v>
      </c>
      <c r="G902" s="133" t="s">
        <v>8980</v>
      </c>
      <c r="H902" s="133" t="s">
        <v>8747</v>
      </c>
    </row>
    <row r="903" spans="1:8">
      <c r="A903" s="214" t="s">
        <v>9683</v>
      </c>
      <c r="B903" s="214" t="s">
        <v>2671</v>
      </c>
      <c r="C903" s="133" t="s">
        <v>178</v>
      </c>
      <c r="D903" s="133" t="s">
        <v>9170</v>
      </c>
      <c r="E903" s="133" t="s">
        <v>178</v>
      </c>
      <c r="F903" s="133" t="s">
        <v>65</v>
      </c>
      <c r="G903" s="133" t="s">
        <v>8784</v>
      </c>
      <c r="H903" s="133" t="s">
        <v>8747</v>
      </c>
    </row>
    <row r="904" spans="1:8">
      <c r="A904" s="214" t="s">
        <v>9684</v>
      </c>
      <c r="B904" s="214" t="s">
        <v>9685</v>
      </c>
      <c r="C904" s="133" t="s">
        <v>178</v>
      </c>
      <c r="D904" s="133" t="s">
        <v>8979</v>
      </c>
      <c r="E904" s="133" t="s">
        <v>178</v>
      </c>
      <c r="F904" s="133" t="s">
        <v>65</v>
      </c>
      <c r="G904" s="133" t="s">
        <v>8820</v>
      </c>
      <c r="H904" s="133" t="s">
        <v>8747</v>
      </c>
    </row>
    <row r="905" spans="1:8">
      <c r="A905" s="214" t="s">
        <v>5091</v>
      </c>
      <c r="B905" s="214" t="s">
        <v>5092</v>
      </c>
      <c r="C905" s="133" t="s">
        <v>399</v>
      </c>
      <c r="D905" s="133" t="s">
        <v>2208</v>
      </c>
      <c r="E905" s="133" t="s">
        <v>83</v>
      </c>
      <c r="F905" s="133" t="s">
        <v>65</v>
      </c>
      <c r="G905" s="133" t="s">
        <v>8755</v>
      </c>
      <c r="H905" s="133" t="s">
        <v>8747</v>
      </c>
    </row>
    <row r="906" spans="1:8">
      <c r="A906" s="214" t="s">
        <v>9686</v>
      </c>
      <c r="B906" s="214" t="s">
        <v>9687</v>
      </c>
      <c r="C906" s="133" t="s">
        <v>10</v>
      </c>
      <c r="D906" s="133" t="s">
        <v>8948</v>
      </c>
      <c r="E906" s="133" t="s">
        <v>63</v>
      </c>
      <c r="F906" s="133" t="s">
        <v>65</v>
      </c>
      <c r="G906" s="133" t="s">
        <v>8826</v>
      </c>
      <c r="H906" s="133" t="s">
        <v>8747</v>
      </c>
    </row>
    <row r="907" spans="1:8">
      <c r="A907" s="214" t="s">
        <v>9688</v>
      </c>
      <c r="B907" s="214" t="s">
        <v>9689</v>
      </c>
      <c r="C907" s="133" t="s">
        <v>8</v>
      </c>
      <c r="D907" s="133" t="s">
        <v>1522</v>
      </c>
      <c r="E907" s="133" t="s">
        <v>63</v>
      </c>
      <c r="F907" s="133" t="s">
        <v>65</v>
      </c>
      <c r="G907" s="133" t="s">
        <v>8820</v>
      </c>
      <c r="H907" s="133" t="s">
        <v>8747</v>
      </c>
    </row>
    <row r="908" spans="1:8">
      <c r="A908" s="214" t="s">
        <v>9690</v>
      </c>
      <c r="B908" s="214" t="s">
        <v>9691</v>
      </c>
      <c r="C908" s="133" t="s">
        <v>8</v>
      </c>
      <c r="D908" s="133" t="s">
        <v>1041</v>
      </c>
      <c r="E908" s="133" t="s">
        <v>63</v>
      </c>
      <c r="F908" s="133" t="s">
        <v>65</v>
      </c>
      <c r="G908" s="133" t="s">
        <v>9032</v>
      </c>
      <c r="H908" s="133" t="s">
        <v>8747</v>
      </c>
    </row>
    <row r="909" spans="1:8">
      <c r="A909" s="214" t="s">
        <v>9692</v>
      </c>
      <c r="B909" s="214" t="s">
        <v>9693</v>
      </c>
      <c r="C909" s="133" t="s">
        <v>8</v>
      </c>
      <c r="D909" s="133" t="s">
        <v>277</v>
      </c>
      <c r="E909" s="133" t="s">
        <v>63</v>
      </c>
      <c r="F909" s="133" t="s">
        <v>65</v>
      </c>
      <c r="G909" s="133" t="s">
        <v>8820</v>
      </c>
      <c r="H909" s="133" t="s">
        <v>8747</v>
      </c>
    </row>
    <row r="910" spans="1:8">
      <c r="A910" s="214" t="s">
        <v>1034</v>
      </c>
      <c r="B910" s="214" t="s">
        <v>1035</v>
      </c>
      <c r="C910" s="133" t="s">
        <v>8</v>
      </c>
      <c r="D910" s="133" t="s">
        <v>809</v>
      </c>
      <c r="E910" s="133" t="s">
        <v>63</v>
      </c>
      <c r="F910" s="133" t="s">
        <v>65</v>
      </c>
      <c r="G910" s="133" t="s">
        <v>8986</v>
      </c>
      <c r="H910" s="133" t="s">
        <v>8747</v>
      </c>
    </row>
    <row r="911" spans="1:8">
      <c r="A911" s="214" t="s">
        <v>2756</v>
      </c>
      <c r="B911" s="214" t="s">
        <v>2757</v>
      </c>
      <c r="C911" s="133" t="s">
        <v>8</v>
      </c>
      <c r="D911" s="133" t="s">
        <v>66</v>
      </c>
      <c r="E911" s="133" t="s">
        <v>63</v>
      </c>
      <c r="F911" s="133" t="s">
        <v>65</v>
      </c>
      <c r="G911" s="133" t="s">
        <v>8820</v>
      </c>
      <c r="H911" s="133" t="s">
        <v>8747</v>
      </c>
    </row>
    <row r="912" spans="1:8">
      <c r="A912" s="214" t="s">
        <v>3166</v>
      </c>
      <c r="B912" s="214" t="s">
        <v>3167</v>
      </c>
      <c r="C912" s="133" t="s">
        <v>8</v>
      </c>
      <c r="D912" s="133" t="s">
        <v>1701</v>
      </c>
      <c r="E912" s="133" t="s">
        <v>63</v>
      </c>
      <c r="F912" s="133" t="s">
        <v>65</v>
      </c>
      <c r="G912" s="133" t="s">
        <v>9032</v>
      </c>
      <c r="H912" s="133" t="s">
        <v>8747</v>
      </c>
    </row>
    <row r="913" spans="1:8">
      <c r="A913" s="214" t="s">
        <v>9694</v>
      </c>
      <c r="B913" s="214" t="s">
        <v>9695</v>
      </c>
      <c r="C913" s="133" t="s">
        <v>8</v>
      </c>
      <c r="D913" s="133" t="s">
        <v>1419</v>
      </c>
      <c r="E913" s="133" t="s">
        <v>63</v>
      </c>
      <c r="F913" s="133" t="s">
        <v>65</v>
      </c>
      <c r="G913" s="133" t="s">
        <v>8820</v>
      </c>
      <c r="H913" s="133" t="s">
        <v>8747</v>
      </c>
    </row>
    <row r="914" spans="1:8">
      <c r="A914" s="214" t="s">
        <v>9696</v>
      </c>
      <c r="B914" s="214" t="s">
        <v>9697</v>
      </c>
      <c r="C914" s="133" t="s">
        <v>237</v>
      </c>
      <c r="D914" s="133" t="s">
        <v>2110</v>
      </c>
      <c r="E914" s="133" t="s">
        <v>83</v>
      </c>
      <c r="F914" s="133" t="s">
        <v>65</v>
      </c>
      <c r="G914" s="133" t="s">
        <v>8991</v>
      </c>
      <c r="H914" s="133" t="s">
        <v>8747</v>
      </c>
    </row>
    <row r="915" spans="1:8">
      <c r="A915" s="214" t="s">
        <v>6947</v>
      </c>
      <c r="B915" s="214" t="s">
        <v>6948</v>
      </c>
      <c r="C915" s="133" t="s">
        <v>8</v>
      </c>
      <c r="D915" s="133" t="s">
        <v>440</v>
      </c>
      <c r="E915" s="133" t="s">
        <v>63</v>
      </c>
      <c r="F915" s="133" t="s">
        <v>65</v>
      </c>
      <c r="G915" s="133" t="s">
        <v>8820</v>
      </c>
      <c r="H915" s="133" t="s">
        <v>8747</v>
      </c>
    </row>
    <row r="916" spans="1:8">
      <c r="A916" s="214" t="s">
        <v>3254</v>
      </c>
      <c r="B916" s="214" t="s">
        <v>3255</v>
      </c>
      <c r="C916" s="133" t="s">
        <v>8</v>
      </c>
      <c r="D916" s="133" t="s">
        <v>818</v>
      </c>
      <c r="E916" s="133" t="s">
        <v>63</v>
      </c>
      <c r="F916" s="133" t="s">
        <v>65</v>
      </c>
      <c r="G916" s="133" t="s">
        <v>9032</v>
      </c>
      <c r="H916" s="133" t="s">
        <v>8747</v>
      </c>
    </row>
    <row r="917" spans="1:8">
      <c r="A917" s="214" t="s">
        <v>1098</v>
      </c>
      <c r="B917" s="214" t="s">
        <v>1099</v>
      </c>
      <c r="C917" s="133" t="s">
        <v>8</v>
      </c>
      <c r="D917" s="133" t="s">
        <v>809</v>
      </c>
      <c r="E917" s="133" t="s">
        <v>63</v>
      </c>
      <c r="F917" s="133" t="s">
        <v>65</v>
      </c>
      <c r="G917" s="133" t="s">
        <v>8986</v>
      </c>
      <c r="H917" s="133" t="s">
        <v>8747</v>
      </c>
    </row>
    <row r="918" spans="1:8">
      <c r="A918" s="214" t="s">
        <v>9698</v>
      </c>
      <c r="B918" s="214" t="s">
        <v>9699</v>
      </c>
      <c r="C918" s="133" t="s">
        <v>8</v>
      </c>
      <c r="D918" s="133" t="s">
        <v>8884</v>
      </c>
      <c r="E918" s="133" t="s">
        <v>63</v>
      </c>
      <c r="F918" s="133" t="s">
        <v>65</v>
      </c>
      <c r="G918" s="133" t="s">
        <v>8820</v>
      </c>
      <c r="H918" s="133" t="s">
        <v>8747</v>
      </c>
    </row>
    <row r="919" spans="1:8">
      <c r="A919" s="214" t="s">
        <v>9700</v>
      </c>
      <c r="B919" s="214" t="s">
        <v>9701</v>
      </c>
      <c r="C919" s="133" t="s">
        <v>8</v>
      </c>
      <c r="D919" s="133" t="s">
        <v>1047</v>
      </c>
      <c r="E919" s="133" t="s">
        <v>63</v>
      </c>
      <c r="F919" s="133" t="s">
        <v>65</v>
      </c>
      <c r="G919" s="133" t="s">
        <v>8820</v>
      </c>
      <c r="H919" s="133" t="s">
        <v>8747</v>
      </c>
    </row>
    <row r="920" spans="1:8">
      <c r="A920" s="214" t="s">
        <v>4748</v>
      </c>
      <c r="B920" s="214" t="s">
        <v>4749</v>
      </c>
      <c r="C920" s="133" t="s">
        <v>8</v>
      </c>
      <c r="D920" s="133" t="s">
        <v>277</v>
      </c>
      <c r="E920" s="133" t="s">
        <v>63</v>
      </c>
      <c r="F920" s="133" t="s">
        <v>65</v>
      </c>
      <c r="G920" s="133" t="s">
        <v>8820</v>
      </c>
      <c r="H920" s="133" t="s">
        <v>8747</v>
      </c>
    </row>
    <row r="921" spans="1:8">
      <c r="A921" s="214" t="s">
        <v>9702</v>
      </c>
      <c r="B921" s="214" t="s">
        <v>9703</v>
      </c>
      <c r="C921" s="133" t="s">
        <v>8</v>
      </c>
      <c r="D921" s="133" t="s">
        <v>1041</v>
      </c>
      <c r="E921" s="133" t="s">
        <v>63</v>
      </c>
      <c r="F921" s="133" t="s">
        <v>65</v>
      </c>
      <c r="G921" s="133" t="s">
        <v>8820</v>
      </c>
      <c r="H921" s="133" t="s">
        <v>8747</v>
      </c>
    </row>
    <row r="922" spans="1:8">
      <c r="A922" s="214" t="s">
        <v>2703</v>
      </c>
      <c r="B922" s="214" t="s">
        <v>2704</v>
      </c>
      <c r="C922" s="133" t="s">
        <v>8</v>
      </c>
      <c r="D922" s="133" t="s">
        <v>2076</v>
      </c>
      <c r="E922" s="133" t="s">
        <v>63</v>
      </c>
      <c r="F922" s="133" t="s">
        <v>65</v>
      </c>
      <c r="G922" s="133" t="s">
        <v>8820</v>
      </c>
      <c r="H922" s="133" t="s">
        <v>8747</v>
      </c>
    </row>
    <row r="923" spans="1:8">
      <c r="A923" s="214" t="s">
        <v>2510</v>
      </c>
      <c r="B923" s="214" t="s">
        <v>2511</v>
      </c>
      <c r="C923" s="133" t="s">
        <v>8</v>
      </c>
      <c r="D923" s="133" t="s">
        <v>1701</v>
      </c>
      <c r="E923" s="133" t="s">
        <v>63</v>
      </c>
      <c r="F923" s="133" t="s">
        <v>65</v>
      </c>
      <c r="G923" s="133" t="s">
        <v>8820</v>
      </c>
      <c r="H923" s="133" t="s">
        <v>8747</v>
      </c>
    </row>
    <row r="924" spans="1:8">
      <c r="A924" s="214" t="s">
        <v>4549</v>
      </c>
      <c r="B924" s="214" t="s">
        <v>4550</v>
      </c>
      <c r="C924" s="133" t="s">
        <v>9</v>
      </c>
      <c r="D924" s="133" t="s">
        <v>3541</v>
      </c>
      <c r="E924" s="133" t="s">
        <v>3539</v>
      </c>
      <c r="F924" s="133" t="s">
        <v>65</v>
      </c>
      <c r="G924" s="133" t="s">
        <v>8776</v>
      </c>
      <c r="H924" s="133" t="s">
        <v>8747</v>
      </c>
    </row>
    <row r="925" spans="1:8">
      <c r="A925" s="214" t="s">
        <v>8035</v>
      </c>
      <c r="B925" s="214" t="s">
        <v>8036</v>
      </c>
      <c r="C925" s="133" t="s">
        <v>8</v>
      </c>
      <c r="D925" s="133" t="s">
        <v>277</v>
      </c>
      <c r="E925" s="133" t="s">
        <v>63</v>
      </c>
      <c r="F925" s="133" t="s">
        <v>65</v>
      </c>
      <c r="G925" s="133" t="s">
        <v>8820</v>
      </c>
      <c r="H925" s="133" t="s">
        <v>8747</v>
      </c>
    </row>
    <row r="926" spans="1:8">
      <c r="A926" s="214" t="s">
        <v>64</v>
      </c>
      <c r="B926" s="214" t="s">
        <v>67</v>
      </c>
      <c r="C926" s="133" t="s">
        <v>8</v>
      </c>
      <c r="D926" s="133" t="s">
        <v>66</v>
      </c>
      <c r="E926" s="133" t="s">
        <v>63</v>
      </c>
      <c r="F926" s="133" t="s">
        <v>65</v>
      </c>
      <c r="G926" s="133" t="s">
        <v>8820</v>
      </c>
      <c r="H926" s="133" t="s">
        <v>8747</v>
      </c>
    </row>
    <row r="927" spans="1:8">
      <c r="A927" s="214" t="s">
        <v>8238</v>
      </c>
      <c r="B927" s="214" t="s">
        <v>9704</v>
      </c>
      <c r="C927" s="133" t="s">
        <v>8</v>
      </c>
      <c r="D927" s="133" t="s">
        <v>477</v>
      </c>
      <c r="E927" s="133" t="s">
        <v>83</v>
      </c>
      <c r="F927" s="133" t="s">
        <v>65</v>
      </c>
      <c r="G927" s="133" t="s">
        <v>8982</v>
      </c>
      <c r="H927" s="133" t="s">
        <v>8747</v>
      </c>
    </row>
    <row r="928" spans="1:8">
      <c r="A928" s="214" t="s">
        <v>9705</v>
      </c>
      <c r="B928" s="214" t="s">
        <v>9706</v>
      </c>
      <c r="C928" s="133" t="s">
        <v>8</v>
      </c>
      <c r="D928" s="133" t="s">
        <v>1047</v>
      </c>
      <c r="E928" s="133" t="s">
        <v>63</v>
      </c>
      <c r="F928" s="133" t="s">
        <v>65</v>
      </c>
      <c r="G928" s="133" t="s">
        <v>8820</v>
      </c>
      <c r="H928" s="133" t="s">
        <v>8747</v>
      </c>
    </row>
    <row r="929" spans="1:8">
      <c r="A929" s="214" t="s">
        <v>2127</v>
      </c>
      <c r="B929" s="214" t="s">
        <v>2128</v>
      </c>
      <c r="C929" s="133" t="s">
        <v>8</v>
      </c>
      <c r="D929" s="133" t="s">
        <v>456</v>
      </c>
      <c r="E929" s="133" t="s">
        <v>83</v>
      </c>
      <c r="F929" s="133" t="s">
        <v>65</v>
      </c>
      <c r="G929" s="133" t="s">
        <v>9104</v>
      </c>
      <c r="H929" s="133" t="s">
        <v>8747</v>
      </c>
    </row>
    <row r="930" spans="1:8">
      <c r="A930" s="214" t="s">
        <v>4788</v>
      </c>
      <c r="B930" s="214" t="s">
        <v>4790</v>
      </c>
      <c r="C930" s="133" t="s">
        <v>9</v>
      </c>
      <c r="D930" s="133" t="s">
        <v>4789</v>
      </c>
      <c r="E930" s="133" t="s">
        <v>83</v>
      </c>
      <c r="F930" s="133" t="s">
        <v>65</v>
      </c>
      <c r="G930" s="133" t="s">
        <v>8776</v>
      </c>
      <c r="H930" s="133" t="s">
        <v>8747</v>
      </c>
    </row>
    <row r="931" spans="1:8">
      <c r="A931" s="214" t="s">
        <v>5276</v>
      </c>
      <c r="B931" s="214" t="s">
        <v>5277</v>
      </c>
      <c r="C931" s="133" t="s">
        <v>9</v>
      </c>
      <c r="D931" s="133" t="s">
        <v>5241</v>
      </c>
      <c r="E931" s="133" t="s">
        <v>83</v>
      </c>
      <c r="F931" s="133" t="s">
        <v>65</v>
      </c>
      <c r="G931" s="133" t="s">
        <v>8829</v>
      </c>
      <c r="H931" s="133" t="s">
        <v>8747</v>
      </c>
    </row>
    <row r="932" spans="1:8">
      <c r="A932" s="214" t="s">
        <v>9707</v>
      </c>
      <c r="B932" s="214" t="s">
        <v>9210</v>
      </c>
      <c r="C932" s="133" t="s">
        <v>10</v>
      </c>
      <c r="D932" s="133" t="s">
        <v>3198</v>
      </c>
      <c r="E932" s="133" t="s">
        <v>63</v>
      </c>
      <c r="F932" s="133" t="s">
        <v>65</v>
      </c>
      <c r="G932" s="133" t="s">
        <v>9032</v>
      </c>
      <c r="H932" s="133" t="s">
        <v>8747</v>
      </c>
    </row>
    <row r="933" spans="1:8">
      <c r="A933" s="214" t="s">
        <v>5400</v>
      </c>
      <c r="B933" s="214" t="s">
        <v>5401</v>
      </c>
      <c r="C933" s="133" t="s">
        <v>794</v>
      </c>
      <c r="D933" s="133" t="s">
        <v>5388</v>
      </c>
      <c r="E933" s="133" t="s">
        <v>83</v>
      </c>
      <c r="F933" s="133" t="s">
        <v>65</v>
      </c>
      <c r="G933" s="133" t="s">
        <v>8826</v>
      </c>
      <c r="H933" s="133" t="s">
        <v>8747</v>
      </c>
    </row>
    <row r="934" spans="1:8">
      <c r="A934" s="214" t="s">
        <v>9708</v>
      </c>
      <c r="B934" s="214" t="s">
        <v>8774</v>
      </c>
      <c r="C934" s="133" t="s">
        <v>10</v>
      </c>
      <c r="D934" s="133" t="s">
        <v>8021</v>
      </c>
      <c r="E934" s="133" t="s">
        <v>63</v>
      </c>
      <c r="F934" s="133" t="s">
        <v>65</v>
      </c>
      <c r="G934" s="133" t="s">
        <v>8826</v>
      </c>
      <c r="H934" s="133" t="s">
        <v>8747</v>
      </c>
    </row>
    <row r="935" spans="1:8">
      <c r="A935" s="214" t="s">
        <v>5418</v>
      </c>
      <c r="B935" s="214" t="s">
        <v>5419</v>
      </c>
      <c r="C935" s="133" t="s">
        <v>794</v>
      </c>
      <c r="D935" s="133" t="s">
        <v>5388</v>
      </c>
      <c r="E935" s="133" t="s">
        <v>83</v>
      </c>
      <c r="F935" s="133" t="s">
        <v>65</v>
      </c>
      <c r="G935" s="133" t="s">
        <v>8826</v>
      </c>
      <c r="H935" s="133" t="s">
        <v>8747</v>
      </c>
    </row>
    <row r="936" spans="1:8">
      <c r="A936" s="214" t="s">
        <v>9709</v>
      </c>
      <c r="B936" s="214" t="s">
        <v>9710</v>
      </c>
      <c r="C936" s="133" t="s">
        <v>10</v>
      </c>
      <c r="D936" s="133" t="s">
        <v>7652</v>
      </c>
      <c r="E936" s="133" t="s">
        <v>63</v>
      </c>
      <c r="F936" s="133" t="s">
        <v>65</v>
      </c>
      <c r="G936" s="133" t="s">
        <v>8826</v>
      </c>
      <c r="H936" s="133" t="s">
        <v>8747</v>
      </c>
    </row>
    <row r="937" spans="1:8">
      <c r="A937" s="214" t="s">
        <v>9711</v>
      </c>
      <c r="B937" s="214" t="s">
        <v>9712</v>
      </c>
      <c r="C937" s="133" t="s">
        <v>8</v>
      </c>
      <c r="D937" s="133" t="s">
        <v>1701</v>
      </c>
      <c r="E937" s="133" t="s">
        <v>63</v>
      </c>
      <c r="F937" s="133" t="s">
        <v>65</v>
      </c>
      <c r="G937" s="133" t="s">
        <v>8826</v>
      </c>
      <c r="H937" s="133" t="s">
        <v>8747</v>
      </c>
    </row>
    <row r="938" spans="1:8">
      <c r="A938" s="214" t="s">
        <v>9713</v>
      </c>
      <c r="B938" s="214" t="s">
        <v>9714</v>
      </c>
      <c r="C938" s="133" t="s">
        <v>10</v>
      </c>
      <c r="D938" s="133" t="s">
        <v>3855</v>
      </c>
      <c r="E938" s="133" t="s">
        <v>63</v>
      </c>
      <c r="F938" s="133" t="s">
        <v>65</v>
      </c>
      <c r="G938" s="133" t="s">
        <v>8826</v>
      </c>
      <c r="H938" s="133" t="s">
        <v>8747</v>
      </c>
    </row>
    <row r="939" spans="1:8">
      <c r="A939" s="214" t="s">
        <v>9715</v>
      </c>
      <c r="B939" s="214" t="s">
        <v>1962</v>
      </c>
      <c r="C939" s="133" t="s">
        <v>8</v>
      </c>
      <c r="D939" s="133" t="s">
        <v>2054</v>
      </c>
      <c r="E939" s="133" t="s">
        <v>63</v>
      </c>
      <c r="F939" s="133" t="s">
        <v>65</v>
      </c>
      <c r="G939" s="133" t="s">
        <v>8826</v>
      </c>
      <c r="H939" s="133" t="s">
        <v>8747</v>
      </c>
    </row>
    <row r="940" spans="1:8">
      <c r="A940" s="214" t="s">
        <v>9716</v>
      </c>
      <c r="B940" s="214" t="s">
        <v>9717</v>
      </c>
      <c r="C940" s="133" t="s">
        <v>10</v>
      </c>
      <c r="D940" s="133" t="s">
        <v>6405</v>
      </c>
      <c r="E940" s="133" t="s">
        <v>63</v>
      </c>
      <c r="F940" s="133" t="s">
        <v>65</v>
      </c>
      <c r="G940" s="133" t="s">
        <v>8826</v>
      </c>
      <c r="H940" s="133" t="s">
        <v>8747</v>
      </c>
    </row>
    <row r="941" spans="1:8">
      <c r="A941" s="214" t="s">
        <v>9718</v>
      </c>
      <c r="B941" s="214" t="s">
        <v>9719</v>
      </c>
      <c r="C941" s="133" t="s">
        <v>10</v>
      </c>
      <c r="D941" s="133" t="s">
        <v>3855</v>
      </c>
      <c r="E941" s="133" t="s">
        <v>63</v>
      </c>
      <c r="F941" s="133" t="s">
        <v>65</v>
      </c>
      <c r="G941" s="133" t="s">
        <v>9032</v>
      </c>
      <c r="H941" s="133" t="s">
        <v>8747</v>
      </c>
    </row>
    <row r="942" spans="1:8">
      <c r="A942" s="214" t="s">
        <v>9720</v>
      </c>
      <c r="B942" s="214" t="s">
        <v>9721</v>
      </c>
      <c r="C942" s="133" t="s">
        <v>10</v>
      </c>
      <c r="D942" s="133" t="s">
        <v>6250</v>
      </c>
      <c r="E942" s="133" t="s">
        <v>63</v>
      </c>
      <c r="F942" s="133" t="s">
        <v>65</v>
      </c>
      <c r="G942" s="133" t="s">
        <v>9032</v>
      </c>
      <c r="H942" s="133" t="s">
        <v>8747</v>
      </c>
    </row>
    <row r="943" spans="1:8">
      <c r="A943" s="214" t="s">
        <v>1077</v>
      </c>
      <c r="B943" s="214" t="s">
        <v>1078</v>
      </c>
      <c r="C943" s="133" t="s">
        <v>8</v>
      </c>
      <c r="D943" s="133" t="s">
        <v>918</v>
      </c>
      <c r="E943" s="133" t="s">
        <v>83</v>
      </c>
      <c r="F943" s="133" t="s">
        <v>65</v>
      </c>
      <c r="G943" s="133" t="s">
        <v>8986</v>
      </c>
      <c r="H943" s="133" t="s">
        <v>8747</v>
      </c>
    </row>
    <row r="944" spans="1:8">
      <c r="A944" s="214" t="s">
        <v>128</v>
      </c>
      <c r="B944" s="214" t="s">
        <v>129</v>
      </c>
      <c r="C944" s="133" t="s">
        <v>8</v>
      </c>
      <c r="D944" s="133" t="s">
        <v>96</v>
      </c>
      <c r="E944" s="133" t="s">
        <v>83</v>
      </c>
      <c r="F944" s="133" t="s">
        <v>65</v>
      </c>
      <c r="G944" s="133" t="s">
        <v>9084</v>
      </c>
      <c r="H944" s="133" t="s">
        <v>8747</v>
      </c>
    </row>
    <row r="945" spans="1:8">
      <c r="A945" s="214" t="s">
        <v>2884</v>
      </c>
      <c r="B945" s="214" t="s">
        <v>2885</v>
      </c>
      <c r="C945" s="133" t="s">
        <v>8</v>
      </c>
      <c r="D945" s="133" t="s">
        <v>440</v>
      </c>
      <c r="E945" s="133" t="s">
        <v>63</v>
      </c>
      <c r="F945" s="133" t="s">
        <v>65</v>
      </c>
      <c r="G945" s="133" t="s">
        <v>8820</v>
      </c>
      <c r="H945" s="133" t="s">
        <v>8747</v>
      </c>
    </row>
    <row r="946" spans="1:8">
      <c r="A946" s="214" t="s">
        <v>2855</v>
      </c>
      <c r="B946" s="214" t="s">
        <v>2856</v>
      </c>
      <c r="C946" s="133" t="s">
        <v>8</v>
      </c>
      <c r="D946" s="133" t="s">
        <v>2054</v>
      </c>
      <c r="E946" s="133" t="s">
        <v>63</v>
      </c>
      <c r="F946" s="133" t="s">
        <v>65</v>
      </c>
      <c r="G946" s="133" t="s">
        <v>8820</v>
      </c>
      <c r="H946" s="133" t="s">
        <v>8747</v>
      </c>
    </row>
    <row r="947" spans="1:8">
      <c r="A947" s="214" t="s">
        <v>3614</v>
      </c>
      <c r="B947" s="214" t="s">
        <v>3615</v>
      </c>
      <c r="C947" s="133" t="s">
        <v>8</v>
      </c>
      <c r="D947" s="133" t="s">
        <v>66</v>
      </c>
      <c r="E947" s="133" t="s">
        <v>63</v>
      </c>
      <c r="F947" s="133" t="s">
        <v>65</v>
      </c>
      <c r="G947" s="133" t="s">
        <v>8820</v>
      </c>
      <c r="H947" s="133" t="s">
        <v>8747</v>
      </c>
    </row>
    <row r="948" spans="1:8">
      <c r="A948" s="214" t="s">
        <v>645</v>
      </c>
      <c r="B948" s="214" t="s">
        <v>646</v>
      </c>
      <c r="C948" s="133" t="s">
        <v>8</v>
      </c>
      <c r="D948" s="133" t="s">
        <v>639</v>
      </c>
      <c r="E948" s="133" t="s">
        <v>83</v>
      </c>
      <c r="F948" s="133" t="s">
        <v>65</v>
      </c>
      <c r="G948" s="133" t="s">
        <v>9032</v>
      </c>
      <c r="H948" s="133" t="s">
        <v>8747</v>
      </c>
    </row>
    <row r="949" spans="1:8">
      <c r="A949" s="214" t="s">
        <v>9722</v>
      </c>
      <c r="B949" s="214" t="s">
        <v>9723</v>
      </c>
      <c r="C949" s="133" t="s">
        <v>8</v>
      </c>
      <c r="D949" s="133" t="s">
        <v>1406</v>
      </c>
      <c r="E949" s="133" t="s">
        <v>63</v>
      </c>
      <c r="F949" s="133" t="s">
        <v>65</v>
      </c>
      <c r="G949" s="133" t="s">
        <v>8820</v>
      </c>
      <c r="H949" s="133" t="s">
        <v>8747</v>
      </c>
    </row>
    <row r="950" spans="1:8">
      <c r="A950" s="214" t="s">
        <v>2860</v>
      </c>
      <c r="B950" s="214" t="s">
        <v>2861</v>
      </c>
      <c r="C950" s="133" t="s">
        <v>8</v>
      </c>
      <c r="D950" s="133" t="s">
        <v>2054</v>
      </c>
      <c r="E950" s="133" t="s">
        <v>63</v>
      </c>
      <c r="F950" s="133" t="s">
        <v>65</v>
      </c>
      <c r="G950" s="133" t="s">
        <v>9032</v>
      </c>
      <c r="H950" s="133" t="s">
        <v>8747</v>
      </c>
    </row>
    <row r="951" spans="1:8">
      <c r="A951" s="214" t="s">
        <v>136</v>
      </c>
      <c r="B951" s="214" t="s">
        <v>137</v>
      </c>
      <c r="C951" s="133" t="s">
        <v>8</v>
      </c>
      <c r="D951" s="133" t="s">
        <v>96</v>
      </c>
      <c r="E951" s="133" t="s">
        <v>83</v>
      </c>
      <c r="F951" s="133" t="s">
        <v>65</v>
      </c>
      <c r="G951" s="133" t="s">
        <v>9084</v>
      </c>
      <c r="H951" s="133" t="s">
        <v>8747</v>
      </c>
    </row>
    <row r="952" spans="1:8">
      <c r="A952" s="214" t="s">
        <v>2016</v>
      </c>
      <c r="B952" s="214" t="s">
        <v>1923</v>
      </c>
      <c r="C952" s="133" t="s">
        <v>8</v>
      </c>
      <c r="D952" s="133" t="s">
        <v>456</v>
      </c>
      <c r="E952" s="133" t="s">
        <v>83</v>
      </c>
      <c r="F952" s="133" t="s">
        <v>65</v>
      </c>
      <c r="G952" s="133" t="s">
        <v>9104</v>
      </c>
      <c r="H952" s="133" t="s">
        <v>8747</v>
      </c>
    </row>
    <row r="953" spans="1:8">
      <c r="A953" s="214" t="s">
        <v>773</v>
      </c>
      <c r="B953" s="214" t="s">
        <v>774</v>
      </c>
      <c r="C953" s="133" t="s">
        <v>8</v>
      </c>
      <c r="D953" s="133" t="s">
        <v>488</v>
      </c>
      <c r="E953" s="133" t="s">
        <v>83</v>
      </c>
      <c r="F953" s="133" t="s">
        <v>65</v>
      </c>
      <c r="G953" s="133" t="s">
        <v>8820</v>
      </c>
      <c r="H953" s="133" t="s">
        <v>8747</v>
      </c>
    </row>
    <row r="954" spans="1:8">
      <c r="A954" s="214" t="s">
        <v>9724</v>
      </c>
      <c r="B954" s="214" t="s">
        <v>9725</v>
      </c>
      <c r="C954" s="133" t="s">
        <v>8</v>
      </c>
      <c r="D954" s="133" t="s">
        <v>6871</v>
      </c>
      <c r="E954" s="133" t="s">
        <v>63</v>
      </c>
      <c r="F954" s="133" t="s">
        <v>65</v>
      </c>
      <c r="G954" s="133" t="s">
        <v>9032</v>
      </c>
      <c r="H954" s="133" t="s">
        <v>8747</v>
      </c>
    </row>
    <row r="955" spans="1:8">
      <c r="A955" s="214" t="s">
        <v>2595</v>
      </c>
      <c r="B955" s="214" t="s">
        <v>2596</v>
      </c>
      <c r="C955" s="133" t="s">
        <v>8</v>
      </c>
      <c r="D955" s="133" t="s">
        <v>96</v>
      </c>
      <c r="E955" s="133" t="s">
        <v>83</v>
      </c>
      <c r="F955" s="133" t="s">
        <v>65</v>
      </c>
      <c r="G955" s="133" t="s">
        <v>9084</v>
      </c>
      <c r="H955" s="133" t="s">
        <v>8747</v>
      </c>
    </row>
    <row r="956" spans="1:8">
      <c r="A956" s="214" t="s">
        <v>3454</v>
      </c>
      <c r="B956" s="214" t="s">
        <v>3455</v>
      </c>
      <c r="C956" s="133" t="s">
        <v>8</v>
      </c>
      <c r="D956" s="133" t="s">
        <v>818</v>
      </c>
      <c r="E956" s="133" t="s">
        <v>63</v>
      </c>
      <c r="F956" s="133" t="s">
        <v>65</v>
      </c>
      <c r="G956" s="133" t="s">
        <v>8820</v>
      </c>
      <c r="H956" s="133" t="s">
        <v>8747</v>
      </c>
    </row>
    <row r="957" spans="1:8">
      <c r="A957" s="214" t="s">
        <v>9726</v>
      </c>
      <c r="B957" s="214" t="s">
        <v>3029</v>
      </c>
      <c r="C957" s="133" t="s">
        <v>8</v>
      </c>
      <c r="D957" s="133" t="s">
        <v>1419</v>
      </c>
      <c r="E957" s="133" t="s">
        <v>63</v>
      </c>
      <c r="F957" s="133" t="s">
        <v>65</v>
      </c>
      <c r="G957" s="133" t="s">
        <v>8820</v>
      </c>
      <c r="H957" s="133" t="s">
        <v>8747</v>
      </c>
    </row>
    <row r="958" spans="1:8">
      <c r="A958" s="214" t="s">
        <v>9727</v>
      </c>
      <c r="B958" s="214" t="s">
        <v>9728</v>
      </c>
      <c r="C958" s="133" t="s">
        <v>8</v>
      </c>
      <c r="D958" s="133" t="s">
        <v>440</v>
      </c>
      <c r="E958" s="133" t="s">
        <v>63</v>
      </c>
      <c r="F958" s="133" t="s">
        <v>65</v>
      </c>
      <c r="G958" s="133" t="s">
        <v>8820</v>
      </c>
      <c r="H958" s="133" t="s">
        <v>8747</v>
      </c>
    </row>
    <row r="959" spans="1:8">
      <c r="A959" s="214" t="s">
        <v>9729</v>
      </c>
      <c r="B959" s="214" t="s">
        <v>9730</v>
      </c>
      <c r="C959" s="133" t="s">
        <v>8</v>
      </c>
      <c r="D959" s="133" t="s">
        <v>1522</v>
      </c>
      <c r="E959" s="133" t="s">
        <v>63</v>
      </c>
      <c r="F959" s="133" t="s">
        <v>65</v>
      </c>
      <c r="G959" s="133" t="s">
        <v>8820</v>
      </c>
      <c r="H959" s="133" t="s">
        <v>8747</v>
      </c>
    </row>
    <row r="960" spans="1:8">
      <c r="A960" s="214" t="s">
        <v>9731</v>
      </c>
      <c r="B960" s="214" t="s">
        <v>9732</v>
      </c>
      <c r="C960" s="133" t="s">
        <v>8</v>
      </c>
      <c r="D960" s="133" t="s">
        <v>1406</v>
      </c>
      <c r="E960" s="133" t="s">
        <v>63</v>
      </c>
      <c r="F960" s="133" t="s">
        <v>65</v>
      </c>
      <c r="G960" s="133" t="s">
        <v>8820</v>
      </c>
      <c r="H960" s="133" t="s">
        <v>8747</v>
      </c>
    </row>
    <row r="961" spans="1:8">
      <c r="A961" s="214" t="s">
        <v>3108</v>
      </c>
      <c r="B961" s="214" t="s">
        <v>3109</v>
      </c>
      <c r="C961" s="133" t="s">
        <v>8</v>
      </c>
      <c r="D961" s="133" t="s">
        <v>1522</v>
      </c>
      <c r="E961" s="133" t="s">
        <v>63</v>
      </c>
      <c r="F961" s="133" t="s">
        <v>65</v>
      </c>
      <c r="G961" s="133" t="s">
        <v>9032</v>
      </c>
      <c r="H961" s="133" t="s">
        <v>8747</v>
      </c>
    </row>
    <row r="962" spans="1:8">
      <c r="A962" s="214" t="s">
        <v>2384</v>
      </c>
      <c r="B962" s="214" t="s">
        <v>2385</v>
      </c>
      <c r="C962" s="133" t="s">
        <v>8</v>
      </c>
      <c r="D962" s="133" t="s">
        <v>339</v>
      </c>
      <c r="E962" s="133" t="s">
        <v>83</v>
      </c>
      <c r="F962" s="133" t="s">
        <v>65</v>
      </c>
      <c r="G962" s="133" t="s">
        <v>8987</v>
      </c>
      <c r="H962" s="133" t="s">
        <v>8747</v>
      </c>
    </row>
    <row r="963" spans="1:8">
      <c r="A963" s="214" t="s">
        <v>9733</v>
      </c>
      <c r="B963" s="214" t="s">
        <v>9734</v>
      </c>
      <c r="C963" s="133" t="s">
        <v>8</v>
      </c>
      <c r="D963" s="133" t="s">
        <v>1368</v>
      </c>
      <c r="E963" s="133" t="s">
        <v>63</v>
      </c>
      <c r="F963" s="133" t="s">
        <v>65</v>
      </c>
      <c r="G963" s="133" t="s">
        <v>8820</v>
      </c>
      <c r="H963" s="133" t="s">
        <v>8747</v>
      </c>
    </row>
    <row r="964" spans="1:8">
      <c r="A964" s="214" t="s">
        <v>3400</v>
      </c>
      <c r="B964" s="214" t="s">
        <v>3401</v>
      </c>
      <c r="C964" s="133" t="s">
        <v>8</v>
      </c>
      <c r="D964" s="133" t="s">
        <v>818</v>
      </c>
      <c r="E964" s="133" t="s">
        <v>63</v>
      </c>
      <c r="F964" s="133" t="s">
        <v>65</v>
      </c>
      <c r="G964" s="133" t="s">
        <v>8820</v>
      </c>
      <c r="H964" s="133" t="s">
        <v>8747</v>
      </c>
    </row>
    <row r="965" spans="1:8">
      <c r="A965" s="214" t="s">
        <v>8474</v>
      </c>
      <c r="B965" s="214" t="s">
        <v>9735</v>
      </c>
      <c r="C965" s="133" t="s">
        <v>8</v>
      </c>
      <c r="D965" s="133" t="s">
        <v>66</v>
      </c>
      <c r="E965" s="133" t="s">
        <v>63</v>
      </c>
      <c r="F965" s="133" t="s">
        <v>65</v>
      </c>
      <c r="G965" s="133" t="s">
        <v>9032</v>
      </c>
      <c r="H965" s="133" t="s">
        <v>8747</v>
      </c>
    </row>
    <row r="966" spans="1:8">
      <c r="A966" s="214" t="s">
        <v>9736</v>
      </c>
      <c r="B966" s="214" t="s">
        <v>9737</v>
      </c>
      <c r="C966" s="133" t="s">
        <v>8</v>
      </c>
      <c r="D966" s="133" t="s">
        <v>1047</v>
      </c>
      <c r="E966" s="133" t="s">
        <v>63</v>
      </c>
      <c r="F966" s="133" t="s">
        <v>65</v>
      </c>
      <c r="G966" s="133" t="s">
        <v>8820</v>
      </c>
      <c r="H966" s="133" t="s">
        <v>8747</v>
      </c>
    </row>
    <row r="967" spans="1:8">
      <c r="A967" s="214" t="s">
        <v>2990</v>
      </c>
      <c r="B967" s="214" t="s">
        <v>2991</v>
      </c>
      <c r="C967" s="133" t="s">
        <v>8</v>
      </c>
      <c r="D967" s="133" t="s">
        <v>2076</v>
      </c>
      <c r="E967" s="133" t="s">
        <v>63</v>
      </c>
      <c r="F967" s="133" t="s">
        <v>65</v>
      </c>
      <c r="G967" s="133" t="s">
        <v>8820</v>
      </c>
      <c r="H967" s="133" t="s">
        <v>8747</v>
      </c>
    </row>
    <row r="968" spans="1:8">
      <c r="A968" s="214" t="s">
        <v>9738</v>
      </c>
      <c r="B968" s="214" t="s">
        <v>9739</v>
      </c>
      <c r="C968" s="133" t="s">
        <v>8</v>
      </c>
      <c r="D968" s="133" t="s">
        <v>1413</v>
      </c>
      <c r="E968" s="133" t="s">
        <v>63</v>
      </c>
      <c r="F968" s="133" t="s">
        <v>65</v>
      </c>
      <c r="G968" s="133" t="s">
        <v>8820</v>
      </c>
      <c r="H968" s="133" t="s">
        <v>8747</v>
      </c>
    </row>
    <row r="969" spans="1:8">
      <c r="A969" s="214" t="s">
        <v>9740</v>
      </c>
      <c r="B969" s="214" t="s">
        <v>9741</v>
      </c>
      <c r="C969" s="133" t="s">
        <v>8</v>
      </c>
      <c r="D969" s="133" t="s">
        <v>1889</v>
      </c>
      <c r="E969" s="133" t="s">
        <v>63</v>
      </c>
      <c r="F969" s="133" t="s">
        <v>65</v>
      </c>
      <c r="G969" s="133" t="s">
        <v>8820</v>
      </c>
      <c r="H969" s="133" t="s">
        <v>8747</v>
      </c>
    </row>
    <row r="970" spans="1:8">
      <c r="A970" s="214" t="s">
        <v>9742</v>
      </c>
      <c r="B970" s="214" t="s">
        <v>9743</v>
      </c>
      <c r="C970" s="133" t="s">
        <v>8</v>
      </c>
      <c r="D970" s="133" t="s">
        <v>818</v>
      </c>
      <c r="E970" s="133" t="s">
        <v>63</v>
      </c>
      <c r="F970" s="133" t="s">
        <v>65</v>
      </c>
      <c r="G970" s="133" t="s">
        <v>8820</v>
      </c>
      <c r="H970" s="133" t="s">
        <v>8747</v>
      </c>
    </row>
    <row r="971" spans="1:8">
      <c r="A971" s="214" t="s">
        <v>2272</v>
      </c>
      <c r="B971" s="214" t="s">
        <v>1812</v>
      </c>
      <c r="C971" s="133" t="s">
        <v>8</v>
      </c>
      <c r="D971" s="133" t="s">
        <v>66</v>
      </c>
      <c r="E971" s="133" t="s">
        <v>63</v>
      </c>
      <c r="F971" s="133" t="s">
        <v>65</v>
      </c>
      <c r="G971" s="133" t="s">
        <v>8820</v>
      </c>
      <c r="H971" s="133" t="s">
        <v>8747</v>
      </c>
    </row>
    <row r="972" spans="1:8">
      <c r="A972" s="214" t="s">
        <v>3783</v>
      </c>
      <c r="B972" s="214" t="s">
        <v>3784</v>
      </c>
      <c r="C972" s="133" t="s">
        <v>8</v>
      </c>
      <c r="D972" s="133" t="s">
        <v>154</v>
      </c>
      <c r="E972" s="133" t="s">
        <v>63</v>
      </c>
      <c r="F972" s="133" t="s">
        <v>65</v>
      </c>
      <c r="G972" s="133" t="s">
        <v>8820</v>
      </c>
      <c r="H972" s="133" t="s">
        <v>8747</v>
      </c>
    </row>
    <row r="973" spans="1:8">
      <c r="A973" s="214" t="s">
        <v>2404</v>
      </c>
      <c r="B973" s="214" t="s">
        <v>2405</v>
      </c>
      <c r="C973" s="133" t="s">
        <v>8</v>
      </c>
      <c r="D973" s="133" t="s">
        <v>1132</v>
      </c>
      <c r="E973" s="133" t="s">
        <v>63</v>
      </c>
      <c r="F973" s="133" t="s">
        <v>65</v>
      </c>
      <c r="G973" s="133" t="s">
        <v>8820</v>
      </c>
      <c r="H973" s="133" t="s">
        <v>8747</v>
      </c>
    </row>
    <row r="974" spans="1:8">
      <c r="A974" s="214" t="s">
        <v>1142</v>
      </c>
      <c r="B974" s="214" t="s">
        <v>1143</v>
      </c>
      <c r="C974" s="133" t="s">
        <v>8</v>
      </c>
      <c r="D974" s="133" t="s">
        <v>809</v>
      </c>
      <c r="E974" s="133" t="s">
        <v>63</v>
      </c>
      <c r="F974" s="133" t="s">
        <v>65</v>
      </c>
      <c r="G974" s="133" t="s">
        <v>8986</v>
      </c>
      <c r="H974" s="133" t="s">
        <v>8747</v>
      </c>
    </row>
    <row r="975" spans="1:8">
      <c r="A975" s="214" t="s">
        <v>7712</v>
      </c>
      <c r="B975" s="214" t="s">
        <v>7713</v>
      </c>
      <c r="C975" s="133" t="s">
        <v>8</v>
      </c>
      <c r="D975" s="133" t="s">
        <v>1047</v>
      </c>
      <c r="E975" s="133" t="s">
        <v>63</v>
      </c>
      <c r="F975" s="133" t="s">
        <v>65</v>
      </c>
      <c r="G975" s="133" t="s">
        <v>8820</v>
      </c>
      <c r="H975" s="133" t="s">
        <v>8747</v>
      </c>
    </row>
    <row r="976" spans="1:8">
      <c r="A976" s="214" t="s">
        <v>4406</v>
      </c>
      <c r="B976" s="214" t="s">
        <v>4407</v>
      </c>
      <c r="C976" s="133" t="s">
        <v>9</v>
      </c>
      <c r="D976" s="133" t="s">
        <v>4789</v>
      </c>
      <c r="E976" s="133" t="s">
        <v>83</v>
      </c>
      <c r="F976" s="133" t="s">
        <v>65</v>
      </c>
      <c r="G976" s="133" t="s">
        <v>8776</v>
      </c>
      <c r="H976" s="133" t="s">
        <v>8747</v>
      </c>
    </row>
    <row r="977" spans="1:8">
      <c r="A977" s="214" t="s">
        <v>1321</v>
      </c>
      <c r="B977" s="214" t="s">
        <v>1322</v>
      </c>
      <c r="C977" s="133" t="s">
        <v>9</v>
      </c>
      <c r="D977" s="133" t="s">
        <v>1286</v>
      </c>
      <c r="E977" s="133" t="s">
        <v>83</v>
      </c>
      <c r="F977" s="133" t="s">
        <v>65</v>
      </c>
      <c r="G977" s="133" t="s">
        <v>8983</v>
      </c>
      <c r="H977" s="133" t="s">
        <v>8747</v>
      </c>
    </row>
    <row r="978" spans="1:8">
      <c r="A978" s="214" t="s">
        <v>5652</v>
      </c>
      <c r="B978" s="214" t="s">
        <v>5653</v>
      </c>
      <c r="C978" s="133" t="s">
        <v>2146</v>
      </c>
      <c r="D978" s="133" t="s">
        <v>5640</v>
      </c>
      <c r="E978" s="133" t="s">
        <v>83</v>
      </c>
      <c r="F978" s="133" t="s">
        <v>65</v>
      </c>
      <c r="G978" s="133" t="s">
        <v>8768</v>
      </c>
      <c r="H978" s="133" t="s">
        <v>8747</v>
      </c>
    </row>
    <row r="979" spans="1:8">
      <c r="A979" s="214" t="s">
        <v>4879</v>
      </c>
      <c r="B979" s="214" t="s">
        <v>4880</v>
      </c>
      <c r="C979" s="133" t="s">
        <v>9</v>
      </c>
      <c r="D979" s="133" t="s">
        <v>4819</v>
      </c>
      <c r="E979" s="133" t="s">
        <v>83</v>
      </c>
      <c r="F979" s="133" t="s">
        <v>65</v>
      </c>
      <c r="G979" s="133" t="s">
        <v>8861</v>
      </c>
      <c r="H979" s="133" t="s">
        <v>8747</v>
      </c>
    </row>
    <row r="980" spans="1:8">
      <c r="A980" s="214" t="s">
        <v>9744</v>
      </c>
      <c r="B980" s="214" t="s">
        <v>9745</v>
      </c>
      <c r="C980" s="133" t="s">
        <v>10</v>
      </c>
      <c r="D980" s="133" t="s">
        <v>8956</v>
      </c>
      <c r="E980" s="133" t="s">
        <v>63</v>
      </c>
      <c r="F980" s="133" t="s">
        <v>65</v>
      </c>
      <c r="G980" s="133" t="s">
        <v>9032</v>
      </c>
      <c r="H980" s="133" t="s">
        <v>8747</v>
      </c>
    </row>
    <row r="981" spans="1:8">
      <c r="A981" s="214" t="s">
        <v>9746</v>
      </c>
      <c r="B981" s="214" t="s">
        <v>9747</v>
      </c>
      <c r="C981" s="133" t="s">
        <v>10</v>
      </c>
      <c r="D981" s="133" t="s">
        <v>3676</v>
      </c>
      <c r="E981" s="133" t="s">
        <v>63</v>
      </c>
      <c r="F981" s="133" t="s">
        <v>65</v>
      </c>
      <c r="G981" s="133" t="s">
        <v>8820</v>
      </c>
      <c r="H981" s="133" t="s">
        <v>8747</v>
      </c>
    </row>
    <row r="982" spans="1:8">
      <c r="A982" s="214" t="s">
        <v>3666</v>
      </c>
      <c r="B982" s="214" t="s">
        <v>3667</v>
      </c>
      <c r="C982" s="133" t="s">
        <v>8</v>
      </c>
      <c r="D982" s="133" t="s">
        <v>995</v>
      </c>
      <c r="E982" s="133" t="s">
        <v>63</v>
      </c>
      <c r="F982" s="133" t="s">
        <v>65</v>
      </c>
      <c r="G982" s="133" t="s">
        <v>8820</v>
      </c>
      <c r="H982" s="133" t="s">
        <v>8747</v>
      </c>
    </row>
    <row r="983" spans="1:8">
      <c r="A983" s="214" t="s">
        <v>9748</v>
      </c>
      <c r="B983" s="214" t="s">
        <v>8308</v>
      </c>
      <c r="C983" s="133" t="s">
        <v>8</v>
      </c>
      <c r="D983" s="133" t="s">
        <v>818</v>
      </c>
      <c r="E983" s="133" t="s">
        <v>63</v>
      </c>
      <c r="F983" s="133" t="s">
        <v>65</v>
      </c>
      <c r="G983" s="133" t="s">
        <v>8820</v>
      </c>
      <c r="H983" s="133" t="s">
        <v>8747</v>
      </c>
    </row>
    <row r="984" spans="1:8">
      <c r="A984" s="214" t="s">
        <v>9749</v>
      </c>
      <c r="B984" s="214" t="s">
        <v>9750</v>
      </c>
      <c r="C984" s="133" t="s">
        <v>8</v>
      </c>
      <c r="D984" s="133" t="s">
        <v>2380</v>
      </c>
      <c r="E984" s="133" t="s">
        <v>63</v>
      </c>
      <c r="F984" s="133" t="s">
        <v>65</v>
      </c>
      <c r="G984" s="133" t="s">
        <v>9032</v>
      </c>
      <c r="H984" s="133" t="s">
        <v>8747</v>
      </c>
    </row>
    <row r="985" spans="1:8">
      <c r="A985" s="214" t="s">
        <v>9751</v>
      </c>
      <c r="B985" s="214" t="s">
        <v>9752</v>
      </c>
      <c r="C985" s="133" t="s">
        <v>8</v>
      </c>
      <c r="D985" s="133" t="s">
        <v>9006</v>
      </c>
      <c r="E985" s="133" t="s">
        <v>63</v>
      </c>
      <c r="F985" s="133" t="s">
        <v>65</v>
      </c>
      <c r="G985" s="133" t="s">
        <v>8820</v>
      </c>
      <c r="H985" s="133" t="s">
        <v>8747</v>
      </c>
    </row>
    <row r="986" spans="1:8">
      <c r="A986" s="214" t="s">
        <v>9753</v>
      </c>
      <c r="B986" s="214" t="s">
        <v>9754</v>
      </c>
      <c r="C986" s="133" t="s">
        <v>8</v>
      </c>
      <c r="D986" s="133" t="s">
        <v>1398</v>
      </c>
      <c r="E986" s="133" t="s">
        <v>63</v>
      </c>
      <c r="F986" s="133" t="s">
        <v>65</v>
      </c>
      <c r="G986" s="133" t="s">
        <v>8820</v>
      </c>
      <c r="H986" s="133" t="s">
        <v>8747</v>
      </c>
    </row>
    <row r="987" spans="1:8">
      <c r="A987" s="214" t="s">
        <v>2177</v>
      </c>
      <c r="B987" s="214" t="s">
        <v>2178</v>
      </c>
      <c r="C987" s="133" t="s">
        <v>8</v>
      </c>
      <c r="D987" s="133" t="s">
        <v>1419</v>
      </c>
      <c r="E987" s="133" t="s">
        <v>63</v>
      </c>
      <c r="F987" s="133" t="s">
        <v>65</v>
      </c>
      <c r="G987" s="133" t="s">
        <v>8820</v>
      </c>
      <c r="H987" s="133" t="s">
        <v>8747</v>
      </c>
    </row>
    <row r="988" spans="1:8">
      <c r="A988" s="214" t="s">
        <v>231</v>
      </c>
      <c r="B988" s="214" t="s">
        <v>232</v>
      </c>
      <c r="C988" s="133" t="s">
        <v>8</v>
      </c>
      <c r="D988" s="133" t="s">
        <v>96</v>
      </c>
      <c r="E988" s="133" t="s">
        <v>83</v>
      </c>
      <c r="F988" s="133" t="s">
        <v>65</v>
      </c>
      <c r="G988" s="133" t="s">
        <v>9084</v>
      </c>
      <c r="H988" s="133" t="s">
        <v>8747</v>
      </c>
    </row>
    <row r="989" spans="1:8">
      <c r="A989" s="214" t="s">
        <v>1184</v>
      </c>
      <c r="B989" s="214" t="s">
        <v>1185</v>
      </c>
      <c r="C989" s="133" t="s">
        <v>8</v>
      </c>
      <c r="D989" s="133" t="s">
        <v>910</v>
      </c>
      <c r="E989" s="133" t="s">
        <v>83</v>
      </c>
      <c r="F989" s="133" t="s">
        <v>65</v>
      </c>
      <c r="G989" s="133" t="s">
        <v>8983</v>
      </c>
      <c r="H989" s="133" t="s">
        <v>8747</v>
      </c>
    </row>
    <row r="990" spans="1:8">
      <c r="A990" s="214" t="s">
        <v>9755</v>
      </c>
      <c r="B990" s="214" t="s">
        <v>1923</v>
      </c>
      <c r="C990" s="133" t="s">
        <v>8</v>
      </c>
      <c r="D990" s="133" t="s">
        <v>1562</v>
      </c>
      <c r="E990" s="133" t="s">
        <v>63</v>
      </c>
      <c r="F990" s="133" t="s">
        <v>65</v>
      </c>
      <c r="G990" s="133" t="s">
        <v>8820</v>
      </c>
      <c r="H990" s="133" t="s">
        <v>8747</v>
      </c>
    </row>
    <row r="991" spans="1:8">
      <c r="A991" s="214" t="s">
        <v>8540</v>
      </c>
      <c r="B991" s="214" t="s">
        <v>9756</v>
      </c>
      <c r="C991" s="133" t="s">
        <v>8</v>
      </c>
      <c r="D991" s="133" t="s">
        <v>1419</v>
      </c>
      <c r="E991" s="133" t="s">
        <v>63</v>
      </c>
      <c r="F991" s="133" t="s">
        <v>65</v>
      </c>
      <c r="G991" s="133" t="s">
        <v>8820</v>
      </c>
      <c r="H991" s="133" t="s">
        <v>8747</v>
      </c>
    </row>
    <row r="992" spans="1:8">
      <c r="A992" s="214" t="s">
        <v>1259</v>
      </c>
      <c r="B992" s="214" t="s">
        <v>1260</v>
      </c>
      <c r="C992" s="133" t="s">
        <v>8</v>
      </c>
      <c r="D992" s="133" t="s">
        <v>910</v>
      </c>
      <c r="E992" s="133" t="s">
        <v>83</v>
      </c>
      <c r="F992" s="133" t="s">
        <v>65</v>
      </c>
      <c r="G992" s="133" t="s">
        <v>8983</v>
      </c>
      <c r="H992" s="133" t="s">
        <v>8747</v>
      </c>
    </row>
    <row r="993" spans="1:8">
      <c r="A993" s="214" t="s">
        <v>1237</v>
      </c>
      <c r="B993" s="214" t="s">
        <v>1238</v>
      </c>
      <c r="C993" s="133" t="s">
        <v>8</v>
      </c>
      <c r="D993" s="133" t="s">
        <v>910</v>
      </c>
      <c r="E993" s="133" t="s">
        <v>83</v>
      </c>
      <c r="F993" s="133" t="s">
        <v>65</v>
      </c>
      <c r="G993" s="133" t="s">
        <v>8983</v>
      </c>
      <c r="H993" s="133" t="s">
        <v>8747</v>
      </c>
    </row>
    <row r="994" spans="1:8">
      <c r="A994" s="214" t="s">
        <v>5259</v>
      </c>
      <c r="B994" s="214" t="s">
        <v>5260</v>
      </c>
      <c r="C994" s="133" t="s">
        <v>9</v>
      </c>
      <c r="D994" s="133" t="s">
        <v>5241</v>
      </c>
      <c r="E994" s="133" t="s">
        <v>83</v>
      </c>
      <c r="F994" s="133" t="s">
        <v>65</v>
      </c>
      <c r="G994" s="133" t="s">
        <v>8829</v>
      </c>
      <c r="H994" s="133" t="s">
        <v>8747</v>
      </c>
    </row>
    <row r="995" spans="1:8">
      <c r="A995" s="214" t="s">
        <v>5959</v>
      </c>
      <c r="B995" s="214" t="s">
        <v>5960</v>
      </c>
      <c r="C995" s="133" t="s">
        <v>2146</v>
      </c>
      <c r="D995" s="133" t="s">
        <v>5908</v>
      </c>
      <c r="E995" s="133" t="s">
        <v>83</v>
      </c>
      <c r="F995" s="133" t="s">
        <v>65</v>
      </c>
      <c r="G995" s="133" t="s">
        <v>8980</v>
      </c>
      <c r="H995" s="133" t="s">
        <v>8747</v>
      </c>
    </row>
    <row r="996" spans="1:8">
      <c r="A996" s="214" t="s">
        <v>4849</v>
      </c>
      <c r="B996" s="214" t="s">
        <v>4850</v>
      </c>
      <c r="C996" s="133" t="s">
        <v>9</v>
      </c>
      <c r="D996" s="133" t="s">
        <v>4819</v>
      </c>
      <c r="E996" s="133" t="s">
        <v>83</v>
      </c>
      <c r="F996" s="133" t="s">
        <v>65</v>
      </c>
      <c r="G996" s="133" t="s">
        <v>8861</v>
      </c>
      <c r="H996" s="133" t="s">
        <v>8747</v>
      </c>
    </row>
    <row r="997" spans="1:8">
      <c r="A997" s="214" t="s">
        <v>9757</v>
      </c>
      <c r="B997" s="214" t="s">
        <v>9758</v>
      </c>
      <c r="C997" s="133" t="s">
        <v>10</v>
      </c>
      <c r="D997" s="133" t="s">
        <v>8905</v>
      </c>
      <c r="E997" s="133" t="s">
        <v>63</v>
      </c>
      <c r="F997" s="133" t="s">
        <v>65</v>
      </c>
      <c r="G997" s="133" t="s">
        <v>8820</v>
      </c>
      <c r="H997" s="133" t="s">
        <v>8747</v>
      </c>
    </row>
    <row r="998" spans="1:8">
      <c r="A998" s="214" t="s">
        <v>9759</v>
      </c>
      <c r="B998" s="214" t="s">
        <v>9760</v>
      </c>
      <c r="C998" s="133" t="s">
        <v>10</v>
      </c>
      <c r="D998" s="133" t="s">
        <v>3676</v>
      </c>
      <c r="E998" s="133" t="s">
        <v>63</v>
      </c>
      <c r="F998" s="133" t="s">
        <v>65</v>
      </c>
      <c r="G998" s="133" t="s">
        <v>9032</v>
      </c>
      <c r="H998" s="133" t="s">
        <v>8747</v>
      </c>
    </row>
    <row r="999" spans="1:8">
      <c r="A999" s="214" t="s">
        <v>9761</v>
      </c>
      <c r="B999" s="214" t="s">
        <v>9762</v>
      </c>
      <c r="C999" s="133" t="s">
        <v>10</v>
      </c>
      <c r="D999" s="133" t="s">
        <v>8909</v>
      </c>
      <c r="E999" s="133" t="s">
        <v>63</v>
      </c>
      <c r="F999" s="133" t="s">
        <v>65</v>
      </c>
      <c r="G999" s="133" t="s">
        <v>9032</v>
      </c>
      <c r="H999" s="133" t="s">
        <v>8747</v>
      </c>
    </row>
    <row r="1000" spans="1:8">
      <c r="A1000" s="214" t="s">
        <v>8328</v>
      </c>
      <c r="B1000" s="214" t="s">
        <v>9763</v>
      </c>
      <c r="C1000" s="133" t="s">
        <v>10</v>
      </c>
      <c r="D1000" s="133" t="s">
        <v>7390</v>
      </c>
      <c r="E1000" s="133" t="s">
        <v>63</v>
      </c>
      <c r="F1000" s="133" t="s">
        <v>65</v>
      </c>
      <c r="G1000" s="133" t="s">
        <v>8826</v>
      </c>
      <c r="H1000" s="133" t="s">
        <v>8747</v>
      </c>
    </row>
    <row r="1001" spans="1:8">
      <c r="A1001" s="214" t="s">
        <v>386</v>
      </c>
      <c r="B1001" s="214" t="s">
        <v>387</v>
      </c>
      <c r="C1001" s="133" t="s">
        <v>8</v>
      </c>
      <c r="D1001" s="133" t="s">
        <v>339</v>
      </c>
      <c r="E1001" s="133" t="s">
        <v>83</v>
      </c>
      <c r="F1001" s="133" t="s">
        <v>65</v>
      </c>
      <c r="G1001" s="133" t="s">
        <v>8987</v>
      </c>
      <c r="H1001" s="133" t="s">
        <v>8747</v>
      </c>
    </row>
    <row r="1002" spans="1:8">
      <c r="A1002" s="214" t="s">
        <v>363</v>
      </c>
      <c r="B1002" s="214" t="s">
        <v>364</v>
      </c>
      <c r="C1002" s="133" t="s">
        <v>8</v>
      </c>
      <c r="D1002" s="133" t="s">
        <v>339</v>
      </c>
      <c r="E1002" s="133" t="s">
        <v>83</v>
      </c>
      <c r="F1002" s="133" t="s">
        <v>65</v>
      </c>
      <c r="G1002" s="133" t="s">
        <v>8987</v>
      </c>
      <c r="H1002" s="133" t="s">
        <v>8747</v>
      </c>
    </row>
    <row r="1003" spans="1:8">
      <c r="A1003" s="214" t="s">
        <v>9764</v>
      </c>
      <c r="B1003" s="214" t="s">
        <v>9765</v>
      </c>
      <c r="C1003" s="133" t="s">
        <v>8</v>
      </c>
      <c r="D1003" s="133" t="s">
        <v>66</v>
      </c>
      <c r="E1003" s="133" t="s">
        <v>63</v>
      </c>
      <c r="F1003" s="133" t="s">
        <v>65</v>
      </c>
      <c r="G1003" s="133" t="s">
        <v>8820</v>
      </c>
      <c r="H1003" s="133" t="s">
        <v>8747</v>
      </c>
    </row>
    <row r="1004" spans="1:8">
      <c r="A1004" s="214" t="s">
        <v>3842</v>
      </c>
      <c r="B1004" s="214" t="s">
        <v>1871</v>
      </c>
      <c r="C1004" s="133" t="s">
        <v>8</v>
      </c>
      <c r="D1004" s="133" t="s">
        <v>818</v>
      </c>
      <c r="E1004" s="133" t="s">
        <v>63</v>
      </c>
      <c r="F1004" s="133" t="s">
        <v>65</v>
      </c>
      <c r="G1004" s="133" t="s">
        <v>8820</v>
      </c>
      <c r="H1004" s="133" t="s">
        <v>8747</v>
      </c>
    </row>
    <row r="1005" spans="1:8">
      <c r="A1005" s="214" t="s">
        <v>9766</v>
      </c>
      <c r="B1005" s="214" t="s">
        <v>1962</v>
      </c>
      <c r="C1005" s="133" t="s">
        <v>8</v>
      </c>
      <c r="D1005" s="133" t="s">
        <v>2076</v>
      </c>
      <c r="E1005" s="133" t="s">
        <v>63</v>
      </c>
      <c r="F1005" s="133" t="s">
        <v>65</v>
      </c>
      <c r="G1005" s="133" t="s">
        <v>8820</v>
      </c>
      <c r="H1005" s="133" t="s">
        <v>8747</v>
      </c>
    </row>
    <row r="1006" spans="1:8">
      <c r="A1006" s="214" t="s">
        <v>9767</v>
      </c>
      <c r="B1006" s="214" t="s">
        <v>9768</v>
      </c>
      <c r="C1006" s="133" t="s">
        <v>8</v>
      </c>
      <c r="D1006" s="133" t="s">
        <v>1132</v>
      </c>
      <c r="E1006" s="133" t="s">
        <v>63</v>
      </c>
      <c r="F1006" s="133" t="s">
        <v>65</v>
      </c>
      <c r="G1006" s="133" t="s">
        <v>8820</v>
      </c>
      <c r="H1006" s="133" t="s">
        <v>8747</v>
      </c>
    </row>
    <row r="1007" spans="1:8">
      <c r="A1007" s="214" t="s">
        <v>944</v>
      </c>
      <c r="B1007" s="214" t="s">
        <v>945</v>
      </c>
      <c r="C1007" s="133" t="s">
        <v>8</v>
      </c>
      <c r="D1007" s="133" t="s">
        <v>932</v>
      </c>
      <c r="E1007" s="133" t="s">
        <v>83</v>
      </c>
      <c r="F1007" s="133" t="s">
        <v>65</v>
      </c>
      <c r="G1007" s="133" t="s">
        <v>8784</v>
      </c>
      <c r="H1007" s="133" t="s">
        <v>8747</v>
      </c>
    </row>
    <row r="1008" spans="1:8">
      <c r="A1008" s="214" t="s">
        <v>2075</v>
      </c>
      <c r="B1008" s="214" t="s">
        <v>2077</v>
      </c>
      <c r="C1008" s="133" t="s">
        <v>8</v>
      </c>
      <c r="D1008" s="133" t="s">
        <v>2076</v>
      </c>
      <c r="E1008" s="133" t="s">
        <v>63</v>
      </c>
      <c r="F1008" s="133" t="s">
        <v>65</v>
      </c>
      <c r="G1008" s="133" t="s">
        <v>8820</v>
      </c>
      <c r="H1008" s="133" t="s">
        <v>8747</v>
      </c>
    </row>
    <row r="1009" spans="1:8">
      <c r="A1009" s="214" t="s">
        <v>9769</v>
      </c>
      <c r="B1009" s="214" t="s">
        <v>9770</v>
      </c>
      <c r="C1009" s="133" t="s">
        <v>8</v>
      </c>
      <c r="D1009" s="133" t="s">
        <v>6871</v>
      </c>
      <c r="E1009" s="133" t="s">
        <v>63</v>
      </c>
      <c r="F1009" s="133" t="s">
        <v>65</v>
      </c>
      <c r="G1009" s="133" t="s">
        <v>8820</v>
      </c>
      <c r="H1009" s="133" t="s">
        <v>8747</v>
      </c>
    </row>
    <row r="1010" spans="1:8">
      <c r="A1010" s="214" t="s">
        <v>9771</v>
      </c>
      <c r="B1010" s="214" t="s">
        <v>9772</v>
      </c>
      <c r="C1010" s="133" t="s">
        <v>8</v>
      </c>
      <c r="D1010" s="133" t="s">
        <v>910</v>
      </c>
      <c r="E1010" s="133" t="s">
        <v>83</v>
      </c>
      <c r="F1010" s="133" t="s">
        <v>65</v>
      </c>
      <c r="G1010" s="133" t="s">
        <v>9104</v>
      </c>
      <c r="H1010" s="133" t="s">
        <v>8747</v>
      </c>
    </row>
    <row r="1011" spans="1:8">
      <c r="A1011" s="214" t="s">
        <v>2152</v>
      </c>
      <c r="B1011" s="214" t="s">
        <v>2153</v>
      </c>
      <c r="C1011" s="133" t="s">
        <v>8</v>
      </c>
      <c r="D1011" s="133" t="s">
        <v>1047</v>
      </c>
      <c r="E1011" s="133" t="s">
        <v>63</v>
      </c>
      <c r="F1011" s="133" t="s">
        <v>65</v>
      </c>
      <c r="G1011" s="133" t="s">
        <v>8820</v>
      </c>
      <c r="H1011" s="133" t="s">
        <v>8747</v>
      </c>
    </row>
    <row r="1012" spans="1:8">
      <c r="A1012" s="214" t="s">
        <v>2555</v>
      </c>
      <c r="B1012" s="214" t="s">
        <v>2556</v>
      </c>
      <c r="C1012" s="133" t="s">
        <v>8</v>
      </c>
      <c r="D1012" s="133" t="s">
        <v>1522</v>
      </c>
      <c r="E1012" s="133" t="s">
        <v>63</v>
      </c>
      <c r="F1012" s="133" t="s">
        <v>65</v>
      </c>
      <c r="G1012" s="133" t="s">
        <v>9032</v>
      </c>
      <c r="H1012" s="133" t="s">
        <v>8747</v>
      </c>
    </row>
    <row r="1013" spans="1:8">
      <c r="A1013" s="214" t="s">
        <v>9773</v>
      </c>
      <c r="B1013" s="214" t="s">
        <v>9774</v>
      </c>
      <c r="C1013" s="133" t="s">
        <v>8</v>
      </c>
      <c r="D1013" s="133" t="s">
        <v>1368</v>
      </c>
      <c r="E1013" s="133" t="s">
        <v>63</v>
      </c>
      <c r="F1013" s="133" t="s">
        <v>65</v>
      </c>
      <c r="G1013" s="133" t="s">
        <v>8820</v>
      </c>
      <c r="H1013" s="133" t="s">
        <v>8747</v>
      </c>
    </row>
    <row r="1014" spans="1:8">
      <c r="A1014" s="214" t="s">
        <v>9775</v>
      </c>
      <c r="B1014" s="214" t="s">
        <v>9776</v>
      </c>
      <c r="C1014" s="133" t="s">
        <v>8</v>
      </c>
      <c r="D1014" s="133" t="s">
        <v>1398</v>
      </c>
      <c r="E1014" s="133" t="s">
        <v>63</v>
      </c>
      <c r="F1014" s="133" t="s">
        <v>65</v>
      </c>
      <c r="G1014" s="133" t="s">
        <v>9032</v>
      </c>
      <c r="H1014" s="133" t="s">
        <v>8747</v>
      </c>
    </row>
    <row r="1015" spans="1:8">
      <c r="A1015" s="214" t="s">
        <v>9777</v>
      </c>
      <c r="B1015" s="214" t="s">
        <v>9778</v>
      </c>
      <c r="C1015" s="133" t="s">
        <v>9</v>
      </c>
      <c r="D1015" s="133" t="s">
        <v>3541</v>
      </c>
      <c r="E1015" s="133" t="s">
        <v>3539</v>
      </c>
      <c r="F1015" s="133" t="s">
        <v>65</v>
      </c>
      <c r="G1015" s="133" t="s">
        <v>8776</v>
      </c>
      <c r="H1015" s="133" t="s">
        <v>8747</v>
      </c>
    </row>
    <row r="1016" spans="1:8">
      <c r="A1016" s="214" t="s">
        <v>6289</v>
      </c>
      <c r="B1016" s="214" t="s">
        <v>2533</v>
      </c>
      <c r="C1016" s="133" t="s">
        <v>8</v>
      </c>
      <c r="D1016" s="133" t="s">
        <v>277</v>
      </c>
      <c r="E1016" s="133" t="s">
        <v>63</v>
      </c>
      <c r="F1016" s="133" t="s">
        <v>65</v>
      </c>
      <c r="G1016" s="133" t="s">
        <v>9032</v>
      </c>
      <c r="H1016" s="133" t="s">
        <v>8747</v>
      </c>
    </row>
    <row r="1017" spans="1:8">
      <c r="A1017" s="214" t="s">
        <v>7205</v>
      </c>
      <c r="B1017" s="214" t="s">
        <v>7206</v>
      </c>
      <c r="C1017" s="133" t="s">
        <v>8</v>
      </c>
      <c r="D1017" s="133" t="s">
        <v>995</v>
      </c>
      <c r="E1017" s="133" t="s">
        <v>63</v>
      </c>
      <c r="F1017" s="133" t="s">
        <v>65</v>
      </c>
      <c r="G1017" s="133" t="s">
        <v>9032</v>
      </c>
      <c r="H1017" s="133" t="s">
        <v>8747</v>
      </c>
    </row>
    <row r="1018" spans="1:8">
      <c r="A1018" s="214" t="s">
        <v>931</v>
      </c>
      <c r="B1018" s="214" t="s">
        <v>933</v>
      </c>
      <c r="C1018" s="133" t="s">
        <v>8</v>
      </c>
      <c r="D1018" s="133" t="s">
        <v>932</v>
      </c>
      <c r="E1018" s="133" t="s">
        <v>83</v>
      </c>
      <c r="F1018" s="133" t="s">
        <v>65</v>
      </c>
      <c r="G1018" s="133" t="s">
        <v>8784</v>
      </c>
      <c r="H1018" s="133" t="s">
        <v>8747</v>
      </c>
    </row>
    <row r="1019" spans="1:8">
      <c r="A1019" s="214" t="s">
        <v>5354</v>
      </c>
      <c r="B1019" s="214" t="s">
        <v>3731</v>
      </c>
      <c r="C1019" s="133" t="s">
        <v>8</v>
      </c>
      <c r="D1019" s="133" t="s">
        <v>1406</v>
      </c>
      <c r="E1019" s="133" t="s">
        <v>63</v>
      </c>
      <c r="F1019" s="133" t="s">
        <v>65</v>
      </c>
      <c r="G1019" s="133" t="s">
        <v>9032</v>
      </c>
      <c r="H1019" s="133" t="s">
        <v>8747</v>
      </c>
    </row>
    <row r="1020" spans="1:8">
      <c r="A1020" s="214" t="s">
        <v>9779</v>
      </c>
      <c r="B1020" s="214" t="s">
        <v>9780</v>
      </c>
      <c r="C1020" s="133" t="s">
        <v>8</v>
      </c>
      <c r="D1020" s="133" t="s">
        <v>2380</v>
      </c>
      <c r="E1020" s="133" t="s">
        <v>63</v>
      </c>
      <c r="F1020" s="133" t="s">
        <v>65</v>
      </c>
      <c r="G1020" s="133" t="s">
        <v>8820</v>
      </c>
      <c r="H1020" s="133" t="s">
        <v>8747</v>
      </c>
    </row>
    <row r="1021" spans="1:8">
      <c r="A1021" s="214" t="s">
        <v>9781</v>
      </c>
      <c r="B1021" s="214" t="s">
        <v>9782</v>
      </c>
      <c r="C1021" s="133" t="s">
        <v>8</v>
      </c>
      <c r="D1021" s="133" t="s">
        <v>1398</v>
      </c>
      <c r="E1021" s="133" t="s">
        <v>63</v>
      </c>
      <c r="F1021" s="133" t="s">
        <v>65</v>
      </c>
      <c r="G1021" s="133" t="s">
        <v>8820</v>
      </c>
      <c r="H1021" s="133" t="s">
        <v>8747</v>
      </c>
    </row>
    <row r="1022" spans="1:8">
      <c r="A1022" s="214" t="s">
        <v>9783</v>
      </c>
      <c r="B1022" s="214" t="s">
        <v>9784</v>
      </c>
      <c r="C1022" s="133" t="s">
        <v>8</v>
      </c>
      <c r="D1022" s="133" t="s">
        <v>2214</v>
      </c>
      <c r="E1022" s="133" t="s">
        <v>63</v>
      </c>
      <c r="F1022" s="133" t="s">
        <v>65</v>
      </c>
      <c r="G1022" s="133" t="s">
        <v>9028</v>
      </c>
      <c r="H1022" s="133" t="s">
        <v>8747</v>
      </c>
    </row>
    <row r="1023" spans="1:8">
      <c r="A1023" s="214" t="s">
        <v>9785</v>
      </c>
      <c r="B1023" s="214" t="s">
        <v>9786</v>
      </c>
      <c r="C1023" s="133" t="s">
        <v>8</v>
      </c>
      <c r="D1023" s="133" t="s">
        <v>1406</v>
      </c>
      <c r="E1023" s="133" t="s">
        <v>63</v>
      </c>
      <c r="F1023" s="133" t="s">
        <v>65</v>
      </c>
      <c r="G1023" s="133" t="s">
        <v>8820</v>
      </c>
      <c r="H1023" s="133" t="s">
        <v>8747</v>
      </c>
    </row>
    <row r="1024" spans="1:8">
      <c r="A1024" s="214" t="s">
        <v>9787</v>
      </c>
      <c r="B1024" s="214" t="s">
        <v>9788</v>
      </c>
      <c r="C1024" s="133" t="s">
        <v>8</v>
      </c>
      <c r="D1024" s="133" t="s">
        <v>66</v>
      </c>
      <c r="E1024" s="133" t="s">
        <v>63</v>
      </c>
      <c r="F1024" s="133" t="s">
        <v>65</v>
      </c>
      <c r="G1024" s="133" t="s">
        <v>8820</v>
      </c>
      <c r="H1024" s="133" t="s">
        <v>8747</v>
      </c>
    </row>
    <row r="1025" spans="1:8">
      <c r="A1025" s="214" t="s">
        <v>9789</v>
      </c>
      <c r="B1025" s="214" t="s">
        <v>9790</v>
      </c>
      <c r="C1025" s="133" t="s">
        <v>8</v>
      </c>
      <c r="D1025" s="133" t="s">
        <v>1368</v>
      </c>
      <c r="E1025" s="133" t="s">
        <v>63</v>
      </c>
      <c r="F1025" s="133" t="s">
        <v>65</v>
      </c>
      <c r="G1025" s="133" t="s">
        <v>8820</v>
      </c>
      <c r="H1025" s="133" t="s">
        <v>8747</v>
      </c>
    </row>
    <row r="1026" spans="1:8">
      <c r="A1026" s="214" t="s">
        <v>9791</v>
      </c>
      <c r="B1026" s="214" t="s">
        <v>9792</v>
      </c>
      <c r="C1026" s="133" t="s">
        <v>8</v>
      </c>
      <c r="D1026" s="133" t="s">
        <v>1522</v>
      </c>
      <c r="E1026" s="133" t="s">
        <v>63</v>
      </c>
      <c r="F1026" s="133" t="s">
        <v>65</v>
      </c>
      <c r="G1026" s="133" t="s">
        <v>8820</v>
      </c>
      <c r="H1026" s="133" t="s">
        <v>8747</v>
      </c>
    </row>
    <row r="1027" spans="1:8">
      <c r="A1027" s="214" t="s">
        <v>9793</v>
      </c>
      <c r="B1027" s="214" t="s">
        <v>9794</v>
      </c>
      <c r="C1027" s="133" t="s">
        <v>8</v>
      </c>
      <c r="D1027" s="133" t="s">
        <v>1047</v>
      </c>
      <c r="E1027" s="133" t="s">
        <v>63</v>
      </c>
      <c r="F1027" s="133" t="s">
        <v>65</v>
      </c>
      <c r="G1027" s="133" t="s">
        <v>8820</v>
      </c>
      <c r="H1027" s="133" t="s">
        <v>8747</v>
      </c>
    </row>
    <row r="1028" spans="1:8">
      <c r="A1028" s="214" t="s">
        <v>9795</v>
      </c>
      <c r="B1028" s="214" t="s">
        <v>9796</v>
      </c>
      <c r="C1028" s="133" t="s">
        <v>8</v>
      </c>
      <c r="D1028" s="133" t="s">
        <v>1419</v>
      </c>
      <c r="E1028" s="133" t="s">
        <v>63</v>
      </c>
      <c r="F1028" s="133" t="s">
        <v>65</v>
      </c>
      <c r="G1028" s="133" t="s">
        <v>8820</v>
      </c>
      <c r="H1028" s="133" t="s">
        <v>8747</v>
      </c>
    </row>
    <row r="1029" spans="1:8">
      <c r="A1029" s="214" t="s">
        <v>3028</v>
      </c>
      <c r="B1029" s="214" t="s">
        <v>3029</v>
      </c>
      <c r="C1029" s="133" t="s">
        <v>8</v>
      </c>
      <c r="D1029" s="133" t="s">
        <v>2076</v>
      </c>
      <c r="E1029" s="133" t="s">
        <v>63</v>
      </c>
      <c r="F1029" s="133" t="s">
        <v>65</v>
      </c>
      <c r="G1029" s="133" t="s">
        <v>8820</v>
      </c>
      <c r="H1029" s="133" t="s">
        <v>8747</v>
      </c>
    </row>
    <row r="1030" spans="1:8">
      <c r="A1030" s="214" t="s">
        <v>9797</v>
      </c>
      <c r="B1030" s="214" t="s">
        <v>9798</v>
      </c>
      <c r="C1030" s="133" t="s">
        <v>8</v>
      </c>
      <c r="D1030" s="133" t="s">
        <v>96</v>
      </c>
      <c r="E1030" s="133" t="s">
        <v>83</v>
      </c>
      <c r="F1030" s="133" t="s">
        <v>65</v>
      </c>
      <c r="G1030" s="133" t="s">
        <v>9084</v>
      </c>
      <c r="H1030" s="133" t="s">
        <v>8747</v>
      </c>
    </row>
    <row r="1031" spans="1:8">
      <c r="A1031" s="214" t="s">
        <v>9799</v>
      </c>
      <c r="B1031" s="214" t="s">
        <v>414</v>
      </c>
      <c r="C1031" s="133" t="s">
        <v>8</v>
      </c>
      <c r="D1031" s="133" t="s">
        <v>639</v>
      </c>
      <c r="E1031" s="133" t="s">
        <v>83</v>
      </c>
      <c r="F1031" s="133" t="s">
        <v>65</v>
      </c>
      <c r="G1031" s="133" t="s">
        <v>9032</v>
      </c>
      <c r="H1031" s="133" t="s">
        <v>8747</v>
      </c>
    </row>
    <row r="1032" spans="1:8">
      <c r="A1032" s="214" t="s">
        <v>9800</v>
      </c>
      <c r="B1032" s="214" t="s">
        <v>9801</v>
      </c>
      <c r="C1032" s="133" t="s">
        <v>8</v>
      </c>
      <c r="D1032" s="133" t="s">
        <v>1419</v>
      </c>
      <c r="E1032" s="133" t="s">
        <v>63</v>
      </c>
      <c r="F1032" s="133" t="s">
        <v>65</v>
      </c>
      <c r="G1032" s="133" t="s">
        <v>8820</v>
      </c>
      <c r="H1032" s="133" t="s">
        <v>8747</v>
      </c>
    </row>
    <row r="1033" spans="1:8">
      <c r="A1033" s="214" t="s">
        <v>2259</v>
      </c>
      <c r="B1033" s="214" t="s">
        <v>2261</v>
      </c>
      <c r="C1033" s="133" t="s">
        <v>399</v>
      </c>
      <c r="D1033" s="133" t="s">
        <v>2260</v>
      </c>
      <c r="E1033" s="133" t="s">
        <v>83</v>
      </c>
      <c r="F1033" s="133" t="s">
        <v>65</v>
      </c>
      <c r="G1033" s="133" t="s">
        <v>9385</v>
      </c>
      <c r="H1033" s="133" t="s">
        <v>8747</v>
      </c>
    </row>
    <row r="1034" spans="1:8">
      <c r="A1034" s="214" t="s">
        <v>4249</v>
      </c>
      <c r="B1034" s="214" t="s">
        <v>4250</v>
      </c>
      <c r="C1034" s="133" t="s">
        <v>10</v>
      </c>
      <c r="D1034" s="133" t="s">
        <v>871</v>
      </c>
      <c r="E1034" s="133" t="s">
        <v>83</v>
      </c>
      <c r="F1034" s="133" t="s">
        <v>65</v>
      </c>
      <c r="G1034" s="133" t="s">
        <v>8987</v>
      </c>
      <c r="H1034" s="133" t="s">
        <v>8747</v>
      </c>
    </row>
    <row r="1035" spans="1:8">
      <c r="A1035" s="214" t="s">
        <v>9802</v>
      </c>
      <c r="B1035" s="214" t="s">
        <v>9803</v>
      </c>
      <c r="C1035" s="133" t="s">
        <v>10</v>
      </c>
      <c r="D1035" s="133" t="s">
        <v>8021</v>
      </c>
      <c r="E1035" s="133" t="s">
        <v>63</v>
      </c>
      <c r="F1035" s="133" t="s">
        <v>65</v>
      </c>
      <c r="G1035" s="133" t="s">
        <v>8820</v>
      </c>
      <c r="H1035" s="133" t="s">
        <v>8747</v>
      </c>
    </row>
    <row r="1036" spans="1:8">
      <c r="A1036" s="214" t="s">
        <v>4368</v>
      </c>
      <c r="B1036" s="214" t="s">
        <v>4369</v>
      </c>
      <c r="C1036" s="133" t="s">
        <v>10</v>
      </c>
      <c r="D1036" s="133" t="s">
        <v>4336</v>
      </c>
      <c r="E1036" s="133" t="s">
        <v>83</v>
      </c>
      <c r="F1036" s="133" t="s">
        <v>65</v>
      </c>
      <c r="G1036" s="133" t="s">
        <v>8776</v>
      </c>
      <c r="H1036" s="133" t="s">
        <v>8747</v>
      </c>
    </row>
    <row r="1037" spans="1:8">
      <c r="A1037" s="214" t="s">
        <v>9804</v>
      </c>
      <c r="B1037" s="214" t="s">
        <v>9765</v>
      </c>
      <c r="C1037" s="133" t="s">
        <v>10</v>
      </c>
      <c r="D1037" s="133" t="s">
        <v>8956</v>
      </c>
      <c r="E1037" s="133" t="s">
        <v>63</v>
      </c>
      <c r="F1037" s="133" t="s">
        <v>65</v>
      </c>
      <c r="G1037" s="133" t="s">
        <v>9032</v>
      </c>
      <c r="H1037" s="133" t="s">
        <v>8747</v>
      </c>
    </row>
    <row r="1038" spans="1:8">
      <c r="A1038" s="214" t="s">
        <v>9805</v>
      </c>
      <c r="B1038" s="214" t="s">
        <v>9806</v>
      </c>
      <c r="C1038" s="133" t="s">
        <v>10</v>
      </c>
      <c r="D1038" s="133" t="s">
        <v>3103</v>
      </c>
      <c r="E1038" s="133" t="s">
        <v>63</v>
      </c>
      <c r="F1038" s="133" t="s">
        <v>65</v>
      </c>
      <c r="G1038" s="133" t="s">
        <v>8820</v>
      </c>
      <c r="H1038" s="133" t="s">
        <v>8747</v>
      </c>
    </row>
    <row r="1039" spans="1:8">
      <c r="A1039" s="214" t="s">
        <v>9807</v>
      </c>
      <c r="B1039" s="214" t="s">
        <v>9808</v>
      </c>
      <c r="C1039" s="133" t="s">
        <v>10</v>
      </c>
      <c r="D1039" s="133" t="s">
        <v>6283</v>
      </c>
      <c r="E1039" s="133" t="s">
        <v>63</v>
      </c>
      <c r="F1039" s="133" t="s">
        <v>65</v>
      </c>
      <c r="G1039" s="133" t="s">
        <v>9032</v>
      </c>
      <c r="H1039" s="133" t="s">
        <v>8747</v>
      </c>
    </row>
    <row r="1040" spans="1:8">
      <c r="A1040" s="214" t="s">
        <v>9809</v>
      </c>
      <c r="B1040" s="214" t="s">
        <v>9810</v>
      </c>
      <c r="C1040" s="133" t="s">
        <v>8</v>
      </c>
      <c r="D1040" s="133" t="s">
        <v>1522</v>
      </c>
      <c r="E1040" s="133" t="s">
        <v>63</v>
      </c>
      <c r="F1040" s="133" t="s">
        <v>65</v>
      </c>
      <c r="G1040" s="133" t="s">
        <v>8826</v>
      </c>
      <c r="H1040" s="133" t="s">
        <v>8747</v>
      </c>
    </row>
    <row r="1041" spans="1:8">
      <c r="A1041" s="214" t="s">
        <v>9811</v>
      </c>
      <c r="B1041" s="214" t="s">
        <v>9812</v>
      </c>
      <c r="C1041" s="133" t="s">
        <v>8</v>
      </c>
      <c r="D1041" s="133" t="s">
        <v>686</v>
      </c>
      <c r="E1041" s="133" t="s">
        <v>63</v>
      </c>
      <c r="F1041" s="133" t="s">
        <v>65</v>
      </c>
      <c r="G1041" s="133" t="s">
        <v>8826</v>
      </c>
      <c r="H1041" s="133" t="s">
        <v>8747</v>
      </c>
    </row>
    <row r="1042" spans="1:8">
      <c r="A1042" s="214" t="s">
        <v>7105</v>
      </c>
      <c r="B1042" s="214" t="s">
        <v>7106</v>
      </c>
      <c r="C1042" s="133" t="s">
        <v>8</v>
      </c>
      <c r="D1042" s="133" t="s">
        <v>339</v>
      </c>
      <c r="E1042" s="133" t="s">
        <v>83</v>
      </c>
      <c r="F1042" s="133" t="s">
        <v>65</v>
      </c>
      <c r="G1042" s="133" t="s">
        <v>8987</v>
      </c>
      <c r="H1042" s="133" t="s">
        <v>8747</v>
      </c>
    </row>
    <row r="1043" spans="1:8">
      <c r="A1043" s="214" t="s">
        <v>9813</v>
      </c>
      <c r="B1043" s="214" t="s">
        <v>9814</v>
      </c>
      <c r="C1043" s="133" t="s">
        <v>399</v>
      </c>
      <c r="D1043" s="133" t="s">
        <v>2362</v>
      </c>
      <c r="E1043" s="133" t="s">
        <v>83</v>
      </c>
      <c r="F1043" s="133" t="s">
        <v>65</v>
      </c>
      <c r="G1043" s="133" t="s">
        <v>9003</v>
      </c>
      <c r="H1043" s="133" t="s">
        <v>8747</v>
      </c>
    </row>
    <row r="1044" spans="1:8">
      <c r="A1044" s="214" t="s">
        <v>8592</v>
      </c>
      <c r="B1044" s="214" t="s">
        <v>9815</v>
      </c>
      <c r="C1044" s="133" t="s">
        <v>8</v>
      </c>
      <c r="D1044" s="133" t="s">
        <v>339</v>
      </c>
      <c r="E1044" s="133" t="s">
        <v>83</v>
      </c>
      <c r="F1044" s="133" t="s">
        <v>65</v>
      </c>
      <c r="G1044" s="133" t="s">
        <v>8987</v>
      </c>
      <c r="H1044" s="133" t="s">
        <v>8747</v>
      </c>
    </row>
    <row r="1045" spans="1:8">
      <c r="A1045" s="214" t="s">
        <v>9816</v>
      </c>
      <c r="B1045" s="214" t="s">
        <v>9817</v>
      </c>
      <c r="C1045" s="133" t="s">
        <v>8</v>
      </c>
      <c r="D1045" s="133" t="s">
        <v>9096</v>
      </c>
      <c r="E1045" s="133" t="s">
        <v>83</v>
      </c>
      <c r="F1045" s="133" t="s">
        <v>65</v>
      </c>
      <c r="G1045" s="133" t="s">
        <v>8987</v>
      </c>
      <c r="H1045" s="133" t="s">
        <v>8747</v>
      </c>
    </row>
    <row r="1046" spans="1:8">
      <c r="A1046" s="214" t="s">
        <v>9818</v>
      </c>
      <c r="B1046" s="214" t="s">
        <v>7414</v>
      </c>
      <c r="C1046" s="133" t="s">
        <v>399</v>
      </c>
      <c r="D1046" s="133" t="s">
        <v>2362</v>
      </c>
      <c r="E1046" s="133" t="s">
        <v>83</v>
      </c>
      <c r="F1046" s="133" t="s">
        <v>65</v>
      </c>
      <c r="G1046" s="133" t="s">
        <v>9003</v>
      </c>
      <c r="H1046" s="133" t="s">
        <v>8747</v>
      </c>
    </row>
    <row r="1047" spans="1:8">
      <c r="A1047" s="214" t="s">
        <v>9819</v>
      </c>
      <c r="B1047" s="214" t="s">
        <v>9820</v>
      </c>
      <c r="C1047" s="133" t="s">
        <v>10</v>
      </c>
      <c r="D1047" s="133" t="s">
        <v>6012</v>
      </c>
      <c r="E1047" s="133" t="s">
        <v>63</v>
      </c>
      <c r="F1047" s="133" t="s">
        <v>65</v>
      </c>
      <c r="G1047" s="133" t="s">
        <v>8784</v>
      </c>
      <c r="H1047" s="133" t="s">
        <v>8747</v>
      </c>
    </row>
    <row r="1048" spans="1:8">
      <c r="A1048" s="214" t="s">
        <v>5247</v>
      </c>
      <c r="B1048" s="214" t="s">
        <v>5248</v>
      </c>
      <c r="C1048" s="133" t="s">
        <v>9</v>
      </c>
      <c r="D1048" s="133" t="s">
        <v>5241</v>
      </c>
      <c r="E1048" s="133" t="s">
        <v>83</v>
      </c>
      <c r="F1048" s="133" t="s">
        <v>284</v>
      </c>
      <c r="G1048" s="133" t="s">
        <v>8829</v>
      </c>
      <c r="H1048" s="133" t="s">
        <v>8747</v>
      </c>
    </row>
    <row r="1049" spans="1:8">
      <c r="A1049" s="214" t="s">
        <v>4688</v>
      </c>
      <c r="B1049" s="214" t="s">
        <v>4689</v>
      </c>
      <c r="C1049" s="133" t="s">
        <v>9</v>
      </c>
      <c r="D1049" s="133" t="s">
        <v>4636</v>
      </c>
      <c r="E1049" s="133" t="s">
        <v>83</v>
      </c>
      <c r="F1049" s="133" t="s">
        <v>284</v>
      </c>
      <c r="G1049" s="133" t="s">
        <v>8776</v>
      </c>
      <c r="H1049" s="133" t="s">
        <v>8747</v>
      </c>
    </row>
    <row r="1050" spans="1:8">
      <c r="A1050" s="214" t="s">
        <v>9821</v>
      </c>
      <c r="B1050" s="214" t="s">
        <v>9822</v>
      </c>
      <c r="C1050" s="133" t="s">
        <v>2146</v>
      </c>
      <c r="D1050" s="133" t="s">
        <v>2197</v>
      </c>
      <c r="E1050" s="133" t="s">
        <v>83</v>
      </c>
      <c r="F1050" s="133" t="s">
        <v>284</v>
      </c>
      <c r="G1050" s="133" t="s">
        <v>8980</v>
      </c>
      <c r="H1050" s="133" t="s">
        <v>8747</v>
      </c>
    </row>
    <row r="1051" spans="1:8">
      <c r="A1051" s="214" t="s">
        <v>4077</v>
      </c>
      <c r="B1051" s="214" t="s">
        <v>4078</v>
      </c>
      <c r="C1051" s="133" t="s">
        <v>10</v>
      </c>
      <c r="D1051" s="133" t="s">
        <v>4064</v>
      </c>
      <c r="E1051" s="133" t="s">
        <v>83</v>
      </c>
      <c r="F1051" s="133" t="s">
        <v>284</v>
      </c>
      <c r="G1051" s="133" t="s">
        <v>8776</v>
      </c>
      <c r="H1051" s="133" t="s">
        <v>8747</v>
      </c>
    </row>
    <row r="1052" spans="1:8">
      <c r="A1052" s="214" t="s">
        <v>9823</v>
      </c>
      <c r="B1052" s="214" t="s">
        <v>9824</v>
      </c>
      <c r="C1052" s="133" t="s">
        <v>8</v>
      </c>
      <c r="D1052" s="133" t="s">
        <v>1406</v>
      </c>
      <c r="E1052" s="133" t="s">
        <v>63</v>
      </c>
      <c r="F1052" s="133" t="s">
        <v>284</v>
      </c>
      <c r="G1052" s="133" t="s">
        <v>8820</v>
      </c>
      <c r="H1052" s="133" t="s">
        <v>8747</v>
      </c>
    </row>
    <row r="1053" spans="1:8">
      <c r="A1053" s="214" t="s">
        <v>3891</v>
      </c>
      <c r="B1053" s="214" t="s">
        <v>3892</v>
      </c>
      <c r="C1053" s="133" t="s">
        <v>8</v>
      </c>
      <c r="D1053" s="133" t="s">
        <v>2076</v>
      </c>
      <c r="E1053" s="133" t="s">
        <v>63</v>
      </c>
      <c r="F1053" s="133" t="s">
        <v>284</v>
      </c>
      <c r="G1053" s="133" t="s">
        <v>9028</v>
      </c>
      <c r="H1053" s="133" t="s">
        <v>8747</v>
      </c>
    </row>
    <row r="1054" spans="1:8">
      <c r="A1054" s="214" t="s">
        <v>9825</v>
      </c>
      <c r="B1054" s="214" t="s">
        <v>9826</v>
      </c>
      <c r="C1054" s="133" t="s">
        <v>8</v>
      </c>
      <c r="D1054" s="133" t="s">
        <v>1132</v>
      </c>
      <c r="E1054" s="133" t="s">
        <v>63</v>
      </c>
      <c r="F1054" s="133" t="s">
        <v>284</v>
      </c>
      <c r="G1054" s="133" t="s">
        <v>8820</v>
      </c>
      <c r="H1054" s="133" t="s">
        <v>8747</v>
      </c>
    </row>
    <row r="1055" spans="1:8">
      <c r="A1055" s="214" t="s">
        <v>2429</v>
      </c>
      <c r="B1055" s="214" t="s">
        <v>2430</v>
      </c>
      <c r="C1055" s="133" t="s">
        <v>8</v>
      </c>
      <c r="D1055" s="133" t="s">
        <v>1132</v>
      </c>
      <c r="E1055" s="133" t="s">
        <v>63</v>
      </c>
      <c r="F1055" s="133" t="s">
        <v>284</v>
      </c>
      <c r="G1055" s="133" t="s">
        <v>8820</v>
      </c>
      <c r="H1055" s="133" t="s">
        <v>8747</v>
      </c>
    </row>
    <row r="1056" spans="1:8">
      <c r="A1056" s="214" t="s">
        <v>9827</v>
      </c>
      <c r="B1056" s="214" t="s">
        <v>9828</v>
      </c>
      <c r="C1056" s="133" t="s">
        <v>8</v>
      </c>
      <c r="D1056" s="133" t="s">
        <v>809</v>
      </c>
      <c r="E1056" s="133" t="s">
        <v>63</v>
      </c>
      <c r="F1056" s="133" t="s">
        <v>284</v>
      </c>
      <c r="G1056" s="133" t="s">
        <v>8986</v>
      </c>
      <c r="H1056" s="133" t="s">
        <v>8747</v>
      </c>
    </row>
    <row r="1057" spans="1:8">
      <c r="A1057" s="214" t="s">
        <v>9829</v>
      </c>
      <c r="B1057" s="214" t="s">
        <v>9830</v>
      </c>
      <c r="C1057" s="133" t="s">
        <v>10</v>
      </c>
      <c r="D1057" s="133" t="s">
        <v>8948</v>
      </c>
      <c r="E1057" s="133" t="s">
        <v>63</v>
      </c>
      <c r="F1057" s="133" t="s">
        <v>284</v>
      </c>
      <c r="G1057" s="133" t="s">
        <v>9032</v>
      </c>
      <c r="H1057" s="133" t="s">
        <v>8747</v>
      </c>
    </row>
    <row r="1058" spans="1:8">
      <c r="A1058" s="214" t="s">
        <v>9831</v>
      </c>
      <c r="B1058" s="214" t="s">
        <v>9832</v>
      </c>
      <c r="C1058" s="133" t="s">
        <v>10</v>
      </c>
      <c r="D1058" s="133" t="s">
        <v>6250</v>
      </c>
      <c r="E1058" s="133" t="s">
        <v>63</v>
      </c>
      <c r="F1058" s="133" t="s">
        <v>284</v>
      </c>
      <c r="G1058" s="133" t="s">
        <v>8784</v>
      </c>
      <c r="H1058" s="133" t="s">
        <v>8747</v>
      </c>
    </row>
    <row r="1059" spans="1:8">
      <c r="A1059" s="214" t="s">
        <v>9833</v>
      </c>
      <c r="B1059" s="214" t="s">
        <v>9482</v>
      </c>
      <c r="C1059" s="133" t="s">
        <v>10</v>
      </c>
      <c r="D1059" s="133" t="s">
        <v>8905</v>
      </c>
      <c r="E1059" s="133" t="s">
        <v>63</v>
      </c>
      <c r="F1059" s="133" t="s">
        <v>284</v>
      </c>
      <c r="G1059" s="133" t="s">
        <v>8784</v>
      </c>
      <c r="H1059" s="133" t="s">
        <v>8747</v>
      </c>
    </row>
    <row r="1060" spans="1:8">
      <c r="A1060" s="214" t="s">
        <v>9834</v>
      </c>
      <c r="B1060" s="214" t="s">
        <v>9835</v>
      </c>
      <c r="C1060" s="133" t="s">
        <v>10</v>
      </c>
      <c r="D1060" s="133" t="s">
        <v>6283</v>
      </c>
      <c r="E1060" s="133" t="s">
        <v>63</v>
      </c>
      <c r="F1060" s="133" t="s">
        <v>284</v>
      </c>
      <c r="G1060" s="133" t="s">
        <v>8820</v>
      </c>
      <c r="H1060" s="133" t="s">
        <v>8747</v>
      </c>
    </row>
    <row r="1061" spans="1:8">
      <c r="A1061" s="214" t="s">
        <v>9836</v>
      </c>
      <c r="B1061" s="214" t="s">
        <v>9837</v>
      </c>
      <c r="C1061" s="133" t="s">
        <v>10</v>
      </c>
      <c r="D1061" s="133" t="s">
        <v>7955</v>
      </c>
      <c r="E1061" s="133" t="s">
        <v>63</v>
      </c>
      <c r="F1061" s="133" t="s">
        <v>284</v>
      </c>
      <c r="G1061" s="133" t="s">
        <v>9032</v>
      </c>
      <c r="H1061" s="133" t="s">
        <v>8747</v>
      </c>
    </row>
    <row r="1062" spans="1:8">
      <c r="A1062" s="214" t="s">
        <v>4146</v>
      </c>
      <c r="B1062" s="214" t="s">
        <v>4147</v>
      </c>
      <c r="C1062" s="133" t="s">
        <v>10</v>
      </c>
      <c r="D1062" s="133" t="s">
        <v>3370</v>
      </c>
      <c r="E1062" s="133" t="s">
        <v>83</v>
      </c>
      <c r="F1062" s="133" t="s">
        <v>284</v>
      </c>
      <c r="G1062" s="133" t="s">
        <v>9838</v>
      </c>
      <c r="H1062" s="133" t="s">
        <v>8747</v>
      </c>
    </row>
    <row r="1063" spans="1:8">
      <c r="A1063" s="214" t="s">
        <v>9839</v>
      </c>
      <c r="B1063" s="214" t="s">
        <v>9840</v>
      </c>
      <c r="C1063" s="133" t="s">
        <v>8</v>
      </c>
      <c r="D1063" s="133" t="s">
        <v>1041</v>
      </c>
      <c r="E1063" s="133" t="s">
        <v>63</v>
      </c>
      <c r="F1063" s="133" t="s">
        <v>284</v>
      </c>
      <c r="G1063" s="133" t="s">
        <v>8820</v>
      </c>
      <c r="H1063" s="133" t="s">
        <v>8747</v>
      </c>
    </row>
    <row r="1064" spans="1:8">
      <c r="A1064" s="214" t="s">
        <v>9841</v>
      </c>
      <c r="B1064" s="214" t="s">
        <v>9842</v>
      </c>
      <c r="C1064" s="133" t="s">
        <v>8</v>
      </c>
      <c r="D1064" s="133" t="s">
        <v>1041</v>
      </c>
      <c r="E1064" s="133" t="s">
        <v>63</v>
      </c>
      <c r="F1064" s="133" t="s">
        <v>284</v>
      </c>
      <c r="G1064" s="133" t="s">
        <v>8820</v>
      </c>
      <c r="H1064" s="133" t="s">
        <v>8747</v>
      </c>
    </row>
    <row r="1065" spans="1:8">
      <c r="A1065" s="214" t="s">
        <v>1997</v>
      </c>
      <c r="B1065" s="214" t="s">
        <v>1998</v>
      </c>
      <c r="C1065" s="133" t="s">
        <v>8</v>
      </c>
      <c r="D1065" s="133" t="s">
        <v>248</v>
      </c>
      <c r="E1065" s="133" t="s">
        <v>83</v>
      </c>
      <c r="F1065" s="133" t="s">
        <v>284</v>
      </c>
      <c r="G1065" s="133" t="s">
        <v>8861</v>
      </c>
      <c r="H1065" s="133" t="s">
        <v>8747</v>
      </c>
    </row>
    <row r="1066" spans="1:8">
      <c r="A1066" s="214" t="s">
        <v>4538</v>
      </c>
      <c r="B1066" s="214" t="s">
        <v>4539</v>
      </c>
      <c r="C1066" s="133" t="s">
        <v>9</v>
      </c>
      <c r="D1066" s="133" t="s">
        <v>3541</v>
      </c>
      <c r="E1066" s="133" t="s">
        <v>3539</v>
      </c>
      <c r="F1066" s="133" t="s">
        <v>284</v>
      </c>
      <c r="G1066" s="133" t="s">
        <v>8776</v>
      </c>
      <c r="H1066" s="133" t="s">
        <v>8747</v>
      </c>
    </row>
    <row r="1067" spans="1:8">
      <c r="A1067" s="214" t="s">
        <v>5328</v>
      </c>
      <c r="B1067" s="214" t="s">
        <v>5329</v>
      </c>
      <c r="C1067" s="133" t="s">
        <v>399</v>
      </c>
      <c r="D1067" s="133" t="s">
        <v>2208</v>
      </c>
      <c r="E1067" s="133" t="s">
        <v>83</v>
      </c>
      <c r="F1067" s="133" t="s">
        <v>284</v>
      </c>
      <c r="G1067" s="133" t="s">
        <v>8755</v>
      </c>
      <c r="H1067" s="133" t="s">
        <v>8747</v>
      </c>
    </row>
    <row r="1068" spans="1:8">
      <c r="A1068" s="214" t="s">
        <v>5968</v>
      </c>
      <c r="B1068" s="214" t="s">
        <v>5969</v>
      </c>
      <c r="C1068" s="133" t="s">
        <v>2146</v>
      </c>
      <c r="D1068" s="133" t="s">
        <v>5908</v>
      </c>
      <c r="E1068" s="133" t="s">
        <v>83</v>
      </c>
      <c r="F1068" s="133" t="s">
        <v>284</v>
      </c>
      <c r="G1068" s="133" t="s">
        <v>8980</v>
      </c>
      <c r="H1068" s="133" t="s">
        <v>8747</v>
      </c>
    </row>
    <row r="1069" spans="1:8">
      <c r="A1069" s="214" t="s">
        <v>4966</v>
      </c>
      <c r="B1069" s="214" t="s">
        <v>4967</v>
      </c>
      <c r="C1069" s="133" t="s">
        <v>10</v>
      </c>
      <c r="D1069" s="133" t="s">
        <v>4163</v>
      </c>
      <c r="E1069" s="133" t="s">
        <v>83</v>
      </c>
      <c r="F1069" s="133" t="s">
        <v>284</v>
      </c>
      <c r="G1069" s="133" t="s">
        <v>8861</v>
      </c>
      <c r="H1069" s="133" t="s">
        <v>8747</v>
      </c>
    </row>
    <row r="1070" spans="1:8">
      <c r="A1070" s="214" t="s">
        <v>9843</v>
      </c>
      <c r="B1070" s="214" t="s">
        <v>9844</v>
      </c>
      <c r="C1070" s="133" t="s">
        <v>8</v>
      </c>
      <c r="D1070" s="133" t="s">
        <v>1368</v>
      </c>
      <c r="E1070" s="133" t="s">
        <v>63</v>
      </c>
      <c r="F1070" s="133" t="s">
        <v>284</v>
      </c>
      <c r="G1070" s="133" t="s">
        <v>8820</v>
      </c>
      <c r="H1070" s="133" t="s">
        <v>8747</v>
      </c>
    </row>
    <row r="1071" spans="1:8">
      <c r="A1071" s="214" t="s">
        <v>9845</v>
      </c>
      <c r="B1071" s="214" t="s">
        <v>9846</v>
      </c>
      <c r="C1071" s="133" t="s">
        <v>8</v>
      </c>
      <c r="D1071" s="133" t="s">
        <v>1047</v>
      </c>
      <c r="E1071" s="133" t="s">
        <v>63</v>
      </c>
      <c r="F1071" s="133" t="s">
        <v>284</v>
      </c>
      <c r="G1071" s="133" t="s">
        <v>8820</v>
      </c>
      <c r="H1071" s="133" t="s">
        <v>8747</v>
      </c>
    </row>
    <row r="1072" spans="1:8">
      <c r="A1072" s="214" t="s">
        <v>3540</v>
      </c>
      <c r="B1072" s="214" t="s">
        <v>3542</v>
      </c>
      <c r="C1072" s="133" t="s">
        <v>9</v>
      </c>
      <c r="D1072" s="133" t="s">
        <v>3541</v>
      </c>
      <c r="E1072" s="133" t="s">
        <v>3539</v>
      </c>
      <c r="F1072" s="133" t="s">
        <v>284</v>
      </c>
      <c r="G1072" s="133" t="s">
        <v>8776</v>
      </c>
      <c r="H1072" s="133" t="s">
        <v>8747</v>
      </c>
    </row>
    <row r="1073" spans="1:8">
      <c r="A1073" s="214" t="s">
        <v>7882</v>
      </c>
      <c r="B1073" s="214" t="s">
        <v>7883</v>
      </c>
      <c r="C1073" s="133" t="s">
        <v>10</v>
      </c>
      <c r="D1073" s="133" t="s">
        <v>4914</v>
      </c>
      <c r="E1073" s="133" t="s">
        <v>63</v>
      </c>
      <c r="F1073" s="133" t="s">
        <v>284</v>
      </c>
      <c r="G1073" s="133" t="s">
        <v>9032</v>
      </c>
      <c r="H1073" s="133" t="s">
        <v>8747</v>
      </c>
    </row>
    <row r="1074" spans="1:8">
      <c r="A1074" s="214" t="s">
        <v>9847</v>
      </c>
      <c r="B1074" s="214" t="s">
        <v>9848</v>
      </c>
      <c r="C1074" s="133" t="s">
        <v>10</v>
      </c>
      <c r="D1074" s="133" t="s">
        <v>8956</v>
      </c>
      <c r="E1074" s="133" t="s">
        <v>63</v>
      </c>
      <c r="F1074" s="133" t="s">
        <v>284</v>
      </c>
      <c r="G1074" s="133" t="s">
        <v>8820</v>
      </c>
      <c r="H1074" s="133" t="s">
        <v>8747</v>
      </c>
    </row>
    <row r="1075" spans="1:8">
      <c r="A1075" s="214" t="s">
        <v>9849</v>
      </c>
      <c r="B1075" s="214" t="s">
        <v>9850</v>
      </c>
      <c r="C1075" s="133" t="s">
        <v>10</v>
      </c>
      <c r="D1075" s="133" t="s">
        <v>8909</v>
      </c>
      <c r="E1075" s="133" t="s">
        <v>63</v>
      </c>
      <c r="F1075" s="133" t="s">
        <v>284</v>
      </c>
      <c r="G1075" s="133" t="s">
        <v>8820</v>
      </c>
      <c r="H1075" s="133" t="s">
        <v>8747</v>
      </c>
    </row>
    <row r="1076" spans="1:8">
      <c r="A1076" s="214" t="s">
        <v>2353</v>
      </c>
      <c r="B1076" s="214" t="s">
        <v>2354</v>
      </c>
      <c r="C1076" s="133" t="s">
        <v>8</v>
      </c>
      <c r="D1076" s="133" t="s">
        <v>1368</v>
      </c>
      <c r="E1076" s="133" t="s">
        <v>63</v>
      </c>
      <c r="F1076" s="133" t="s">
        <v>284</v>
      </c>
      <c r="G1076" s="133" t="s">
        <v>8820</v>
      </c>
      <c r="H1076" s="133" t="s">
        <v>8747</v>
      </c>
    </row>
    <row r="1077" spans="1:8">
      <c r="A1077" s="214" t="s">
        <v>9851</v>
      </c>
      <c r="B1077" s="214" t="s">
        <v>9852</v>
      </c>
      <c r="C1077" s="133" t="s">
        <v>8</v>
      </c>
      <c r="D1077" s="133" t="s">
        <v>1132</v>
      </c>
      <c r="E1077" s="133" t="s">
        <v>63</v>
      </c>
      <c r="F1077" s="133" t="s">
        <v>284</v>
      </c>
      <c r="G1077" s="133" t="s">
        <v>8820</v>
      </c>
      <c r="H1077" s="133" t="s">
        <v>8747</v>
      </c>
    </row>
    <row r="1078" spans="1:8">
      <c r="A1078" s="214" t="s">
        <v>1362</v>
      </c>
      <c r="B1078" s="214" t="s">
        <v>1363</v>
      </c>
      <c r="C1078" s="133" t="s">
        <v>237</v>
      </c>
      <c r="D1078" s="133" t="s">
        <v>239</v>
      </c>
      <c r="E1078" s="133" t="s">
        <v>83</v>
      </c>
      <c r="F1078" s="133" t="s">
        <v>284</v>
      </c>
      <c r="G1078" s="133" t="s">
        <v>70</v>
      </c>
      <c r="H1078" s="133" t="s">
        <v>8747</v>
      </c>
    </row>
    <row r="1079" spans="1:8">
      <c r="A1079" s="214" t="s">
        <v>4818</v>
      </c>
      <c r="B1079" s="214" t="s">
        <v>4820</v>
      </c>
      <c r="C1079" s="133" t="s">
        <v>9</v>
      </c>
      <c r="D1079" s="133" t="s">
        <v>4819</v>
      </c>
      <c r="E1079" s="133" t="s">
        <v>83</v>
      </c>
      <c r="F1079" s="133" t="s">
        <v>284</v>
      </c>
      <c r="G1079" s="133" t="s">
        <v>8861</v>
      </c>
      <c r="H1079" s="133" t="s">
        <v>8747</v>
      </c>
    </row>
    <row r="1080" spans="1:8">
      <c r="A1080" s="214" t="s">
        <v>4477</v>
      </c>
      <c r="B1080" s="214" t="s">
        <v>4478</v>
      </c>
      <c r="C1080" s="133" t="s">
        <v>9</v>
      </c>
      <c r="D1080" s="133" t="s">
        <v>4459</v>
      </c>
      <c r="E1080" s="133" t="s">
        <v>83</v>
      </c>
      <c r="F1080" s="133" t="s">
        <v>284</v>
      </c>
      <c r="G1080" s="133" t="s">
        <v>8776</v>
      </c>
      <c r="H1080" s="133" t="s">
        <v>8747</v>
      </c>
    </row>
    <row r="1081" spans="1:8">
      <c r="A1081" s="214" t="s">
        <v>9853</v>
      </c>
      <c r="B1081" s="214" t="s">
        <v>196</v>
      </c>
      <c r="C1081" s="133" t="s">
        <v>8</v>
      </c>
      <c r="D1081" s="133" t="s">
        <v>440</v>
      </c>
      <c r="E1081" s="133" t="s">
        <v>63</v>
      </c>
      <c r="F1081" s="133" t="s">
        <v>284</v>
      </c>
      <c r="G1081" s="133" t="s">
        <v>8820</v>
      </c>
      <c r="H1081" s="133" t="s">
        <v>8747</v>
      </c>
    </row>
    <row r="1082" spans="1:8">
      <c r="A1082" s="214" t="s">
        <v>4635</v>
      </c>
      <c r="B1082" s="214" t="s">
        <v>4637</v>
      </c>
      <c r="C1082" s="133" t="s">
        <v>9</v>
      </c>
      <c r="D1082" s="133" t="s">
        <v>4636</v>
      </c>
      <c r="E1082" s="133" t="s">
        <v>83</v>
      </c>
      <c r="F1082" s="133" t="s">
        <v>284</v>
      </c>
      <c r="G1082" s="133" t="s">
        <v>8776</v>
      </c>
      <c r="H1082" s="133" t="s">
        <v>8747</v>
      </c>
    </row>
    <row r="1083" spans="1:8">
      <c r="A1083" s="214" t="s">
        <v>9854</v>
      </c>
      <c r="B1083" s="214" t="s">
        <v>9855</v>
      </c>
      <c r="C1083" s="133" t="s">
        <v>8</v>
      </c>
      <c r="D1083" s="133" t="s">
        <v>1419</v>
      </c>
      <c r="E1083" s="133" t="s">
        <v>63</v>
      </c>
      <c r="F1083" s="133" t="s">
        <v>284</v>
      </c>
      <c r="G1083" s="133" t="s">
        <v>8820</v>
      </c>
      <c r="H1083" s="133" t="s">
        <v>8747</v>
      </c>
    </row>
    <row r="1084" spans="1:8">
      <c r="A1084" s="214" t="s">
        <v>9856</v>
      </c>
      <c r="B1084" s="214" t="s">
        <v>9857</v>
      </c>
      <c r="C1084" s="133" t="s">
        <v>8</v>
      </c>
      <c r="D1084" s="133" t="s">
        <v>277</v>
      </c>
      <c r="E1084" s="133" t="s">
        <v>63</v>
      </c>
      <c r="F1084" s="133" t="s">
        <v>284</v>
      </c>
      <c r="G1084" s="133" t="s">
        <v>8820</v>
      </c>
      <c r="H1084" s="133" t="s">
        <v>8747</v>
      </c>
    </row>
    <row r="1085" spans="1:8">
      <c r="A1085" s="214" t="s">
        <v>9858</v>
      </c>
      <c r="B1085" s="214" t="s">
        <v>9859</v>
      </c>
      <c r="C1085" s="133" t="s">
        <v>8</v>
      </c>
      <c r="D1085" s="133" t="s">
        <v>248</v>
      </c>
      <c r="E1085" s="133" t="s">
        <v>83</v>
      </c>
      <c r="F1085" s="133" t="s">
        <v>284</v>
      </c>
      <c r="G1085" s="133" t="s">
        <v>8861</v>
      </c>
      <c r="H1085" s="133" t="s">
        <v>8747</v>
      </c>
    </row>
    <row r="1086" spans="1:8">
      <c r="A1086" s="214" t="s">
        <v>9860</v>
      </c>
      <c r="B1086" s="214" t="s">
        <v>9116</v>
      </c>
      <c r="C1086" s="133" t="s">
        <v>8</v>
      </c>
      <c r="D1086" s="133" t="s">
        <v>1522</v>
      </c>
      <c r="E1086" s="133" t="s">
        <v>63</v>
      </c>
      <c r="F1086" s="133" t="s">
        <v>284</v>
      </c>
      <c r="G1086" s="133" t="s">
        <v>8820</v>
      </c>
      <c r="H1086" s="133" t="s">
        <v>8747</v>
      </c>
    </row>
    <row r="1087" spans="1:8">
      <c r="A1087" s="214" t="s">
        <v>9861</v>
      </c>
      <c r="B1087" s="214" t="s">
        <v>9263</v>
      </c>
      <c r="C1087" s="133" t="s">
        <v>10</v>
      </c>
      <c r="D1087" s="133" t="s">
        <v>6374</v>
      </c>
      <c r="E1087" s="133" t="s">
        <v>63</v>
      </c>
      <c r="F1087" s="133" t="s">
        <v>284</v>
      </c>
      <c r="G1087" s="133" t="s">
        <v>9032</v>
      </c>
      <c r="H1087" s="133" t="s">
        <v>8747</v>
      </c>
    </row>
    <row r="1088" spans="1:8">
      <c r="A1088" s="214" t="s">
        <v>9862</v>
      </c>
      <c r="B1088" s="214" t="s">
        <v>9863</v>
      </c>
      <c r="C1088" s="133" t="s">
        <v>10</v>
      </c>
      <c r="D1088" s="133" t="s">
        <v>8923</v>
      </c>
      <c r="E1088" s="133" t="s">
        <v>63</v>
      </c>
      <c r="F1088" s="133" t="s">
        <v>284</v>
      </c>
      <c r="G1088" s="133" t="s">
        <v>9032</v>
      </c>
      <c r="H1088" s="133" t="s">
        <v>8747</v>
      </c>
    </row>
    <row r="1089" spans="1:8">
      <c r="A1089" s="214" t="s">
        <v>5570</v>
      </c>
      <c r="B1089" s="214" t="s">
        <v>5571</v>
      </c>
      <c r="C1089" s="133" t="s">
        <v>2146</v>
      </c>
      <c r="D1089" s="133" t="s">
        <v>2197</v>
      </c>
      <c r="E1089" s="133" t="s">
        <v>83</v>
      </c>
      <c r="F1089" s="133" t="s">
        <v>284</v>
      </c>
      <c r="G1089" s="133" t="s">
        <v>8980</v>
      </c>
      <c r="H1089" s="133" t="s">
        <v>8747</v>
      </c>
    </row>
    <row r="1090" spans="1:8">
      <c r="A1090" s="214" t="s">
        <v>9864</v>
      </c>
      <c r="B1090" s="214" t="s">
        <v>9865</v>
      </c>
      <c r="C1090" s="133" t="s">
        <v>8</v>
      </c>
      <c r="D1090" s="133" t="s">
        <v>910</v>
      </c>
      <c r="E1090" s="133" t="s">
        <v>83</v>
      </c>
      <c r="F1090" s="133" t="s">
        <v>284</v>
      </c>
      <c r="G1090" s="133" t="s">
        <v>8983</v>
      </c>
      <c r="H1090" s="133" t="s">
        <v>8747</v>
      </c>
    </row>
    <row r="1091" spans="1:8">
      <c r="A1091" s="214" t="s">
        <v>9866</v>
      </c>
      <c r="B1091" s="214" t="s">
        <v>9867</v>
      </c>
      <c r="C1091" s="133" t="s">
        <v>8</v>
      </c>
      <c r="D1091" s="133" t="s">
        <v>1398</v>
      </c>
      <c r="E1091" s="133" t="s">
        <v>63</v>
      </c>
      <c r="F1091" s="133" t="s">
        <v>284</v>
      </c>
      <c r="G1091" s="133" t="s">
        <v>8820</v>
      </c>
      <c r="H1091" s="133" t="s">
        <v>8747</v>
      </c>
    </row>
    <row r="1092" spans="1:8">
      <c r="A1092" s="214" t="s">
        <v>9868</v>
      </c>
      <c r="B1092" s="214" t="s">
        <v>9869</v>
      </c>
      <c r="C1092" s="133" t="s">
        <v>8</v>
      </c>
      <c r="D1092" s="133" t="s">
        <v>2076</v>
      </c>
      <c r="E1092" s="133" t="s">
        <v>63</v>
      </c>
      <c r="F1092" s="133" t="s">
        <v>284</v>
      </c>
      <c r="G1092" s="133" t="s">
        <v>8820</v>
      </c>
      <c r="H1092" s="133" t="s">
        <v>8747</v>
      </c>
    </row>
    <row r="1093" spans="1:8">
      <c r="A1093" s="214" t="s">
        <v>9870</v>
      </c>
      <c r="B1093" s="214" t="s">
        <v>8308</v>
      </c>
      <c r="C1093" s="133" t="s">
        <v>8132</v>
      </c>
      <c r="D1093" s="133" t="s">
        <v>85</v>
      </c>
      <c r="E1093" s="133" t="s">
        <v>83</v>
      </c>
      <c r="F1093" s="133" t="s">
        <v>284</v>
      </c>
      <c r="G1093" s="133" t="s">
        <v>8755</v>
      </c>
      <c r="H1093" s="133" t="s">
        <v>8747</v>
      </c>
    </row>
    <row r="1094" spans="1:8">
      <c r="A1094" s="214" t="s">
        <v>4335</v>
      </c>
      <c r="B1094" s="214" t="s">
        <v>4337</v>
      </c>
      <c r="C1094" s="133" t="s">
        <v>10</v>
      </c>
      <c r="D1094" s="133" t="s">
        <v>4336</v>
      </c>
      <c r="E1094" s="133" t="s">
        <v>83</v>
      </c>
      <c r="F1094" s="133" t="s">
        <v>284</v>
      </c>
      <c r="G1094" s="133" t="s">
        <v>8776</v>
      </c>
      <c r="H1094" s="133" t="s">
        <v>8747</v>
      </c>
    </row>
    <row r="1095" spans="1:8">
      <c r="A1095" s="214" t="s">
        <v>9871</v>
      </c>
      <c r="B1095" s="214" t="s">
        <v>9872</v>
      </c>
      <c r="C1095" s="133" t="s">
        <v>8</v>
      </c>
      <c r="D1095" s="133" t="s">
        <v>1132</v>
      </c>
      <c r="E1095" s="133" t="s">
        <v>63</v>
      </c>
      <c r="F1095" s="133" t="s">
        <v>284</v>
      </c>
      <c r="G1095" s="133" t="s">
        <v>8826</v>
      </c>
      <c r="H1095" s="133" t="s">
        <v>8747</v>
      </c>
    </row>
    <row r="1096" spans="1:8">
      <c r="A1096" s="214" t="s">
        <v>5676</v>
      </c>
      <c r="B1096" s="214" t="s">
        <v>5677</v>
      </c>
      <c r="C1096" s="133" t="s">
        <v>2146</v>
      </c>
      <c r="D1096" s="133" t="s">
        <v>5640</v>
      </c>
      <c r="E1096" s="133" t="s">
        <v>83</v>
      </c>
      <c r="F1096" s="133" t="s">
        <v>284</v>
      </c>
      <c r="G1096" s="133" t="s">
        <v>8768</v>
      </c>
      <c r="H1096" s="133" t="s">
        <v>8747</v>
      </c>
    </row>
    <row r="1097" spans="1:8">
      <c r="A1097" s="214" t="s">
        <v>9873</v>
      </c>
      <c r="B1097" s="214" t="s">
        <v>4708</v>
      </c>
      <c r="C1097" s="133" t="s">
        <v>10</v>
      </c>
      <c r="D1097" s="133" t="s">
        <v>5893</v>
      </c>
      <c r="E1097" s="133" t="s">
        <v>63</v>
      </c>
      <c r="F1097" s="133" t="s">
        <v>284</v>
      </c>
      <c r="G1097" s="133" t="s">
        <v>9032</v>
      </c>
      <c r="H1097" s="133" t="s">
        <v>8747</v>
      </c>
    </row>
    <row r="1098" spans="1:8">
      <c r="A1098" s="214" t="s">
        <v>9874</v>
      </c>
      <c r="B1098" s="214" t="s">
        <v>9875</v>
      </c>
      <c r="C1098" s="133" t="s">
        <v>10</v>
      </c>
      <c r="D1098" s="133" t="s">
        <v>4914</v>
      </c>
      <c r="E1098" s="133" t="s">
        <v>63</v>
      </c>
      <c r="F1098" s="133" t="s">
        <v>284</v>
      </c>
      <c r="G1098" s="133" t="s">
        <v>9032</v>
      </c>
      <c r="H1098" s="133" t="s">
        <v>8747</v>
      </c>
    </row>
    <row r="1099" spans="1:8">
      <c r="A1099" s="214" t="s">
        <v>9876</v>
      </c>
      <c r="B1099" s="214" t="s">
        <v>6034</v>
      </c>
      <c r="C1099" s="133" t="s">
        <v>10</v>
      </c>
      <c r="D1099" s="133" t="s">
        <v>1826</v>
      </c>
      <c r="E1099" s="133" t="s">
        <v>63</v>
      </c>
      <c r="F1099" s="133" t="s">
        <v>284</v>
      </c>
      <c r="G1099" s="133" t="s">
        <v>9032</v>
      </c>
      <c r="H1099" s="133" t="s">
        <v>8747</v>
      </c>
    </row>
    <row r="1100" spans="1:8">
      <c r="A1100" s="214" t="s">
        <v>888</v>
      </c>
      <c r="B1100" s="214" t="s">
        <v>889</v>
      </c>
      <c r="C1100" s="133" t="s">
        <v>237</v>
      </c>
      <c r="D1100" s="133" t="s">
        <v>290</v>
      </c>
      <c r="E1100" s="133" t="s">
        <v>83</v>
      </c>
      <c r="F1100" s="133" t="s">
        <v>284</v>
      </c>
      <c r="G1100" s="133" t="s">
        <v>9877</v>
      </c>
      <c r="H1100" s="133" t="s">
        <v>8747</v>
      </c>
    </row>
    <row r="1101" spans="1:8">
      <c r="A1101" s="214" t="s">
        <v>9878</v>
      </c>
      <c r="B1101" s="214" t="s">
        <v>9879</v>
      </c>
      <c r="C1101" s="133" t="s">
        <v>399</v>
      </c>
      <c r="D1101" s="133" t="s">
        <v>5690</v>
      </c>
      <c r="E1101" s="133" t="s">
        <v>83</v>
      </c>
      <c r="F1101" s="133" t="s">
        <v>284</v>
      </c>
      <c r="G1101" s="133" t="s">
        <v>8808</v>
      </c>
      <c r="H1101" s="133" t="s">
        <v>8747</v>
      </c>
    </row>
    <row r="1102" spans="1:8">
      <c r="A1102" s="214" t="s">
        <v>5270</v>
      </c>
      <c r="B1102" s="214" t="s">
        <v>5271</v>
      </c>
      <c r="C1102" s="133" t="s">
        <v>9</v>
      </c>
      <c r="D1102" s="133" t="s">
        <v>5241</v>
      </c>
      <c r="E1102" s="133" t="s">
        <v>83</v>
      </c>
      <c r="F1102" s="133" t="s">
        <v>284</v>
      </c>
      <c r="G1102" s="133" t="s">
        <v>8776</v>
      </c>
      <c r="H1102" s="133" t="s">
        <v>8747</v>
      </c>
    </row>
    <row r="1103" spans="1:8">
      <c r="A1103" s="214" t="s">
        <v>5524</v>
      </c>
      <c r="B1103" s="214" t="s">
        <v>5525</v>
      </c>
      <c r="C1103" s="133" t="s">
        <v>399</v>
      </c>
      <c r="D1103" s="133" t="s">
        <v>2362</v>
      </c>
      <c r="E1103" s="133" t="s">
        <v>83</v>
      </c>
      <c r="F1103" s="133" t="s">
        <v>284</v>
      </c>
      <c r="G1103" s="133" t="s">
        <v>9003</v>
      </c>
      <c r="H1103" s="133" t="s">
        <v>8747</v>
      </c>
    </row>
    <row r="1104" spans="1:8">
      <c r="A1104" s="214" t="s">
        <v>1120</v>
      </c>
      <c r="B1104" s="214" t="s">
        <v>1121</v>
      </c>
      <c r="C1104" s="133" t="s">
        <v>8</v>
      </c>
      <c r="D1104" s="133" t="s">
        <v>918</v>
      </c>
      <c r="E1104" s="133" t="s">
        <v>83</v>
      </c>
      <c r="F1104" s="133" t="s">
        <v>284</v>
      </c>
      <c r="G1104" s="133" t="s">
        <v>8986</v>
      </c>
      <c r="H1104" s="133" t="s">
        <v>8747</v>
      </c>
    </row>
    <row r="1105" spans="1:8">
      <c r="A1105" s="214" t="s">
        <v>283</v>
      </c>
      <c r="B1105" s="214" t="s">
        <v>285</v>
      </c>
      <c r="C1105" s="133" t="s">
        <v>8</v>
      </c>
      <c r="D1105" s="133" t="s">
        <v>248</v>
      </c>
      <c r="E1105" s="133" t="s">
        <v>83</v>
      </c>
      <c r="F1105" s="133" t="s">
        <v>284</v>
      </c>
      <c r="G1105" s="133" t="s">
        <v>8861</v>
      </c>
      <c r="H1105" s="133" t="s">
        <v>8747</v>
      </c>
    </row>
    <row r="1106" spans="1:8">
      <c r="A1106" s="214" t="s">
        <v>9880</v>
      </c>
      <c r="B1106" s="214" t="s">
        <v>9881</v>
      </c>
      <c r="C1106" s="133" t="s">
        <v>8</v>
      </c>
      <c r="D1106" s="133" t="s">
        <v>1368</v>
      </c>
      <c r="E1106" s="133" t="s">
        <v>63</v>
      </c>
      <c r="F1106" s="133" t="s">
        <v>284</v>
      </c>
      <c r="G1106" s="133" t="s">
        <v>8820</v>
      </c>
      <c r="H1106" s="133" t="s">
        <v>8747</v>
      </c>
    </row>
    <row r="1107" spans="1:8">
      <c r="A1107" s="214" t="s">
        <v>9882</v>
      </c>
      <c r="B1107" s="214" t="s">
        <v>9883</v>
      </c>
      <c r="C1107" s="133" t="s">
        <v>8</v>
      </c>
      <c r="D1107" s="133" t="s">
        <v>1041</v>
      </c>
      <c r="E1107" s="133" t="s">
        <v>63</v>
      </c>
      <c r="F1107" s="133" t="s">
        <v>284</v>
      </c>
      <c r="G1107" s="133" t="s">
        <v>8820</v>
      </c>
      <c r="H1107" s="133" t="s">
        <v>8747</v>
      </c>
    </row>
    <row r="1108" spans="1:8">
      <c r="A1108" s="214" t="s">
        <v>9884</v>
      </c>
      <c r="B1108" s="214" t="s">
        <v>9885</v>
      </c>
      <c r="C1108" s="133" t="s">
        <v>10</v>
      </c>
      <c r="D1108" s="133" t="s">
        <v>8875</v>
      </c>
      <c r="E1108" s="133" t="s">
        <v>63</v>
      </c>
      <c r="F1108" s="133" t="s">
        <v>284</v>
      </c>
      <c r="G1108" s="133" t="s">
        <v>8820</v>
      </c>
      <c r="H1108" s="133" t="s">
        <v>8747</v>
      </c>
    </row>
    <row r="1109" spans="1:8">
      <c r="A1109" s="214" t="s">
        <v>2917</v>
      </c>
      <c r="B1109" s="214" t="s">
        <v>2918</v>
      </c>
      <c r="C1109" s="133" t="s">
        <v>8</v>
      </c>
      <c r="D1109" s="133" t="s">
        <v>1413</v>
      </c>
      <c r="E1109" s="133" t="s">
        <v>63</v>
      </c>
      <c r="F1109" s="133" t="s">
        <v>284</v>
      </c>
      <c r="G1109" s="133" t="s">
        <v>8820</v>
      </c>
      <c r="H1109" s="133" t="s">
        <v>8747</v>
      </c>
    </row>
    <row r="1110" spans="1:8">
      <c r="A1110" s="214" t="s">
        <v>9886</v>
      </c>
      <c r="B1110" s="214" t="s">
        <v>9887</v>
      </c>
      <c r="C1110" s="133" t="s">
        <v>8</v>
      </c>
      <c r="D1110" s="133" t="s">
        <v>1406</v>
      </c>
      <c r="E1110" s="133" t="s">
        <v>63</v>
      </c>
      <c r="F1110" s="133" t="s">
        <v>284</v>
      </c>
      <c r="G1110" s="133" t="s">
        <v>8820</v>
      </c>
      <c r="H1110" s="133" t="s">
        <v>8747</v>
      </c>
    </row>
    <row r="1111" spans="1:8">
      <c r="A1111" s="214" t="s">
        <v>8613</v>
      </c>
      <c r="B1111" s="214" t="s">
        <v>9888</v>
      </c>
      <c r="C1111" s="133" t="s">
        <v>8</v>
      </c>
      <c r="D1111" s="133" t="s">
        <v>995</v>
      </c>
      <c r="E1111" s="133" t="s">
        <v>63</v>
      </c>
      <c r="F1111" s="133" t="s">
        <v>284</v>
      </c>
      <c r="G1111" s="133" t="s">
        <v>8820</v>
      </c>
      <c r="H1111" s="133" t="s">
        <v>8747</v>
      </c>
    </row>
    <row r="1112" spans="1:8">
      <c r="A1112" s="214" t="s">
        <v>9889</v>
      </c>
      <c r="B1112" s="214" t="s">
        <v>9890</v>
      </c>
      <c r="C1112" s="133" t="s">
        <v>10</v>
      </c>
      <c r="D1112" s="133" t="s">
        <v>3370</v>
      </c>
      <c r="E1112" s="133" t="s">
        <v>83</v>
      </c>
      <c r="F1112" s="133" t="s">
        <v>284</v>
      </c>
      <c r="G1112" s="133" t="s">
        <v>9838</v>
      </c>
      <c r="H1112" s="133" t="s">
        <v>8747</v>
      </c>
    </row>
    <row r="1113" spans="1:8">
      <c r="A1113" s="214" t="s">
        <v>7926</v>
      </c>
      <c r="B1113" s="214" t="s">
        <v>7927</v>
      </c>
      <c r="C1113" s="133" t="s">
        <v>8</v>
      </c>
      <c r="D1113" s="133" t="s">
        <v>686</v>
      </c>
      <c r="E1113" s="133" t="s">
        <v>63</v>
      </c>
      <c r="F1113" s="133" t="s">
        <v>284</v>
      </c>
      <c r="G1113" s="133" t="s">
        <v>9028</v>
      </c>
      <c r="H1113" s="133" t="s">
        <v>8747</v>
      </c>
    </row>
    <row r="1114" spans="1:8">
      <c r="A1114" s="214" t="s">
        <v>9891</v>
      </c>
      <c r="B1114" s="214" t="s">
        <v>9892</v>
      </c>
      <c r="C1114" s="133" t="s">
        <v>8</v>
      </c>
      <c r="D1114" s="133" t="s">
        <v>818</v>
      </c>
      <c r="E1114" s="133" t="s">
        <v>63</v>
      </c>
      <c r="F1114" s="133" t="s">
        <v>284</v>
      </c>
      <c r="G1114" s="133" t="s">
        <v>8784</v>
      </c>
      <c r="H1114" s="133" t="s">
        <v>8747</v>
      </c>
    </row>
    <row r="1115" spans="1:8">
      <c r="A1115" s="214" t="s">
        <v>9893</v>
      </c>
      <c r="B1115" s="214" t="s">
        <v>9894</v>
      </c>
      <c r="C1115" s="133" t="s">
        <v>10</v>
      </c>
      <c r="D1115" s="133" t="s">
        <v>4914</v>
      </c>
      <c r="E1115" s="133" t="s">
        <v>63</v>
      </c>
      <c r="F1115" s="133" t="s">
        <v>284</v>
      </c>
      <c r="G1115" s="133" t="s">
        <v>8820</v>
      </c>
      <c r="H1115" s="133" t="s">
        <v>8747</v>
      </c>
    </row>
    <row r="1116" spans="1:8">
      <c r="A1116" s="214" t="s">
        <v>9895</v>
      </c>
      <c r="B1116" s="214" t="s">
        <v>9896</v>
      </c>
      <c r="C1116" s="133" t="s">
        <v>8</v>
      </c>
      <c r="D1116" s="133" t="s">
        <v>2076</v>
      </c>
      <c r="E1116" s="133" t="s">
        <v>63</v>
      </c>
      <c r="F1116" s="133" t="s">
        <v>284</v>
      </c>
      <c r="G1116" s="133" t="s">
        <v>8820</v>
      </c>
      <c r="H1116" s="133" t="s">
        <v>8747</v>
      </c>
    </row>
    <row r="1117" spans="1:8">
      <c r="A1117" s="214" t="s">
        <v>2644</v>
      </c>
      <c r="B1117" s="214" t="s">
        <v>2645</v>
      </c>
      <c r="C1117" s="133" t="s">
        <v>8</v>
      </c>
      <c r="D1117" s="133" t="s">
        <v>1413</v>
      </c>
      <c r="E1117" s="133" t="s">
        <v>63</v>
      </c>
      <c r="F1117" s="133" t="s">
        <v>284</v>
      </c>
      <c r="G1117" s="133" t="s">
        <v>8784</v>
      </c>
      <c r="H1117" s="133" t="s">
        <v>8747</v>
      </c>
    </row>
    <row r="1118" spans="1:8">
      <c r="A1118" s="214" t="s">
        <v>5603</v>
      </c>
      <c r="B1118" s="214" t="s">
        <v>5604</v>
      </c>
      <c r="C1118" s="133" t="s">
        <v>2146</v>
      </c>
      <c r="D1118" s="133" t="s">
        <v>2148</v>
      </c>
      <c r="E1118" s="133" t="s">
        <v>83</v>
      </c>
      <c r="F1118" s="133" t="s">
        <v>284</v>
      </c>
      <c r="G1118" s="133" t="s">
        <v>9028</v>
      </c>
      <c r="H1118" s="133" t="s">
        <v>8747</v>
      </c>
    </row>
    <row r="1119" spans="1:8">
      <c r="A1119" s="214" t="s">
        <v>4483</v>
      </c>
      <c r="B1119" s="214" t="s">
        <v>4485</v>
      </c>
      <c r="C1119" s="133" t="s">
        <v>237</v>
      </c>
      <c r="D1119" s="133" t="s">
        <v>239</v>
      </c>
      <c r="E1119" s="133" t="s">
        <v>83</v>
      </c>
      <c r="F1119" s="133" t="s">
        <v>284</v>
      </c>
      <c r="G1119" s="133" t="s">
        <v>9877</v>
      </c>
      <c r="H1119" s="133" t="s">
        <v>8747</v>
      </c>
    </row>
    <row r="1120" spans="1:8">
      <c r="A1120" s="214" t="s">
        <v>9897</v>
      </c>
      <c r="B1120" s="214" t="s">
        <v>9898</v>
      </c>
      <c r="C1120" s="133" t="s">
        <v>10</v>
      </c>
      <c r="D1120" s="133" t="s">
        <v>4064</v>
      </c>
      <c r="E1120" s="133" t="s">
        <v>83</v>
      </c>
      <c r="F1120" s="133" t="s">
        <v>284</v>
      </c>
      <c r="G1120" s="133" t="s">
        <v>9877</v>
      </c>
      <c r="H1120" s="133" t="s">
        <v>8747</v>
      </c>
    </row>
    <row r="1121" spans="1:8">
      <c r="A1121" s="214" t="s">
        <v>9899</v>
      </c>
      <c r="B1121" s="214" t="s">
        <v>9900</v>
      </c>
      <c r="C1121" s="133" t="s">
        <v>10</v>
      </c>
      <c r="D1121" s="133" t="s">
        <v>4336</v>
      </c>
      <c r="E1121" s="133" t="s">
        <v>83</v>
      </c>
      <c r="F1121" s="133" t="s">
        <v>284</v>
      </c>
      <c r="G1121" s="133" t="s">
        <v>9877</v>
      </c>
      <c r="H1121" s="133" t="s">
        <v>8747</v>
      </c>
    </row>
    <row r="1122" spans="1:8">
      <c r="A1122" s="214" t="s">
        <v>9901</v>
      </c>
      <c r="B1122" s="214" t="s">
        <v>9902</v>
      </c>
      <c r="C1122" s="133" t="s">
        <v>10</v>
      </c>
      <c r="D1122" s="133" t="s">
        <v>3370</v>
      </c>
      <c r="E1122" s="133" t="s">
        <v>83</v>
      </c>
      <c r="F1122" s="133" t="s">
        <v>284</v>
      </c>
      <c r="G1122" s="133" t="s">
        <v>9877</v>
      </c>
      <c r="H1122" s="133" t="s">
        <v>8747</v>
      </c>
    </row>
    <row r="1123" spans="1:8">
      <c r="A1123" s="214" t="s">
        <v>838</v>
      </c>
      <c r="B1123" s="214" t="s">
        <v>839</v>
      </c>
      <c r="C1123" s="133" t="s">
        <v>237</v>
      </c>
      <c r="D1123" s="133" t="s">
        <v>290</v>
      </c>
      <c r="E1123" s="133" t="s">
        <v>83</v>
      </c>
      <c r="F1123" s="133" t="s">
        <v>284</v>
      </c>
      <c r="G1123" s="133" t="s">
        <v>9877</v>
      </c>
      <c r="H1123" s="133" t="s">
        <v>8747</v>
      </c>
    </row>
    <row r="1124" spans="1:8">
      <c r="A1124" s="214" t="s">
        <v>9903</v>
      </c>
      <c r="B1124" s="214" t="s">
        <v>9904</v>
      </c>
      <c r="C1124" s="133" t="s">
        <v>399</v>
      </c>
      <c r="D1124" s="133" t="s">
        <v>8769</v>
      </c>
      <c r="E1124" s="133" t="s">
        <v>83</v>
      </c>
      <c r="F1124" s="133" t="s">
        <v>284</v>
      </c>
      <c r="G1124" s="133" t="s">
        <v>9877</v>
      </c>
      <c r="H1124" s="133" t="s">
        <v>8747</v>
      </c>
    </row>
    <row r="1125" spans="1:8">
      <c r="A1125" s="214" t="s">
        <v>5406</v>
      </c>
      <c r="B1125" s="214" t="s">
        <v>5407</v>
      </c>
      <c r="C1125" s="133" t="s">
        <v>794</v>
      </c>
      <c r="D1125" s="133" t="s">
        <v>5388</v>
      </c>
      <c r="E1125" s="133" t="s">
        <v>83</v>
      </c>
      <c r="F1125" s="133" t="s">
        <v>284</v>
      </c>
      <c r="G1125" s="133" t="s">
        <v>9877</v>
      </c>
      <c r="H1125" s="133" t="s">
        <v>8747</v>
      </c>
    </row>
    <row r="1126" spans="1:8">
      <c r="A1126" s="214" t="s">
        <v>5627</v>
      </c>
      <c r="B1126" s="214" t="s">
        <v>5628</v>
      </c>
      <c r="C1126" s="133" t="s">
        <v>2146</v>
      </c>
      <c r="D1126" s="133" t="s">
        <v>2148</v>
      </c>
      <c r="E1126" s="133" t="s">
        <v>83</v>
      </c>
      <c r="F1126" s="133" t="s">
        <v>284</v>
      </c>
      <c r="G1126" s="133" t="s">
        <v>9877</v>
      </c>
      <c r="H1126" s="133" t="s">
        <v>8747</v>
      </c>
    </row>
    <row r="1127" spans="1:8">
      <c r="A1127" s="214" t="s">
        <v>9905</v>
      </c>
      <c r="B1127" s="214" t="s">
        <v>9906</v>
      </c>
      <c r="C1127" s="133" t="s">
        <v>178</v>
      </c>
      <c r="D1127" s="133" t="s">
        <v>8976</v>
      </c>
      <c r="E1127" s="133" t="s">
        <v>83</v>
      </c>
      <c r="F1127" s="133" t="s">
        <v>284</v>
      </c>
      <c r="G1127" s="133" t="s">
        <v>9877</v>
      </c>
      <c r="H1127" s="133" t="s">
        <v>8747</v>
      </c>
    </row>
    <row r="1128" spans="1:8">
      <c r="A1128" s="214" t="s">
        <v>4825</v>
      </c>
      <c r="B1128" s="214" t="s">
        <v>4826</v>
      </c>
      <c r="C1128" s="133" t="s">
        <v>9</v>
      </c>
      <c r="D1128" s="133" t="s">
        <v>4819</v>
      </c>
      <c r="E1128" s="133" t="s">
        <v>83</v>
      </c>
      <c r="F1128" s="133" t="s">
        <v>284</v>
      </c>
      <c r="G1128" s="133" t="s">
        <v>9877</v>
      </c>
      <c r="H1128" s="133" t="s">
        <v>8747</v>
      </c>
    </row>
    <row r="1129" spans="1:8">
      <c r="A1129" s="214" t="s">
        <v>9907</v>
      </c>
      <c r="B1129" s="214" t="s">
        <v>9908</v>
      </c>
      <c r="C1129" s="133" t="s">
        <v>2146</v>
      </c>
      <c r="D1129" s="133" t="s">
        <v>2197</v>
      </c>
      <c r="E1129" s="133" t="s">
        <v>83</v>
      </c>
      <c r="F1129" s="133" t="s">
        <v>284</v>
      </c>
      <c r="G1129" s="133" t="s">
        <v>9877</v>
      </c>
      <c r="H1129" s="133" t="s">
        <v>8747</v>
      </c>
    </row>
    <row r="1130" spans="1:8">
      <c r="A1130" s="214" t="s">
        <v>4812</v>
      </c>
      <c r="B1130" s="214" t="s">
        <v>4813</v>
      </c>
      <c r="C1130" s="133" t="s">
        <v>9</v>
      </c>
      <c r="D1130" s="133" t="s">
        <v>4789</v>
      </c>
      <c r="E1130" s="133" t="s">
        <v>83</v>
      </c>
      <c r="F1130" s="133" t="s">
        <v>284</v>
      </c>
      <c r="G1130" s="133" t="s">
        <v>9877</v>
      </c>
      <c r="H1130" s="133" t="s">
        <v>8747</v>
      </c>
    </row>
    <row r="1131" spans="1:8">
      <c r="A1131" s="214" t="s">
        <v>9909</v>
      </c>
      <c r="B1131" s="214" t="s">
        <v>9910</v>
      </c>
      <c r="C1131" s="133" t="s">
        <v>2146</v>
      </c>
      <c r="D1131" s="133" t="s">
        <v>2148</v>
      </c>
      <c r="E1131" s="133" t="s">
        <v>83</v>
      </c>
      <c r="F1131" s="133" t="s">
        <v>284</v>
      </c>
      <c r="G1131" s="133" t="s">
        <v>9877</v>
      </c>
      <c r="H1131" s="133" t="s">
        <v>8747</v>
      </c>
    </row>
    <row r="1132" spans="1:8">
      <c r="A1132" s="214" t="s">
        <v>4393</v>
      </c>
      <c r="B1132" s="214" t="s">
        <v>4395</v>
      </c>
      <c r="C1132" s="133" t="s">
        <v>9</v>
      </c>
      <c r="D1132" s="133" t="s">
        <v>9911</v>
      </c>
      <c r="E1132" s="133" t="s">
        <v>3539</v>
      </c>
      <c r="F1132" s="133" t="s">
        <v>284</v>
      </c>
      <c r="G1132" s="133" t="s">
        <v>9877</v>
      </c>
      <c r="H1132" s="133" t="s">
        <v>8747</v>
      </c>
    </row>
    <row r="1133" spans="1:8">
      <c r="A1133" s="214" t="s">
        <v>9912</v>
      </c>
      <c r="B1133" s="214" t="s">
        <v>9581</v>
      </c>
      <c r="C1133" s="133" t="s">
        <v>2146</v>
      </c>
      <c r="D1133" s="133" t="s">
        <v>2148</v>
      </c>
      <c r="E1133" s="133" t="s">
        <v>83</v>
      </c>
      <c r="F1133" s="133" t="s">
        <v>284</v>
      </c>
      <c r="G1133" s="133" t="s">
        <v>9913</v>
      </c>
      <c r="H1133" s="133" t="s">
        <v>8747</v>
      </c>
    </row>
    <row r="1134" spans="1:8">
      <c r="A1134" s="214" t="s">
        <v>9914</v>
      </c>
      <c r="B1134" s="214" t="s">
        <v>9915</v>
      </c>
      <c r="C1134" s="133" t="s">
        <v>8</v>
      </c>
      <c r="D1134" s="133" t="s">
        <v>809</v>
      </c>
      <c r="E1134" s="133" t="s">
        <v>63</v>
      </c>
      <c r="F1134" s="133" t="s">
        <v>284</v>
      </c>
      <c r="G1134" s="133" t="s">
        <v>8986</v>
      </c>
      <c r="H1134" s="133" t="s">
        <v>8747</v>
      </c>
    </row>
    <row r="1135" spans="1:8">
      <c r="A1135" s="214" t="s">
        <v>9916</v>
      </c>
      <c r="B1135" s="214" t="s">
        <v>9917</v>
      </c>
      <c r="C1135" s="133" t="s">
        <v>8</v>
      </c>
      <c r="D1135" s="133" t="s">
        <v>809</v>
      </c>
      <c r="E1135" s="133" t="s">
        <v>63</v>
      </c>
      <c r="F1135" s="133" t="s">
        <v>284</v>
      </c>
      <c r="G1135" s="133" t="s">
        <v>8986</v>
      </c>
      <c r="H1135" s="133" t="s">
        <v>8747</v>
      </c>
    </row>
    <row r="1136" spans="1:8">
      <c r="A1136" s="214" t="s">
        <v>9918</v>
      </c>
      <c r="B1136" s="214" t="s">
        <v>9919</v>
      </c>
      <c r="C1136" s="133" t="s">
        <v>8</v>
      </c>
      <c r="D1136" s="133" t="s">
        <v>809</v>
      </c>
      <c r="E1136" s="133" t="s">
        <v>63</v>
      </c>
      <c r="F1136" s="133" t="s">
        <v>284</v>
      </c>
      <c r="G1136" s="133" t="s">
        <v>8986</v>
      </c>
      <c r="H1136" s="133" t="s">
        <v>8747</v>
      </c>
    </row>
    <row r="1137" spans="1:8">
      <c r="A1137" s="214" t="s">
        <v>9920</v>
      </c>
      <c r="B1137" s="214" t="s">
        <v>9921</v>
      </c>
      <c r="C1137" s="133" t="s">
        <v>8</v>
      </c>
      <c r="D1137" s="133" t="s">
        <v>809</v>
      </c>
      <c r="E1137" s="133" t="s">
        <v>63</v>
      </c>
      <c r="F1137" s="133" t="s">
        <v>284</v>
      </c>
      <c r="G1137" s="133" t="s">
        <v>8986</v>
      </c>
      <c r="H1137" s="133" t="s">
        <v>8747</v>
      </c>
    </row>
    <row r="1138" spans="1:8">
      <c r="A1138" s="214" t="s">
        <v>9922</v>
      </c>
      <c r="B1138" s="214" t="s">
        <v>9923</v>
      </c>
      <c r="C1138" s="133" t="s">
        <v>8</v>
      </c>
      <c r="D1138" s="133" t="s">
        <v>809</v>
      </c>
      <c r="E1138" s="133" t="s">
        <v>63</v>
      </c>
      <c r="F1138" s="133" t="s">
        <v>284</v>
      </c>
      <c r="G1138" s="133" t="s">
        <v>8986</v>
      </c>
      <c r="H1138" s="133" t="s">
        <v>8747</v>
      </c>
    </row>
    <row r="1139" spans="1:8">
      <c r="A1139" s="214" t="s">
        <v>9924</v>
      </c>
      <c r="B1139" s="214" t="s">
        <v>9925</v>
      </c>
      <c r="C1139" s="133" t="s">
        <v>8</v>
      </c>
      <c r="D1139" s="133" t="s">
        <v>809</v>
      </c>
      <c r="E1139" s="133" t="s">
        <v>63</v>
      </c>
      <c r="F1139" s="133" t="s">
        <v>284</v>
      </c>
      <c r="G1139" s="133" t="s">
        <v>8986</v>
      </c>
      <c r="H1139" s="133" t="s">
        <v>8747</v>
      </c>
    </row>
    <row r="1140" spans="1:8">
      <c r="A1140" s="214" t="s">
        <v>9926</v>
      </c>
      <c r="B1140" s="214" t="s">
        <v>9927</v>
      </c>
      <c r="C1140" s="133" t="s">
        <v>8</v>
      </c>
      <c r="D1140" s="133" t="s">
        <v>809</v>
      </c>
      <c r="E1140" s="133" t="s">
        <v>63</v>
      </c>
      <c r="F1140" s="133" t="s">
        <v>284</v>
      </c>
      <c r="G1140" s="133" t="s">
        <v>8986</v>
      </c>
      <c r="H1140" s="133" t="s">
        <v>8747</v>
      </c>
    </row>
    <row r="1141" spans="1:8">
      <c r="A1141" s="214" t="s">
        <v>9928</v>
      </c>
      <c r="B1141" s="214" t="s">
        <v>9929</v>
      </c>
      <c r="C1141" s="133" t="s">
        <v>8</v>
      </c>
      <c r="D1141" s="133" t="s">
        <v>809</v>
      </c>
      <c r="E1141" s="133" t="s">
        <v>63</v>
      </c>
      <c r="F1141" s="133" t="s">
        <v>284</v>
      </c>
      <c r="G1141" s="133" t="s">
        <v>8986</v>
      </c>
      <c r="H1141" s="133" t="s">
        <v>8747</v>
      </c>
    </row>
    <row r="1142" spans="1:8">
      <c r="A1142" s="214" t="s">
        <v>9930</v>
      </c>
      <c r="B1142" s="214" t="s">
        <v>9931</v>
      </c>
      <c r="C1142" s="133" t="s">
        <v>8</v>
      </c>
      <c r="D1142" s="133" t="s">
        <v>809</v>
      </c>
      <c r="E1142" s="133" t="s">
        <v>63</v>
      </c>
      <c r="F1142" s="133" t="s">
        <v>284</v>
      </c>
      <c r="G1142" s="133" t="s">
        <v>8986</v>
      </c>
      <c r="H1142" s="133" t="s">
        <v>8747</v>
      </c>
    </row>
    <row r="1143" spans="1:8">
      <c r="A1143" s="214" t="s">
        <v>1173</v>
      </c>
      <c r="B1143" s="214" t="s">
        <v>1174</v>
      </c>
      <c r="C1143" s="133" t="s">
        <v>8</v>
      </c>
      <c r="D1143" s="133" t="s">
        <v>918</v>
      </c>
      <c r="E1143" s="133" t="s">
        <v>83</v>
      </c>
      <c r="F1143" s="133" t="s">
        <v>284</v>
      </c>
      <c r="G1143" s="133" t="s">
        <v>8986</v>
      </c>
      <c r="H1143" s="133" t="s">
        <v>8747</v>
      </c>
    </row>
    <row r="1144" spans="1:8">
      <c r="A1144" s="214" t="s">
        <v>9932</v>
      </c>
      <c r="B1144" s="214" t="s">
        <v>9933</v>
      </c>
      <c r="C1144" s="133" t="s">
        <v>8</v>
      </c>
      <c r="D1144" s="133" t="s">
        <v>918</v>
      </c>
      <c r="E1144" s="133" t="s">
        <v>83</v>
      </c>
      <c r="F1144" s="133" t="s">
        <v>284</v>
      </c>
      <c r="G1144" s="133" t="s">
        <v>8986</v>
      </c>
      <c r="H1144" s="133" t="s">
        <v>8747</v>
      </c>
    </row>
    <row r="1145" spans="1:8">
      <c r="A1145" s="214" t="s">
        <v>9934</v>
      </c>
      <c r="B1145" s="214" t="s">
        <v>9935</v>
      </c>
      <c r="C1145" s="133" t="s">
        <v>8</v>
      </c>
      <c r="D1145" s="133" t="s">
        <v>910</v>
      </c>
      <c r="E1145" s="133" t="s">
        <v>83</v>
      </c>
      <c r="F1145" s="133" t="s">
        <v>338</v>
      </c>
      <c r="G1145" s="133" t="s">
        <v>8983</v>
      </c>
      <c r="H1145" s="133" t="s">
        <v>8747</v>
      </c>
    </row>
    <row r="1146" spans="1:8">
      <c r="A1146" s="214" t="s">
        <v>2062</v>
      </c>
      <c r="B1146" s="214" t="s">
        <v>2063</v>
      </c>
      <c r="C1146" s="133" t="s">
        <v>8</v>
      </c>
      <c r="D1146" s="133" t="s">
        <v>1413</v>
      </c>
      <c r="E1146" s="133" t="s">
        <v>63</v>
      </c>
      <c r="F1146" s="133" t="s">
        <v>338</v>
      </c>
      <c r="G1146" s="133" t="s">
        <v>8820</v>
      </c>
      <c r="H1146" s="133" t="s">
        <v>8747</v>
      </c>
    </row>
    <row r="1147" spans="1:8">
      <c r="A1147" s="214" t="s">
        <v>9936</v>
      </c>
      <c r="B1147" s="214" t="s">
        <v>9937</v>
      </c>
      <c r="C1147" s="133" t="s">
        <v>8</v>
      </c>
      <c r="D1147" s="133" t="s">
        <v>686</v>
      </c>
      <c r="E1147" s="133" t="s">
        <v>63</v>
      </c>
      <c r="F1147" s="133" t="s">
        <v>338</v>
      </c>
      <c r="G1147" s="133" t="s">
        <v>8983</v>
      </c>
      <c r="H1147" s="133" t="s">
        <v>8747</v>
      </c>
    </row>
    <row r="1148" spans="1:8">
      <c r="A1148" s="214" t="s">
        <v>9938</v>
      </c>
      <c r="B1148" s="214" t="s">
        <v>9939</v>
      </c>
      <c r="C1148" s="133" t="s">
        <v>10</v>
      </c>
      <c r="D1148" s="133" t="s">
        <v>8905</v>
      </c>
      <c r="E1148" s="133" t="s">
        <v>63</v>
      </c>
      <c r="F1148" s="133" t="s">
        <v>338</v>
      </c>
      <c r="G1148" s="133" t="s">
        <v>8820</v>
      </c>
      <c r="H1148" s="133" t="s">
        <v>8747</v>
      </c>
    </row>
    <row r="1149" spans="1:8">
      <c r="A1149" s="214" t="s">
        <v>5609</v>
      </c>
      <c r="B1149" s="214" t="s">
        <v>5610</v>
      </c>
      <c r="C1149" s="133" t="s">
        <v>2146</v>
      </c>
      <c r="D1149" s="133" t="s">
        <v>2148</v>
      </c>
      <c r="E1149" s="133" t="s">
        <v>83</v>
      </c>
      <c r="F1149" s="133" t="s">
        <v>338</v>
      </c>
      <c r="G1149" s="133" t="s">
        <v>9940</v>
      </c>
      <c r="H1149" s="133" t="s">
        <v>8747</v>
      </c>
    </row>
    <row r="1150" spans="1:8">
      <c r="A1150" s="214" t="s">
        <v>9941</v>
      </c>
      <c r="B1150" s="214" t="s">
        <v>9942</v>
      </c>
      <c r="C1150" s="133" t="s">
        <v>10</v>
      </c>
      <c r="D1150" s="133" t="s">
        <v>6283</v>
      </c>
      <c r="E1150" s="133" t="s">
        <v>63</v>
      </c>
      <c r="F1150" s="133" t="s">
        <v>338</v>
      </c>
      <c r="G1150" s="133" t="s">
        <v>9028</v>
      </c>
      <c r="H1150" s="133" t="s">
        <v>8747</v>
      </c>
    </row>
    <row r="1151" spans="1:8">
      <c r="A1151" s="214" t="s">
        <v>9943</v>
      </c>
      <c r="B1151" s="214" t="s">
        <v>9944</v>
      </c>
      <c r="C1151" s="133" t="s">
        <v>8</v>
      </c>
      <c r="D1151" s="133" t="s">
        <v>1398</v>
      </c>
      <c r="E1151" s="133" t="s">
        <v>63</v>
      </c>
      <c r="F1151" s="133" t="s">
        <v>109</v>
      </c>
      <c r="G1151" s="133" t="s">
        <v>8820</v>
      </c>
      <c r="H1151" s="133" t="s">
        <v>8747</v>
      </c>
    </row>
    <row r="1152" spans="1:8">
      <c r="A1152" s="214" t="s">
        <v>9945</v>
      </c>
      <c r="B1152" s="214" t="s">
        <v>9946</v>
      </c>
      <c r="C1152" s="133" t="s">
        <v>10</v>
      </c>
      <c r="D1152" s="133" t="s">
        <v>8905</v>
      </c>
      <c r="E1152" s="133" t="s">
        <v>63</v>
      </c>
      <c r="F1152" s="133" t="s">
        <v>109</v>
      </c>
      <c r="G1152" s="133" t="s">
        <v>8820</v>
      </c>
      <c r="H1152" s="133" t="s">
        <v>8747</v>
      </c>
    </row>
    <row r="1153" spans="1:8">
      <c r="A1153" s="214" t="s">
        <v>7800</v>
      </c>
      <c r="B1153" s="214" t="s">
        <v>7801</v>
      </c>
      <c r="C1153" s="133" t="s">
        <v>10</v>
      </c>
      <c r="D1153" s="133" t="s">
        <v>7390</v>
      </c>
      <c r="E1153" s="133" t="s">
        <v>63</v>
      </c>
      <c r="F1153" s="133" t="s">
        <v>109</v>
      </c>
      <c r="G1153" s="133" t="s">
        <v>9028</v>
      </c>
      <c r="H1153" s="133" t="s">
        <v>8747</v>
      </c>
    </row>
    <row r="1154" spans="1:8">
      <c r="A1154" s="214" t="s">
        <v>7954</v>
      </c>
      <c r="B1154" s="214" t="s">
        <v>7956</v>
      </c>
      <c r="C1154" s="133" t="s">
        <v>10</v>
      </c>
      <c r="D1154" s="133" t="s">
        <v>7955</v>
      </c>
      <c r="E1154" s="133" t="s">
        <v>63</v>
      </c>
      <c r="F1154" s="133" t="s">
        <v>109</v>
      </c>
      <c r="G1154" s="133" t="s">
        <v>9028</v>
      </c>
      <c r="H1154" s="133" t="s">
        <v>8747</v>
      </c>
    </row>
    <row r="1155" spans="1:8">
      <c r="A1155" s="214" t="s">
        <v>9947</v>
      </c>
      <c r="B1155" s="214" t="s">
        <v>9948</v>
      </c>
      <c r="C1155" s="133" t="s">
        <v>10</v>
      </c>
      <c r="D1155" s="133" t="s">
        <v>8930</v>
      </c>
      <c r="E1155" s="133" t="s">
        <v>63</v>
      </c>
      <c r="F1155" s="133" t="s">
        <v>109</v>
      </c>
      <c r="G1155" s="133" t="s">
        <v>8820</v>
      </c>
      <c r="H1155" s="133" t="s">
        <v>8747</v>
      </c>
    </row>
    <row r="1156" spans="1:8">
      <c r="A1156" s="214" t="s">
        <v>1700</v>
      </c>
      <c r="B1156" s="214" t="s">
        <v>1702</v>
      </c>
      <c r="C1156" s="133" t="s">
        <v>8</v>
      </c>
      <c r="D1156" s="133" t="s">
        <v>1701</v>
      </c>
      <c r="E1156" s="133" t="s">
        <v>63</v>
      </c>
      <c r="F1156" s="133" t="s">
        <v>109</v>
      </c>
      <c r="G1156" s="133" t="s">
        <v>8820</v>
      </c>
      <c r="H1156" s="133" t="s">
        <v>8747</v>
      </c>
    </row>
    <row r="1157" spans="1:8">
      <c r="A1157" s="214" t="s">
        <v>9949</v>
      </c>
      <c r="B1157" s="214" t="s">
        <v>9950</v>
      </c>
      <c r="C1157" s="133" t="s">
        <v>8</v>
      </c>
      <c r="D1157" s="133" t="s">
        <v>154</v>
      </c>
      <c r="E1157" s="133" t="s">
        <v>63</v>
      </c>
      <c r="F1157" s="133" t="s">
        <v>109</v>
      </c>
      <c r="G1157" s="133" t="s">
        <v>8820</v>
      </c>
      <c r="H1157" s="133" t="s">
        <v>8747</v>
      </c>
    </row>
    <row r="1158" spans="1:8">
      <c r="A1158" s="214" t="s">
        <v>9951</v>
      </c>
      <c r="B1158" s="214" t="s">
        <v>9952</v>
      </c>
      <c r="C1158" s="133" t="s">
        <v>8</v>
      </c>
      <c r="D1158" s="133" t="s">
        <v>1368</v>
      </c>
      <c r="E1158" s="133" t="s">
        <v>63</v>
      </c>
      <c r="F1158" s="133" t="s">
        <v>109</v>
      </c>
      <c r="G1158" s="133" t="s">
        <v>8820</v>
      </c>
      <c r="H1158" s="133" t="s">
        <v>8747</v>
      </c>
    </row>
    <row r="1159" spans="1:8">
      <c r="A1159" s="214" t="s">
        <v>9953</v>
      </c>
      <c r="B1159" s="214" t="s">
        <v>9954</v>
      </c>
      <c r="C1159" s="133" t="s">
        <v>8</v>
      </c>
      <c r="D1159" s="133" t="s">
        <v>1398</v>
      </c>
      <c r="E1159" s="133" t="s">
        <v>63</v>
      </c>
      <c r="F1159" s="133" t="s">
        <v>109</v>
      </c>
      <c r="G1159" s="133" t="s">
        <v>8820</v>
      </c>
      <c r="H1159" s="133" t="s">
        <v>8747</v>
      </c>
    </row>
    <row r="1160" spans="1:8">
      <c r="A1160" s="214" t="s">
        <v>9955</v>
      </c>
      <c r="B1160" s="214" t="s">
        <v>693</v>
      </c>
      <c r="C1160" s="133" t="s">
        <v>8</v>
      </c>
      <c r="D1160" s="133" t="s">
        <v>1406</v>
      </c>
      <c r="E1160" s="133" t="s">
        <v>63</v>
      </c>
      <c r="F1160" s="133" t="s">
        <v>109</v>
      </c>
      <c r="G1160" s="133" t="s">
        <v>8820</v>
      </c>
      <c r="H1160" s="133" t="s">
        <v>8747</v>
      </c>
    </row>
    <row r="1161" spans="1:8">
      <c r="A1161" s="214" t="s">
        <v>9956</v>
      </c>
      <c r="B1161" s="214" t="s">
        <v>9957</v>
      </c>
      <c r="C1161" s="133" t="s">
        <v>8</v>
      </c>
      <c r="D1161" s="133" t="s">
        <v>1041</v>
      </c>
      <c r="E1161" s="133" t="s">
        <v>63</v>
      </c>
      <c r="F1161" s="133" t="s">
        <v>109</v>
      </c>
      <c r="G1161" s="133" t="s">
        <v>8820</v>
      </c>
      <c r="H1161" s="133" t="s">
        <v>8747</v>
      </c>
    </row>
    <row r="1162" spans="1:8">
      <c r="A1162" s="214" t="s">
        <v>9958</v>
      </c>
      <c r="B1162" s="214" t="s">
        <v>9959</v>
      </c>
      <c r="C1162" s="133" t="s">
        <v>8</v>
      </c>
      <c r="D1162" s="133" t="s">
        <v>1041</v>
      </c>
      <c r="E1162" s="133" t="s">
        <v>63</v>
      </c>
      <c r="F1162" s="133" t="s">
        <v>109</v>
      </c>
      <c r="G1162" s="133" t="s">
        <v>8820</v>
      </c>
      <c r="H1162" s="133" t="s">
        <v>8747</v>
      </c>
    </row>
    <row r="1163" spans="1:8">
      <c r="A1163" s="214" t="s">
        <v>9960</v>
      </c>
      <c r="B1163" s="214" t="s">
        <v>9961</v>
      </c>
      <c r="C1163" s="133" t="s">
        <v>178</v>
      </c>
      <c r="D1163" s="133" t="s">
        <v>8979</v>
      </c>
      <c r="E1163" s="133" t="s">
        <v>178</v>
      </c>
      <c r="F1163" s="133" t="s">
        <v>109</v>
      </c>
      <c r="G1163" s="133" t="s">
        <v>8820</v>
      </c>
      <c r="H1163" s="133" t="s">
        <v>8747</v>
      </c>
    </row>
    <row r="1164" spans="1:8">
      <c r="A1164" s="214" t="s">
        <v>9962</v>
      </c>
      <c r="B1164" s="214" t="s">
        <v>9963</v>
      </c>
      <c r="C1164" s="133" t="s">
        <v>10</v>
      </c>
      <c r="D1164" s="133" t="s">
        <v>7652</v>
      </c>
      <c r="E1164" s="133" t="s">
        <v>63</v>
      </c>
      <c r="F1164" s="133" t="s">
        <v>109</v>
      </c>
      <c r="G1164" s="133" t="s">
        <v>8820</v>
      </c>
      <c r="H1164" s="133" t="s">
        <v>8747</v>
      </c>
    </row>
    <row r="1165" spans="1:8">
      <c r="A1165" s="214" t="s">
        <v>9964</v>
      </c>
      <c r="B1165" s="214" t="s">
        <v>9965</v>
      </c>
      <c r="C1165" s="133" t="s">
        <v>10</v>
      </c>
      <c r="D1165" s="133" t="s">
        <v>4914</v>
      </c>
      <c r="E1165" s="133" t="s">
        <v>63</v>
      </c>
      <c r="F1165" s="133" t="s">
        <v>109</v>
      </c>
      <c r="G1165" s="133" t="s">
        <v>8820</v>
      </c>
      <c r="H1165" s="133" t="s">
        <v>8747</v>
      </c>
    </row>
    <row r="1166" spans="1:8">
      <c r="A1166" s="214" t="s">
        <v>5348</v>
      </c>
      <c r="B1166" s="214" t="s">
        <v>5349</v>
      </c>
      <c r="C1166" s="133" t="s">
        <v>8</v>
      </c>
      <c r="D1166" s="133" t="s">
        <v>1398</v>
      </c>
      <c r="E1166" s="133" t="s">
        <v>63</v>
      </c>
      <c r="F1166" s="133" t="s">
        <v>109</v>
      </c>
      <c r="G1166" s="133" t="s">
        <v>9028</v>
      </c>
      <c r="H1166" s="133" t="s">
        <v>8747</v>
      </c>
    </row>
    <row r="1167" spans="1:8">
      <c r="A1167" s="214" t="s">
        <v>1983</v>
      </c>
      <c r="B1167" s="214" t="s">
        <v>1984</v>
      </c>
      <c r="C1167" s="133" t="s">
        <v>8</v>
      </c>
      <c r="D1167" s="133" t="s">
        <v>1041</v>
      </c>
      <c r="E1167" s="133" t="s">
        <v>63</v>
      </c>
      <c r="F1167" s="133" t="s">
        <v>109</v>
      </c>
      <c r="G1167" s="133" t="s">
        <v>9028</v>
      </c>
      <c r="H1167" s="133" t="s">
        <v>8747</v>
      </c>
    </row>
    <row r="1168" spans="1:8">
      <c r="A1168" s="214" t="s">
        <v>9966</v>
      </c>
      <c r="B1168" s="214" t="s">
        <v>9967</v>
      </c>
      <c r="C1168" s="133" t="s">
        <v>10</v>
      </c>
      <c r="D1168" s="133" t="s">
        <v>5335</v>
      </c>
      <c r="E1168" s="133" t="s">
        <v>63</v>
      </c>
      <c r="F1168" s="133" t="s">
        <v>109</v>
      </c>
      <c r="G1168" s="133" t="s">
        <v>8820</v>
      </c>
      <c r="H1168" s="133" t="s">
        <v>8747</v>
      </c>
    </row>
    <row r="1169" spans="1:8">
      <c r="A1169" s="214" t="s">
        <v>9968</v>
      </c>
      <c r="B1169" s="214" t="s">
        <v>9969</v>
      </c>
      <c r="C1169" s="133" t="s">
        <v>8</v>
      </c>
      <c r="D1169" s="133" t="s">
        <v>6871</v>
      </c>
      <c r="E1169" s="133" t="s">
        <v>63</v>
      </c>
      <c r="F1169" s="133" t="s">
        <v>109</v>
      </c>
      <c r="G1169" s="133" t="s">
        <v>9032</v>
      </c>
      <c r="H1169" s="133" t="s">
        <v>8747</v>
      </c>
    </row>
    <row r="1170" spans="1:8">
      <c r="A1170" s="214" t="s">
        <v>2409</v>
      </c>
      <c r="B1170" s="214" t="s">
        <v>2410</v>
      </c>
      <c r="C1170" s="133" t="s">
        <v>8</v>
      </c>
      <c r="D1170" s="133" t="s">
        <v>1413</v>
      </c>
      <c r="E1170" s="133" t="s">
        <v>63</v>
      </c>
      <c r="F1170" s="133" t="s">
        <v>109</v>
      </c>
      <c r="G1170" s="133" t="s">
        <v>8784</v>
      </c>
      <c r="H1170" s="133" t="s">
        <v>8747</v>
      </c>
    </row>
    <row r="1171" spans="1:8">
      <c r="A1171" s="214" t="s">
        <v>9970</v>
      </c>
      <c r="B1171" s="214" t="s">
        <v>9971</v>
      </c>
      <c r="C1171" s="133" t="s">
        <v>8</v>
      </c>
      <c r="D1171" s="133" t="s">
        <v>1368</v>
      </c>
      <c r="E1171" s="133" t="s">
        <v>63</v>
      </c>
      <c r="F1171" s="133" t="s">
        <v>109</v>
      </c>
      <c r="G1171" s="133" t="s">
        <v>8820</v>
      </c>
      <c r="H1171" s="133" t="s">
        <v>8747</v>
      </c>
    </row>
    <row r="1172" spans="1:8">
      <c r="A1172" s="214" t="s">
        <v>9972</v>
      </c>
      <c r="B1172" s="214" t="s">
        <v>9973</v>
      </c>
      <c r="C1172" s="133" t="s">
        <v>8</v>
      </c>
      <c r="D1172" s="133" t="s">
        <v>440</v>
      </c>
      <c r="E1172" s="133" t="s">
        <v>63</v>
      </c>
      <c r="F1172" s="133" t="s">
        <v>109</v>
      </c>
      <c r="G1172" s="133" t="s">
        <v>8820</v>
      </c>
      <c r="H1172" s="133" t="s">
        <v>8747</v>
      </c>
    </row>
    <row r="1173" spans="1:8">
      <c r="A1173" s="214" t="s">
        <v>9974</v>
      </c>
      <c r="B1173" s="214" t="s">
        <v>9975</v>
      </c>
      <c r="C1173" s="133" t="s">
        <v>8</v>
      </c>
      <c r="D1173" s="133" t="s">
        <v>154</v>
      </c>
      <c r="E1173" s="133" t="s">
        <v>63</v>
      </c>
      <c r="F1173" s="133" t="s">
        <v>109</v>
      </c>
      <c r="G1173" s="133" t="s">
        <v>8820</v>
      </c>
      <c r="H1173" s="133" t="s">
        <v>8747</v>
      </c>
    </row>
    <row r="1174" spans="1:8">
      <c r="A1174" s="214" t="s">
        <v>9976</v>
      </c>
      <c r="B1174" s="214" t="s">
        <v>9977</v>
      </c>
      <c r="C1174" s="133" t="s">
        <v>10</v>
      </c>
      <c r="D1174" s="133" t="s">
        <v>3676</v>
      </c>
      <c r="E1174" s="133" t="s">
        <v>63</v>
      </c>
      <c r="F1174" s="133" t="s">
        <v>109</v>
      </c>
      <c r="G1174" s="133" t="s">
        <v>8820</v>
      </c>
      <c r="H1174" s="133" t="s">
        <v>8747</v>
      </c>
    </row>
    <row r="1175" spans="1:8">
      <c r="A1175" s="214" t="s">
        <v>9978</v>
      </c>
      <c r="B1175" s="214" t="s">
        <v>9979</v>
      </c>
      <c r="C1175" s="133" t="s">
        <v>10</v>
      </c>
      <c r="D1175" s="133" t="s">
        <v>8021</v>
      </c>
      <c r="E1175" s="133" t="s">
        <v>63</v>
      </c>
      <c r="F1175" s="133" t="s">
        <v>109</v>
      </c>
      <c r="G1175" s="133" t="s">
        <v>8820</v>
      </c>
      <c r="H1175" s="133" t="s">
        <v>8747</v>
      </c>
    </row>
    <row r="1176" spans="1:8">
      <c r="A1176" s="214" t="s">
        <v>9980</v>
      </c>
      <c r="B1176" s="214" t="s">
        <v>9981</v>
      </c>
      <c r="C1176" s="133" t="s">
        <v>8</v>
      </c>
      <c r="D1176" s="133" t="s">
        <v>6871</v>
      </c>
      <c r="E1176" s="133" t="s">
        <v>63</v>
      </c>
      <c r="F1176" s="133" t="s">
        <v>109</v>
      </c>
      <c r="G1176" s="133" t="s">
        <v>8820</v>
      </c>
      <c r="H1176" s="133" t="s">
        <v>8747</v>
      </c>
    </row>
    <row r="1177" spans="1:8">
      <c r="A1177" s="214" t="s">
        <v>9982</v>
      </c>
      <c r="B1177" s="214" t="s">
        <v>9983</v>
      </c>
      <c r="C1177" s="133" t="s">
        <v>8</v>
      </c>
      <c r="D1177" s="133" t="s">
        <v>651</v>
      </c>
      <c r="E1177" s="133" t="s">
        <v>63</v>
      </c>
      <c r="F1177" s="133" t="s">
        <v>109</v>
      </c>
      <c r="G1177" s="133" t="s">
        <v>8820</v>
      </c>
      <c r="H1177" s="133" t="s">
        <v>8747</v>
      </c>
    </row>
    <row r="1178" spans="1:8">
      <c r="A1178" s="214" t="s">
        <v>9984</v>
      </c>
      <c r="B1178" s="214" t="s">
        <v>9985</v>
      </c>
      <c r="C1178" s="133" t="s">
        <v>8</v>
      </c>
      <c r="D1178" s="133" t="s">
        <v>1041</v>
      </c>
      <c r="E1178" s="133" t="s">
        <v>63</v>
      </c>
      <c r="F1178" s="133" t="s">
        <v>109</v>
      </c>
      <c r="G1178" s="133" t="s">
        <v>8784</v>
      </c>
      <c r="H1178" s="133" t="s">
        <v>8747</v>
      </c>
    </row>
    <row r="1179" spans="1:8">
      <c r="A1179" s="214" t="s">
        <v>9986</v>
      </c>
      <c r="B1179" s="214" t="s">
        <v>9987</v>
      </c>
      <c r="C1179" s="133" t="s">
        <v>10</v>
      </c>
      <c r="D1179" s="133" t="s">
        <v>6233</v>
      </c>
      <c r="E1179" s="133" t="s">
        <v>63</v>
      </c>
      <c r="F1179" s="133" t="s">
        <v>109</v>
      </c>
      <c r="G1179" s="133" t="s">
        <v>8784</v>
      </c>
      <c r="H1179" s="133" t="s">
        <v>8747</v>
      </c>
    </row>
    <row r="1180" spans="1:8">
      <c r="A1180" s="214" t="s">
        <v>9988</v>
      </c>
      <c r="B1180" s="214" t="s">
        <v>9989</v>
      </c>
      <c r="C1180" s="133" t="s">
        <v>10</v>
      </c>
      <c r="D1180" s="133" t="s">
        <v>3855</v>
      </c>
      <c r="E1180" s="133" t="s">
        <v>63</v>
      </c>
      <c r="F1180" s="133" t="s">
        <v>109</v>
      </c>
      <c r="G1180" s="133" t="s">
        <v>9032</v>
      </c>
      <c r="H1180" s="133" t="s">
        <v>8747</v>
      </c>
    </row>
    <row r="1181" spans="1:8">
      <c r="A1181" s="214" t="s">
        <v>9990</v>
      </c>
      <c r="B1181" s="214" t="s">
        <v>9991</v>
      </c>
      <c r="C1181" s="133" t="s">
        <v>10</v>
      </c>
      <c r="D1181" s="133" t="s">
        <v>6012</v>
      </c>
      <c r="E1181" s="133" t="s">
        <v>63</v>
      </c>
      <c r="F1181" s="133" t="s">
        <v>109</v>
      </c>
      <c r="G1181" s="133" t="s">
        <v>8820</v>
      </c>
      <c r="H1181" s="133" t="s">
        <v>8747</v>
      </c>
    </row>
    <row r="1182" spans="1:8">
      <c r="A1182" s="214" t="s">
        <v>9992</v>
      </c>
      <c r="B1182" s="214" t="s">
        <v>9993</v>
      </c>
      <c r="C1182" s="133" t="s">
        <v>178</v>
      </c>
      <c r="D1182" s="133" t="s">
        <v>9071</v>
      </c>
      <c r="E1182" s="133" t="s">
        <v>178</v>
      </c>
      <c r="F1182" s="133" t="s">
        <v>120</v>
      </c>
      <c r="G1182" s="133" t="s">
        <v>9072</v>
      </c>
      <c r="H1182" s="133" t="s">
        <v>8747</v>
      </c>
    </row>
    <row r="1183" spans="1:8">
      <c r="A1183" s="214" t="s">
        <v>9994</v>
      </c>
      <c r="B1183" s="214" t="s">
        <v>9995</v>
      </c>
      <c r="C1183" s="133" t="s">
        <v>178</v>
      </c>
      <c r="D1183" s="133" t="s">
        <v>9071</v>
      </c>
      <c r="E1183" s="133" t="s">
        <v>178</v>
      </c>
      <c r="F1183" s="133" t="s">
        <v>120</v>
      </c>
      <c r="G1183" s="133" t="s">
        <v>9072</v>
      </c>
      <c r="H1183" s="133" t="s">
        <v>8747</v>
      </c>
    </row>
    <row r="1184" spans="1:8">
      <c r="A1184" s="214" t="s">
        <v>9996</v>
      </c>
      <c r="B1184" s="214" t="s">
        <v>9997</v>
      </c>
      <c r="C1184" s="133" t="s">
        <v>10</v>
      </c>
      <c r="D1184" s="133" t="s">
        <v>8021</v>
      </c>
      <c r="E1184" s="133" t="s">
        <v>63</v>
      </c>
      <c r="F1184" s="133" t="s">
        <v>120</v>
      </c>
      <c r="G1184" s="133" t="s">
        <v>8820</v>
      </c>
      <c r="H1184" s="133" t="s">
        <v>8747</v>
      </c>
    </row>
    <row r="1185" spans="1:8">
      <c r="A1185" s="214" t="s">
        <v>9998</v>
      </c>
      <c r="B1185" s="214" t="s">
        <v>9999</v>
      </c>
      <c r="C1185" s="133" t="s">
        <v>2146</v>
      </c>
      <c r="D1185" s="133" t="s">
        <v>2148</v>
      </c>
      <c r="E1185" s="133" t="s">
        <v>83</v>
      </c>
      <c r="F1185" s="133" t="s">
        <v>120</v>
      </c>
      <c r="G1185" s="133" t="s">
        <v>9940</v>
      </c>
      <c r="H1185" s="133" t="s">
        <v>8747</v>
      </c>
    </row>
    <row r="1186" spans="1:8">
      <c r="A1186" s="214" t="s">
        <v>10000</v>
      </c>
      <c r="B1186" s="214" t="s">
        <v>10001</v>
      </c>
      <c r="C1186" s="133" t="s">
        <v>2146</v>
      </c>
      <c r="D1186" s="133" t="s">
        <v>5908</v>
      </c>
      <c r="E1186" s="133" t="s">
        <v>83</v>
      </c>
      <c r="F1186" s="133" t="s">
        <v>120</v>
      </c>
      <c r="G1186" s="133" t="s">
        <v>8980</v>
      </c>
      <c r="H1186" s="133" t="s">
        <v>8747</v>
      </c>
    </row>
    <row r="1187" spans="1:8">
      <c r="A1187" s="214" t="s">
        <v>10002</v>
      </c>
      <c r="B1187" s="214" t="s">
        <v>10003</v>
      </c>
      <c r="C1187" s="133" t="s">
        <v>8</v>
      </c>
      <c r="D1187" s="133" t="s">
        <v>1398</v>
      </c>
      <c r="E1187" s="133" t="s">
        <v>63</v>
      </c>
      <c r="F1187" s="133" t="s">
        <v>120</v>
      </c>
      <c r="G1187" s="133" t="s">
        <v>8820</v>
      </c>
      <c r="H1187" s="133" t="s">
        <v>8747</v>
      </c>
    </row>
    <row r="1188" spans="1:8">
      <c r="A1188" s="214" t="s">
        <v>10004</v>
      </c>
      <c r="B1188" s="214" t="s">
        <v>9784</v>
      </c>
      <c r="C1188" s="133" t="s">
        <v>10</v>
      </c>
      <c r="D1188" s="133" t="s">
        <v>8942</v>
      </c>
      <c r="E1188" s="133" t="s">
        <v>63</v>
      </c>
      <c r="F1188" s="133" t="s">
        <v>120</v>
      </c>
      <c r="G1188" s="133" t="s">
        <v>8784</v>
      </c>
      <c r="H1188" s="133" t="s">
        <v>8747</v>
      </c>
    </row>
    <row r="1189" spans="1:8">
      <c r="A1189" s="214" t="s">
        <v>10005</v>
      </c>
      <c r="B1189" s="214" t="s">
        <v>10006</v>
      </c>
      <c r="C1189" s="133" t="s">
        <v>178</v>
      </c>
      <c r="D1189" s="133" t="s">
        <v>9071</v>
      </c>
      <c r="E1189" s="133" t="s">
        <v>178</v>
      </c>
      <c r="F1189" s="133" t="s">
        <v>65</v>
      </c>
      <c r="G1189" s="133" t="s">
        <v>8826</v>
      </c>
      <c r="H1189" s="133" t="s">
        <v>8747</v>
      </c>
    </row>
    <row r="1190" spans="1:8">
      <c r="A1190" s="214" t="s">
        <v>10007</v>
      </c>
      <c r="B1190" s="214" t="s">
        <v>10008</v>
      </c>
      <c r="C1190" s="133" t="s">
        <v>2146</v>
      </c>
      <c r="D1190" s="133" t="s">
        <v>2148</v>
      </c>
      <c r="E1190" s="133" t="s">
        <v>83</v>
      </c>
      <c r="F1190" s="133" t="s">
        <v>284</v>
      </c>
      <c r="G1190" s="133" t="s">
        <v>9913</v>
      </c>
      <c r="H1190" s="133" t="s">
        <v>8747</v>
      </c>
    </row>
    <row r="1191" spans="1:8">
      <c r="A1191" s="214" t="s">
        <v>10009</v>
      </c>
      <c r="B1191" s="214" t="s">
        <v>10010</v>
      </c>
      <c r="C1191" s="133" t="s">
        <v>8</v>
      </c>
      <c r="D1191" s="133" t="s">
        <v>918</v>
      </c>
      <c r="E1191" s="133" t="s">
        <v>83</v>
      </c>
      <c r="F1191" s="133" t="s">
        <v>284</v>
      </c>
      <c r="G1191" s="133" t="s">
        <v>9940</v>
      </c>
      <c r="H1191" s="133" t="s">
        <v>8747</v>
      </c>
    </row>
    <row r="1192" spans="1:8">
      <c r="A1192" s="214" t="s">
        <v>10011</v>
      </c>
      <c r="B1192" s="214" t="s">
        <v>10012</v>
      </c>
      <c r="C1192" s="133" t="s">
        <v>178</v>
      </c>
      <c r="D1192" s="133" t="s">
        <v>9019</v>
      </c>
      <c r="E1192" s="133" t="s">
        <v>178</v>
      </c>
      <c r="F1192" s="133" t="s">
        <v>284</v>
      </c>
      <c r="G1192" s="133" t="s">
        <v>9081</v>
      </c>
      <c r="H1192" s="133" t="s">
        <v>8747</v>
      </c>
    </row>
    <row r="1193" spans="1:8">
      <c r="A1193" s="214" t="s">
        <v>10013</v>
      </c>
      <c r="B1193" s="214" t="s">
        <v>10014</v>
      </c>
      <c r="C1193" s="133" t="s">
        <v>2146</v>
      </c>
      <c r="D1193" s="133" t="s">
        <v>2148</v>
      </c>
      <c r="E1193" s="133" t="s">
        <v>83</v>
      </c>
      <c r="F1193" s="133" t="s">
        <v>284</v>
      </c>
      <c r="G1193" s="133" t="s">
        <v>9913</v>
      </c>
      <c r="H1193" s="133" t="s">
        <v>8747</v>
      </c>
    </row>
    <row r="1194" spans="1:8">
      <c r="A1194" s="214" t="s">
        <v>10015</v>
      </c>
      <c r="B1194" s="214" t="s">
        <v>10016</v>
      </c>
      <c r="C1194" s="133" t="s">
        <v>2146</v>
      </c>
      <c r="D1194" s="133" t="s">
        <v>2148</v>
      </c>
      <c r="E1194" s="133" t="s">
        <v>83</v>
      </c>
      <c r="F1194" s="133" t="s">
        <v>284</v>
      </c>
      <c r="G1194" s="133" t="s">
        <v>9913</v>
      </c>
      <c r="H1194" s="133" t="s">
        <v>8747</v>
      </c>
    </row>
    <row r="1195" spans="1:8">
      <c r="A1195" s="214" t="s">
        <v>10017</v>
      </c>
      <c r="B1195" s="214" t="s">
        <v>10018</v>
      </c>
      <c r="C1195" s="133" t="s">
        <v>8</v>
      </c>
      <c r="D1195" s="133" t="s">
        <v>248</v>
      </c>
      <c r="E1195" s="133" t="s">
        <v>83</v>
      </c>
      <c r="F1195" s="133" t="s">
        <v>284</v>
      </c>
      <c r="G1195" s="133" t="s">
        <v>9877</v>
      </c>
      <c r="H1195" s="133" t="s">
        <v>8747</v>
      </c>
    </row>
    <row r="1196" spans="1:8">
      <c r="A1196" s="214" t="s">
        <v>917</v>
      </c>
      <c r="B1196" s="214" t="s">
        <v>919</v>
      </c>
      <c r="C1196" s="133" t="s">
        <v>8</v>
      </c>
      <c r="D1196" s="133" t="s">
        <v>918</v>
      </c>
      <c r="E1196" s="133" t="s">
        <v>83</v>
      </c>
      <c r="F1196" s="133" t="s">
        <v>284</v>
      </c>
      <c r="G1196" s="133" t="s">
        <v>9877</v>
      </c>
      <c r="H1196" s="133" t="s">
        <v>8747</v>
      </c>
    </row>
    <row r="1197" spans="1:8">
      <c r="A1197" s="214" t="s">
        <v>4730</v>
      </c>
      <c r="B1197" s="214" t="s">
        <v>4731</v>
      </c>
      <c r="C1197" s="133" t="s">
        <v>10</v>
      </c>
      <c r="D1197" s="133" t="s">
        <v>4163</v>
      </c>
      <c r="E1197" s="133" t="s">
        <v>83</v>
      </c>
      <c r="F1197" s="133" t="s">
        <v>284</v>
      </c>
      <c r="G1197" s="133" t="s">
        <v>9877</v>
      </c>
      <c r="H1197" s="133" t="s">
        <v>8747</v>
      </c>
    </row>
    <row r="1198" spans="1:8">
      <c r="A1198" s="214" t="s">
        <v>10019</v>
      </c>
      <c r="B1198" s="214" t="s">
        <v>10020</v>
      </c>
      <c r="C1198" s="133" t="s">
        <v>2146</v>
      </c>
      <c r="D1198" s="133" t="s">
        <v>2148</v>
      </c>
      <c r="E1198" s="133" t="s">
        <v>83</v>
      </c>
      <c r="F1198" s="133" t="s">
        <v>284</v>
      </c>
      <c r="G1198" s="133" t="s">
        <v>9877</v>
      </c>
      <c r="H1198" s="133" t="s">
        <v>8747</v>
      </c>
    </row>
    <row r="1199" spans="1:8">
      <c r="A1199" s="214" t="s">
        <v>10021</v>
      </c>
      <c r="B1199" s="214" t="s">
        <v>10022</v>
      </c>
      <c r="C1199" s="133" t="s">
        <v>9</v>
      </c>
      <c r="D1199" s="133" t="s">
        <v>4789</v>
      </c>
      <c r="E1199" s="133" t="s">
        <v>83</v>
      </c>
      <c r="F1199" s="133" t="s">
        <v>284</v>
      </c>
      <c r="G1199" s="133" t="s">
        <v>9877</v>
      </c>
      <c r="H1199" s="133" t="s">
        <v>8747</v>
      </c>
    </row>
    <row r="1200" spans="1:8">
      <c r="A1200" s="214" t="s">
        <v>10023</v>
      </c>
      <c r="B1200" s="214" t="s">
        <v>10024</v>
      </c>
      <c r="C1200" s="133" t="s">
        <v>9</v>
      </c>
      <c r="D1200" s="133" t="s">
        <v>4484</v>
      </c>
      <c r="E1200" s="133" t="s">
        <v>83</v>
      </c>
      <c r="F1200" s="133" t="s">
        <v>284</v>
      </c>
      <c r="G1200" s="133" t="s">
        <v>9877</v>
      </c>
      <c r="H1200" s="133" t="s">
        <v>8747</v>
      </c>
    </row>
    <row r="1201" spans="1:8">
      <c r="A1201" s="214" t="s">
        <v>10025</v>
      </c>
      <c r="B1201" s="214" t="s">
        <v>10026</v>
      </c>
      <c r="C1201" s="133" t="s">
        <v>2146</v>
      </c>
      <c r="D1201" s="133" t="s">
        <v>5908</v>
      </c>
      <c r="E1201" s="133" t="s">
        <v>83</v>
      </c>
      <c r="F1201" s="133" t="s">
        <v>284</v>
      </c>
      <c r="G1201" s="133" t="s">
        <v>9877</v>
      </c>
      <c r="H1201" s="133" t="s">
        <v>8747</v>
      </c>
    </row>
    <row r="1202" spans="1:8">
      <c r="A1202" s="214" t="s">
        <v>10027</v>
      </c>
      <c r="B1202" s="214" t="s">
        <v>10028</v>
      </c>
      <c r="C1202" s="133" t="s">
        <v>2146</v>
      </c>
      <c r="D1202" s="133" t="s">
        <v>5908</v>
      </c>
      <c r="E1202" s="133" t="s">
        <v>83</v>
      </c>
      <c r="F1202" s="133" t="s">
        <v>284</v>
      </c>
      <c r="G1202" s="133" t="s">
        <v>9877</v>
      </c>
      <c r="H1202" s="133" t="s">
        <v>8747</v>
      </c>
    </row>
    <row r="1203" spans="1:8">
      <c r="A1203" s="214" t="s">
        <v>10029</v>
      </c>
      <c r="B1203" s="214" t="s">
        <v>10030</v>
      </c>
      <c r="C1203" s="133" t="s">
        <v>9</v>
      </c>
      <c r="D1203" s="133" t="s">
        <v>4695</v>
      </c>
      <c r="E1203" s="133" t="s">
        <v>83</v>
      </c>
      <c r="F1203" s="133" t="s">
        <v>284</v>
      </c>
      <c r="G1203" s="133" t="s">
        <v>9877</v>
      </c>
      <c r="H1203" s="133" t="s">
        <v>8747</v>
      </c>
    </row>
    <row r="1204" spans="1:8">
      <c r="A1204" s="214" t="s">
        <v>10031</v>
      </c>
      <c r="B1204" s="214" t="s">
        <v>10032</v>
      </c>
      <c r="C1204" s="133" t="s">
        <v>178</v>
      </c>
      <c r="D1204" s="133" t="s">
        <v>10033</v>
      </c>
      <c r="E1204" s="133" t="s">
        <v>178</v>
      </c>
      <c r="F1204" s="133" t="s">
        <v>109</v>
      </c>
      <c r="G1204" s="133" t="s">
        <v>10034</v>
      </c>
      <c r="H1204" s="133" t="s">
        <v>8747</v>
      </c>
    </row>
    <row r="1205" spans="1:8">
      <c r="A1205" s="214" t="s">
        <v>7698</v>
      </c>
      <c r="B1205" s="214" t="s">
        <v>7699</v>
      </c>
      <c r="C1205" s="133" t="s">
        <v>10</v>
      </c>
      <c r="D1205" s="133" t="s">
        <v>5893</v>
      </c>
      <c r="E1205" s="133" t="s">
        <v>63</v>
      </c>
      <c r="F1205" s="133" t="s">
        <v>109</v>
      </c>
      <c r="G1205" s="133" t="s">
        <v>9032</v>
      </c>
      <c r="H1205" s="133" t="s">
        <v>8747</v>
      </c>
    </row>
    <row r="1206" spans="1:8">
      <c r="A1206" s="214" t="s">
        <v>10035</v>
      </c>
      <c r="B1206" s="214" t="s">
        <v>9178</v>
      </c>
      <c r="C1206" s="133" t="s">
        <v>10</v>
      </c>
      <c r="D1206" s="133" t="s">
        <v>3198</v>
      </c>
      <c r="E1206" s="133" t="s">
        <v>63</v>
      </c>
      <c r="F1206" s="133" t="s">
        <v>109</v>
      </c>
      <c r="G1206" s="133" t="s">
        <v>8820</v>
      </c>
      <c r="H1206" s="133" t="s">
        <v>8747</v>
      </c>
    </row>
    <row r="1207" spans="1:8">
      <c r="A1207" s="214" t="s">
        <v>7686</v>
      </c>
      <c r="B1207" s="214" t="s">
        <v>7687</v>
      </c>
      <c r="C1207" s="133" t="s">
        <v>10</v>
      </c>
      <c r="D1207" s="133" t="s">
        <v>5893</v>
      </c>
      <c r="E1207" s="133" t="s">
        <v>63</v>
      </c>
      <c r="F1207" s="133" t="s">
        <v>109</v>
      </c>
      <c r="G1207" s="133" t="s">
        <v>8784</v>
      </c>
      <c r="H1207" s="133" t="s">
        <v>8747</v>
      </c>
    </row>
    <row r="1208" spans="1:8">
      <c r="A1208" s="214" t="s">
        <v>10036</v>
      </c>
      <c r="B1208" s="214" t="s">
        <v>10037</v>
      </c>
      <c r="C1208" s="133" t="s">
        <v>10</v>
      </c>
      <c r="D1208" s="133" t="s">
        <v>5335</v>
      </c>
      <c r="E1208" s="133" t="s">
        <v>63</v>
      </c>
      <c r="F1208" s="133" t="s">
        <v>109</v>
      </c>
      <c r="G1208" s="133" t="s">
        <v>8784</v>
      </c>
      <c r="H1208" s="133" t="s">
        <v>8747</v>
      </c>
    </row>
    <row r="1209" spans="1:8">
      <c r="A1209" s="214" t="s">
        <v>10038</v>
      </c>
      <c r="B1209" s="214" t="s">
        <v>10039</v>
      </c>
      <c r="C1209" s="133" t="s">
        <v>8</v>
      </c>
      <c r="D1209" s="133" t="s">
        <v>1728</v>
      </c>
      <c r="E1209" s="133" t="s">
        <v>63</v>
      </c>
      <c r="F1209" s="133" t="s">
        <v>109</v>
      </c>
      <c r="G1209" s="133" t="s">
        <v>8826</v>
      </c>
      <c r="H1209" s="133" t="s">
        <v>8747</v>
      </c>
    </row>
    <row r="1210" spans="1:8">
      <c r="A1210" s="214" t="s">
        <v>10040</v>
      </c>
      <c r="B1210" s="214" t="s">
        <v>10041</v>
      </c>
      <c r="C1210" s="133" t="s">
        <v>10</v>
      </c>
      <c r="D1210" s="133" t="s">
        <v>6405</v>
      </c>
      <c r="E1210" s="133" t="s">
        <v>63</v>
      </c>
      <c r="F1210" s="133" t="s">
        <v>109</v>
      </c>
      <c r="G1210" s="133" t="s">
        <v>8784</v>
      </c>
      <c r="H1210" s="133" t="s">
        <v>8747</v>
      </c>
    </row>
    <row r="1211" spans="1:8">
      <c r="A1211" s="214" t="s">
        <v>10042</v>
      </c>
      <c r="B1211" s="214" t="s">
        <v>10043</v>
      </c>
      <c r="C1211" s="133" t="s">
        <v>10</v>
      </c>
      <c r="D1211" s="133" t="s">
        <v>6405</v>
      </c>
      <c r="E1211" s="133" t="s">
        <v>63</v>
      </c>
      <c r="F1211" s="133" t="s">
        <v>109</v>
      </c>
      <c r="G1211" s="133" t="s">
        <v>8826</v>
      </c>
      <c r="H1211" s="133" t="s">
        <v>8747</v>
      </c>
    </row>
    <row r="1212" spans="1:8">
      <c r="A1212" s="214" t="s">
        <v>10044</v>
      </c>
      <c r="B1212" s="214" t="s">
        <v>10045</v>
      </c>
      <c r="C1212" s="133" t="s">
        <v>10</v>
      </c>
      <c r="D1212" s="133" t="s">
        <v>5893</v>
      </c>
      <c r="E1212" s="133" t="s">
        <v>63</v>
      </c>
      <c r="F1212" s="133" t="s">
        <v>109</v>
      </c>
      <c r="G1212" s="133" t="s">
        <v>8826</v>
      </c>
      <c r="H1212" s="133" t="s">
        <v>8747</v>
      </c>
    </row>
    <row r="1213" spans="1:8">
      <c r="A1213" s="214" t="s">
        <v>10046</v>
      </c>
      <c r="B1213" s="214" t="s">
        <v>10047</v>
      </c>
      <c r="C1213" s="133" t="s">
        <v>10</v>
      </c>
      <c r="D1213" s="133" t="s">
        <v>6250</v>
      </c>
      <c r="E1213" s="133" t="s">
        <v>63</v>
      </c>
      <c r="F1213" s="133" t="s">
        <v>109</v>
      </c>
      <c r="G1213" s="133" t="s">
        <v>8820</v>
      </c>
      <c r="H1213" s="133" t="s">
        <v>8747</v>
      </c>
    </row>
    <row r="1214" spans="1:8">
      <c r="A1214" s="214" t="s">
        <v>5564</v>
      </c>
      <c r="B1214" s="214" t="s">
        <v>5565</v>
      </c>
      <c r="C1214" s="133" t="s">
        <v>8</v>
      </c>
      <c r="D1214" s="133" t="s">
        <v>1701</v>
      </c>
      <c r="E1214" s="133" t="s">
        <v>63</v>
      </c>
      <c r="F1214" s="133" t="s">
        <v>109</v>
      </c>
      <c r="G1214" s="133" t="s">
        <v>8784</v>
      </c>
      <c r="H1214" s="133" t="s">
        <v>8747</v>
      </c>
    </row>
    <row r="1215" spans="1:8">
      <c r="A1215" s="214" t="s">
        <v>10048</v>
      </c>
      <c r="B1215" s="214" t="s">
        <v>10049</v>
      </c>
      <c r="C1215" s="133" t="s">
        <v>178</v>
      </c>
      <c r="D1215" s="133" t="s">
        <v>9071</v>
      </c>
      <c r="E1215" s="133" t="s">
        <v>178</v>
      </c>
      <c r="F1215" s="133" t="s">
        <v>109</v>
      </c>
      <c r="G1215" s="133" t="s">
        <v>9940</v>
      </c>
      <c r="H1215" s="133" t="s">
        <v>8747</v>
      </c>
    </row>
    <row r="1216" spans="1:8">
      <c r="A1216" s="214" t="s">
        <v>10050</v>
      </c>
      <c r="B1216" s="214" t="s">
        <v>10051</v>
      </c>
      <c r="C1216" s="133" t="s">
        <v>178</v>
      </c>
      <c r="D1216" s="133" t="s">
        <v>9071</v>
      </c>
      <c r="E1216" s="133" t="s">
        <v>178</v>
      </c>
      <c r="F1216" s="133" t="s">
        <v>109</v>
      </c>
      <c r="G1216" s="133" t="s">
        <v>10052</v>
      </c>
      <c r="H1216" s="133" t="s">
        <v>8747</v>
      </c>
    </row>
    <row r="1217" spans="1:8">
      <c r="A1217" s="214" t="s">
        <v>3054</v>
      </c>
      <c r="B1217" s="214" t="s">
        <v>3055</v>
      </c>
      <c r="C1217" s="133" t="s">
        <v>8</v>
      </c>
      <c r="D1217" s="133" t="s">
        <v>2076</v>
      </c>
      <c r="E1217" s="133" t="s">
        <v>63</v>
      </c>
      <c r="F1217" s="133" t="s">
        <v>109</v>
      </c>
      <c r="G1217" s="133" t="s">
        <v>8820</v>
      </c>
      <c r="H1217" s="133" t="s">
        <v>8747</v>
      </c>
    </row>
    <row r="1218" spans="1:8">
      <c r="A1218" s="214" t="s">
        <v>10053</v>
      </c>
      <c r="B1218" s="214" t="s">
        <v>10054</v>
      </c>
      <c r="C1218" s="133" t="s">
        <v>178</v>
      </c>
      <c r="D1218" s="133" t="s">
        <v>8979</v>
      </c>
      <c r="E1218" s="133" t="s">
        <v>178</v>
      </c>
      <c r="F1218" s="133" t="s">
        <v>109</v>
      </c>
      <c r="G1218" s="133" t="s">
        <v>8784</v>
      </c>
      <c r="H1218" s="133" t="s">
        <v>8747</v>
      </c>
    </row>
    <row r="1219" spans="1:8">
      <c r="A1219" s="214" t="s">
        <v>6018</v>
      </c>
      <c r="B1219" s="214" t="s">
        <v>6019</v>
      </c>
      <c r="C1219" s="133" t="s">
        <v>8</v>
      </c>
      <c r="D1219" s="133" t="s">
        <v>277</v>
      </c>
      <c r="E1219" s="133" t="s">
        <v>63</v>
      </c>
      <c r="F1219" s="133" t="s">
        <v>109</v>
      </c>
      <c r="G1219" s="133" t="s">
        <v>8784</v>
      </c>
      <c r="H1219" s="133" t="s">
        <v>8747</v>
      </c>
    </row>
    <row r="1220" spans="1:8">
      <c r="A1220" s="214" t="s">
        <v>10055</v>
      </c>
      <c r="B1220" s="214" t="s">
        <v>10056</v>
      </c>
      <c r="C1220" s="133" t="s">
        <v>178</v>
      </c>
      <c r="D1220" s="133" t="s">
        <v>8979</v>
      </c>
      <c r="E1220" s="133" t="s">
        <v>178</v>
      </c>
      <c r="F1220" s="133" t="s">
        <v>109</v>
      </c>
      <c r="G1220" s="133" t="s">
        <v>10057</v>
      </c>
      <c r="H1220" s="133" t="s">
        <v>8747</v>
      </c>
    </row>
    <row r="1221" spans="1:8">
      <c r="A1221" s="214" t="s">
        <v>10058</v>
      </c>
      <c r="B1221" s="214" t="s">
        <v>10059</v>
      </c>
      <c r="C1221" s="133" t="s">
        <v>10</v>
      </c>
      <c r="D1221" s="133" t="s">
        <v>6381</v>
      </c>
      <c r="E1221" s="133" t="s">
        <v>63</v>
      </c>
      <c r="F1221" s="133" t="s">
        <v>109</v>
      </c>
      <c r="G1221" s="133" t="s">
        <v>8820</v>
      </c>
      <c r="H1221" s="133" t="s">
        <v>8747</v>
      </c>
    </row>
    <row r="1222" spans="1:8">
      <c r="A1222" s="214" t="s">
        <v>10060</v>
      </c>
      <c r="B1222" s="214" t="s">
        <v>10061</v>
      </c>
      <c r="C1222" s="133" t="s">
        <v>178</v>
      </c>
      <c r="D1222" s="133" t="s">
        <v>8979</v>
      </c>
      <c r="E1222" s="133" t="s">
        <v>178</v>
      </c>
      <c r="F1222" s="133" t="s">
        <v>109</v>
      </c>
      <c r="G1222" s="133" t="s">
        <v>8820</v>
      </c>
      <c r="H1222" s="133" t="s">
        <v>8747</v>
      </c>
    </row>
    <row r="1223" spans="1:8">
      <c r="A1223" s="214" t="s">
        <v>10062</v>
      </c>
      <c r="B1223" s="214" t="s">
        <v>10063</v>
      </c>
      <c r="C1223" s="133" t="s">
        <v>10</v>
      </c>
      <c r="D1223" s="133" t="s">
        <v>7390</v>
      </c>
      <c r="E1223" s="133" t="s">
        <v>63</v>
      </c>
      <c r="F1223" s="133" t="s">
        <v>109</v>
      </c>
      <c r="G1223" s="133" t="s">
        <v>8784</v>
      </c>
      <c r="H1223" s="133" t="s">
        <v>8747</v>
      </c>
    </row>
    <row r="1224" spans="1:8">
      <c r="A1224" s="214" t="s">
        <v>10064</v>
      </c>
      <c r="B1224" s="214" t="s">
        <v>10065</v>
      </c>
      <c r="C1224" s="133" t="s">
        <v>10</v>
      </c>
      <c r="D1224" s="133" t="s">
        <v>9013</v>
      </c>
      <c r="E1224" s="133" t="s">
        <v>63</v>
      </c>
      <c r="F1224" s="133" t="s">
        <v>109</v>
      </c>
      <c r="G1224" s="133" t="s">
        <v>8784</v>
      </c>
      <c r="H1224" s="133" t="s">
        <v>8747</v>
      </c>
    </row>
    <row r="1225" spans="1:8">
      <c r="A1225" s="214" t="s">
        <v>10066</v>
      </c>
      <c r="B1225" s="214" t="s">
        <v>10067</v>
      </c>
      <c r="C1225" s="133" t="s">
        <v>8</v>
      </c>
      <c r="D1225" s="133" t="s">
        <v>2076</v>
      </c>
      <c r="E1225" s="133" t="s">
        <v>63</v>
      </c>
      <c r="F1225" s="133" t="s">
        <v>109</v>
      </c>
      <c r="G1225" s="133" t="s">
        <v>8784</v>
      </c>
      <c r="H1225" s="133" t="s">
        <v>8747</v>
      </c>
    </row>
    <row r="1226" spans="1:8">
      <c r="A1226" s="214" t="s">
        <v>10068</v>
      </c>
      <c r="B1226" s="214" t="s">
        <v>10069</v>
      </c>
      <c r="C1226" s="133" t="s">
        <v>10</v>
      </c>
      <c r="D1226" s="133" t="s">
        <v>3676</v>
      </c>
      <c r="E1226" s="133" t="s">
        <v>63</v>
      </c>
      <c r="F1226" s="133" t="s">
        <v>120</v>
      </c>
      <c r="G1226" s="133" t="s">
        <v>9032</v>
      </c>
      <c r="H1226" s="133" t="s">
        <v>8747</v>
      </c>
    </row>
    <row r="1227" spans="1:8">
      <c r="A1227" s="214" t="s">
        <v>10070</v>
      </c>
      <c r="B1227" s="214" t="s">
        <v>10071</v>
      </c>
      <c r="C1227" s="133" t="s">
        <v>10</v>
      </c>
      <c r="D1227" s="133" t="s">
        <v>6405</v>
      </c>
      <c r="E1227" s="133" t="s">
        <v>63</v>
      </c>
      <c r="F1227" s="133" t="s">
        <v>120</v>
      </c>
      <c r="G1227" s="133" t="s">
        <v>9032</v>
      </c>
      <c r="H1227" s="133" t="s">
        <v>8747</v>
      </c>
    </row>
    <row r="1228" spans="1:8">
      <c r="A1228" s="214" t="s">
        <v>10072</v>
      </c>
      <c r="B1228" s="214" t="s">
        <v>10073</v>
      </c>
      <c r="C1228" s="133" t="s">
        <v>10</v>
      </c>
      <c r="D1228" s="133" t="s">
        <v>6429</v>
      </c>
      <c r="E1228" s="133" t="s">
        <v>63</v>
      </c>
      <c r="F1228" s="133" t="s">
        <v>120</v>
      </c>
      <c r="G1228" s="133" t="s">
        <v>8784</v>
      </c>
      <c r="H1228" s="133" t="s">
        <v>8747</v>
      </c>
    </row>
    <row r="1229" spans="1:8">
      <c r="A1229" s="214" t="s">
        <v>6428</v>
      </c>
      <c r="B1229" s="214" t="s">
        <v>6430</v>
      </c>
      <c r="C1229" s="133" t="s">
        <v>10</v>
      </c>
      <c r="D1229" s="133" t="s">
        <v>6429</v>
      </c>
      <c r="E1229" s="133" t="s">
        <v>63</v>
      </c>
      <c r="F1229" s="133" t="s">
        <v>120</v>
      </c>
      <c r="G1229" s="133" t="s">
        <v>8826</v>
      </c>
      <c r="H1229" s="133" t="s">
        <v>8747</v>
      </c>
    </row>
    <row r="1230" spans="1:8">
      <c r="A1230" s="214" t="s">
        <v>3102</v>
      </c>
      <c r="B1230" s="214" t="s">
        <v>3104</v>
      </c>
      <c r="C1230" s="133" t="s">
        <v>10</v>
      </c>
      <c r="D1230" s="133" t="s">
        <v>3103</v>
      </c>
      <c r="E1230" s="133" t="s">
        <v>63</v>
      </c>
      <c r="F1230" s="133" t="s">
        <v>120</v>
      </c>
      <c r="G1230" s="133" t="s">
        <v>8826</v>
      </c>
      <c r="H1230" s="133" t="s">
        <v>8747</v>
      </c>
    </row>
    <row r="1231" spans="1:8">
      <c r="A1231" s="214" t="s">
        <v>10074</v>
      </c>
      <c r="B1231" s="214" t="s">
        <v>10075</v>
      </c>
      <c r="C1231" s="133" t="s">
        <v>10</v>
      </c>
      <c r="D1231" s="133" t="s">
        <v>4914</v>
      </c>
      <c r="E1231" s="133" t="s">
        <v>63</v>
      </c>
      <c r="F1231" s="133" t="s">
        <v>120</v>
      </c>
      <c r="G1231" s="133" t="s">
        <v>8826</v>
      </c>
      <c r="H1231" s="133" t="s">
        <v>8747</v>
      </c>
    </row>
    <row r="1232" spans="1:8">
      <c r="A1232" s="214" t="s">
        <v>10076</v>
      </c>
      <c r="B1232" s="214" t="s">
        <v>4714</v>
      </c>
      <c r="C1232" s="133" t="s">
        <v>10</v>
      </c>
      <c r="D1232" s="133" t="s">
        <v>8875</v>
      </c>
      <c r="E1232" s="133" t="s">
        <v>63</v>
      </c>
      <c r="F1232" s="133" t="s">
        <v>120</v>
      </c>
      <c r="G1232" s="133" t="s">
        <v>9032</v>
      </c>
      <c r="H1232" s="133" t="s">
        <v>8747</v>
      </c>
    </row>
    <row r="1233" spans="1:8">
      <c r="A1233" s="214" t="s">
        <v>7932</v>
      </c>
      <c r="B1233" s="214" t="s">
        <v>7933</v>
      </c>
      <c r="C1233" s="133" t="s">
        <v>10</v>
      </c>
      <c r="D1233" s="133" t="s">
        <v>5335</v>
      </c>
      <c r="E1233" s="133" t="s">
        <v>63</v>
      </c>
      <c r="F1233" s="133" t="s">
        <v>120</v>
      </c>
      <c r="G1233" s="133" t="s">
        <v>9028</v>
      </c>
      <c r="H1233" s="133" t="s">
        <v>8747</v>
      </c>
    </row>
    <row r="1234" spans="1:8">
      <c r="A1234" s="214" t="s">
        <v>10077</v>
      </c>
      <c r="B1234" s="214" t="s">
        <v>10078</v>
      </c>
      <c r="C1234" s="133" t="s">
        <v>10</v>
      </c>
      <c r="D1234" s="133" t="s">
        <v>3198</v>
      </c>
      <c r="E1234" s="133" t="s">
        <v>63</v>
      </c>
      <c r="F1234" s="133" t="s">
        <v>120</v>
      </c>
      <c r="G1234" s="133" t="s">
        <v>9032</v>
      </c>
      <c r="H1234" s="133" t="s">
        <v>8747</v>
      </c>
    </row>
    <row r="1235" spans="1:8">
      <c r="A1235" s="214" t="s">
        <v>10079</v>
      </c>
      <c r="B1235" s="214" t="s">
        <v>10080</v>
      </c>
      <c r="C1235" s="133" t="s">
        <v>10</v>
      </c>
      <c r="D1235" s="133" t="s">
        <v>5843</v>
      </c>
      <c r="E1235" s="133" t="s">
        <v>63</v>
      </c>
      <c r="F1235" s="133" t="s">
        <v>120</v>
      </c>
      <c r="G1235" s="133" t="s">
        <v>9032</v>
      </c>
      <c r="H1235" s="133" t="s">
        <v>8747</v>
      </c>
    </row>
    <row r="1236" spans="1:8">
      <c r="A1236" s="214" t="s">
        <v>10081</v>
      </c>
      <c r="B1236" s="214" t="s">
        <v>10082</v>
      </c>
      <c r="C1236" s="133" t="s">
        <v>10</v>
      </c>
      <c r="D1236" s="133" t="s">
        <v>6429</v>
      </c>
      <c r="E1236" s="133" t="s">
        <v>63</v>
      </c>
      <c r="F1236" s="133" t="s">
        <v>120</v>
      </c>
      <c r="G1236" s="133" t="s">
        <v>9032</v>
      </c>
      <c r="H1236" s="133" t="s">
        <v>8747</v>
      </c>
    </row>
    <row r="1237" spans="1:8">
      <c r="A1237" s="214" t="s">
        <v>10083</v>
      </c>
      <c r="B1237" s="214" t="s">
        <v>10084</v>
      </c>
      <c r="C1237" s="133" t="s">
        <v>10</v>
      </c>
      <c r="D1237" s="133" t="s">
        <v>8930</v>
      </c>
      <c r="E1237" s="133" t="s">
        <v>63</v>
      </c>
      <c r="F1237" s="133" t="s">
        <v>120</v>
      </c>
      <c r="G1237" s="133" t="s">
        <v>9032</v>
      </c>
      <c r="H1237" s="133" t="s">
        <v>8747</v>
      </c>
    </row>
    <row r="1238" spans="1:8">
      <c r="A1238" s="214" t="s">
        <v>10085</v>
      </c>
      <c r="B1238" s="214" t="s">
        <v>10086</v>
      </c>
      <c r="C1238" s="133" t="s">
        <v>10</v>
      </c>
      <c r="D1238" s="133" t="s">
        <v>8021</v>
      </c>
      <c r="E1238" s="133" t="s">
        <v>63</v>
      </c>
      <c r="F1238" s="133" t="s">
        <v>120</v>
      </c>
      <c r="G1238" s="133" t="s">
        <v>8784</v>
      </c>
      <c r="H1238" s="133" t="s">
        <v>8747</v>
      </c>
    </row>
    <row r="1239" spans="1:8">
      <c r="A1239" s="214" t="s">
        <v>10087</v>
      </c>
      <c r="B1239" s="214" t="s">
        <v>10088</v>
      </c>
      <c r="C1239" s="133" t="s">
        <v>10</v>
      </c>
      <c r="D1239" s="133" t="s">
        <v>8905</v>
      </c>
      <c r="E1239" s="133" t="s">
        <v>63</v>
      </c>
      <c r="F1239" s="133" t="s">
        <v>120</v>
      </c>
      <c r="G1239" s="133" t="s">
        <v>8820</v>
      </c>
      <c r="H1239" s="133" t="s">
        <v>8747</v>
      </c>
    </row>
    <row r="1240" spans="1:8">
      <c r="A1240" s="214" t="s">
        <v>3045</v>
      </c>
      <c r="B1240" s="214" t="s">
        <v>3046</v>
      </c>
      <c r="C1240" s="133" t="s">
        <v>8</v>
      </c>
      <c r="D1240" s="133" t="s">
        <v>2076</v>
      </c>
      <c r="E1240" s="133" t="s">
        <v>63</v>
      </c>
      <c r="F1240" s="133" t="s">
        <v>120</v>
      </c>
      <c r="G1240" s="133" t="s">
        <v>8820</v>
      </c>
      <c r="H1240" s="133" t="s">
        <v>8747</v>
      </c>
    </row>
    <row r="1241" spans="1:8">
      <c r="A1241" s="214" t="s">
        <v>10089</v>
      </c>
      <c r="B1241" s="214" t="s">
        <v>10090</v>
      </c>
      <c r="C1241" s="133" t="s">
        <v>10</v>
      </c>
      <c r="D1241" s="133" t="s">
        <v>3676</v>
      </c>
      <c r="E1241" s="133" t="s">
        <v>63</v>
      </c>
      <c r="F1241" s="133" t="s">
        <v>120</v>
      </c>
      <c r="G1241" s="133" t="s">
        <v>8784</v>
      </c>
      <c r="H1241" s="133" t="s">
        <v>8747</v>
      </c>
    </row>
    <row r="1242" spans="1:8">
      <c r="A1242" s="214" t="s">
        <v>10091</v>
      </c>
      <c r="B1242" s="214" t="s">
        <v>10092</v>
      </c>
      <c r="C1242" s="133" t="s">
        <v>10</v>
      </c>
      <c r="D1242" s="133" t="s">
        <v>5293</v>
      </c>
      <c r="E1242" s="133" t="s">
        <v>63</v>
      </c>
      <c r="F1242" s="133" t="s">
        <v>120</v>
      </c>
      <c r="G1242" s="133" t="s">
        <v>8820</v>
      </c>
      <c r="H1242" s="133" t="s">
        <v>8747</v>
      </c>
    </row>
    <row r="1243" spans="1:8">
      <c r="A1243" s="214" t="s">
        <v>10093</v>
      </c>
      <c r="B1243" s="214" t="s">
        <v>10094</v>
      </c>
      <c r="C1243" s="133" t="s">
        <v>10</v>
      </c>
      <c r="D1243" s="133" t="s">
        <v>3676</v>
      </c>
      <c r="E1243" s="133" t="s">
        <v>63</v>
      </c>
      <c r="F1243" s="133" t="s">
        <v>120</v>
      </c>
      <c r="G1243" s="133" t="s">
        <v>9028</v>
      </c>
      <c r="H1243" s="133" t="s">
        <v>8747</v>
      </c>
    </row>
    <row r="1244" spans="1:8">
      <c r="A1244" s="214" t="s">
        <v>6404</v>
      </c>
      <c r="B1244" s="214" t="s">
        <v>6406</v>
      </c>
      <c r="C1244" s="133" t="s">
        <v>10</v>
      </c>
      <c r="D1244" s="133" t="s">
        <v>6405</v>
      </c>
      <c r="E1244" s="133" t="s">
        <v>63</v>
      </c>
      <c r="F1244" s="133" t="s">
        <v>120</v>
      </c>
      <c r="G1244" s="133" t="s">
        <v>9028</v>
      </c>
      <c r="H1244" s="133" t="s">
        <v>8747</v>
      </c>
    </row>
    <row r="1245" spans="1:8">
      <c r="A1245" s="214" t="s">
        <v>10095</v>
      </c>
      <c r="B1245" s="214" t="s">
        <v>10096</v>
      </c>
      <c r="C1245" s="133" t="s">
        <v>8</v>
      </c>
      <c r="D1245" s="133" t="s">
        <v>1406</v>
      </c>
      <c r="E1245" s="133" t="s">
        <v>63</v>
      </c>
      <c r="F1245" s="133" t="s">
        <v>120</v>
      </c>
      <c r="G1245" s="133" t="s">
        <v>8820</v>
      </c>
      <c r="H1245" s="133" t="s">
        <v>8747</v>
      </c>
    </row>
    <row r="1246" spans="1:8">
      <c r="A1246" s="214" t="s">
        <v>10097</v>
      </c>
      <c r="B1246" s="214" t="s">
        <v>10098</v>
      </c>
      <c r="C1246" s="133" t="s">
        <v>8</v>
      </c>
      <c r="D1246" s="133" t="s">
        <v>818</v>
      </c>
      <c r="E1246" s="133" t="s">
        <v>63</v>
      </c>
      <c r="F1246" s="133" t="s">
        <v>120</v>
      </c>
      <c r="G1246" s="133" t="s">
        <v>8826</v>
      </c>
      <c r="H1246" s="133" t="s">
        <v>8747</v>
      </c>
    </row>
    <row r="1247" spans="1:8">
      <c r="A1247" s="214" t="s">
        <v>8020</v>
      </c>
      <c r="B1247" s="214" t="s">
        <v>8022</v>
      </c>
      <c r="C1247" s="133" t="s">
        <v>10</v>
      </c>
      <c r="D1247" s="133" t="s">
        <v>8021</v>
      </c>
      <c r="E1247" s="133" t="s">
        <v>63</v>
      </c>
      <c r="F1247" s="133" t="s">
        <v>120</v>
      </c>
      <c r="G1247" s="133" t="s">
        <v>9028</v>
      </c>
      <c r="H1247" s="133" t="s">
        <v>8747</v>
      </c>
    </row>
    <row r="1248" spans="1:8">
      <c r="A1248" s="214" t="s">
        <v>10099</v>
      </c>
      <c r="B1248" s="214" t="s">
        <v>10100</v>
      </c>
      <c r="C1248" s="133" t="s">
        <v>178</v>
      </c>
      <c r="D1248" s="133" t="s">
        <v>9071</v>
      </c>
      <c r="E1248" s="133" t="s">
        <v>178</v>
      </c>
      <c r="F1248" s="133" t="s">
        <v>120</v>
      </c>
      <c r="G1248" s="133" t="s">
        <v>70</v>
      </c>
      <c r="H1248" s="133" t="s">
        <v>8747</v>
      </c>
    </row>
    <row r="1249" spans="1:8">
      <c r="A1249" s="214" t="s">
        <v>6435</v>
      </c>
      <c r="B1249" s="214" t="s">
        <v>6436</v>
      </c>
      <c r="C1249" s="133" t="s">
        <v>8</v>
      </c>
      <c r="D1249" s="133" t="s">
        <v>1368</v>
      </c>
      <c r="E1249" s="133" t="s">
        <v>63</v>
      </c>
      <c r="F1249" s="133" t="s">
        <v>120</v>
      </c>
      <c r="G1249" s="133" t="s">
        <v>9028</v>
      </c>
      <c r="H1249" s="133" t="s">
        <v>8747</v>
      </c>
    </row>
    <row r="1250" spans="1:8">
      <c r="A1250" s="214" t="s">
        <v>10101</v>
      </c>
      <c r="B1250" s="214" t="s">
        <v>10102</v>
      </c>
      <c r="C1250" s="133" t="s">
        <v>178</v>
      </c>
      <c r="D1250" s="133" t="s">
        <v>10033</v>
      </c>
      <c r="E1250" s="133" t="s">
        <v>178</v>
      </c>
      <c r="F1250" s="133" t="s">
        <v>120</v>
      </c>
      <c r="G1250" s="133" t="s">
        <v>10034</v>
      </c>
      <c r="H1250" s="133" t="s">
        <v>8747</v>
      </c>
    </row>
    <row r="1251" spans="1:8">
      <c r="A1251" s="214" t="s">
        <v>2324</v>
      </c>
      <c r="B1251" s="214" t="s">
        <v>2325</v>
      </c>
      <c r="C1251" s="133" t="s">
        <v>8</v>
      </c>
      <c r="D1251" s="133" t="s">
        <v>1398</v>
      </c>
      <c r="E1251" s="133" t="s">
        <v>63</v>
      </c>
      <c r="F1251" s="133" t="s">
        <v>120</v>
      </c>
      <c r="G1251" s="133" t="s">
        <v>8784</v>
      </c>
      <c r="H1251" s="133" t="s">
        <v>8747</v>
      </c>
    </row>
    <row r="1252" spans="1:8">
      <c r="A1252" s="214" t="s">
        <v>10103</v>
      </c>
      <c r="B1252" s="214" t="s">
        <v>9225</v>
      </c>
      <c r="C1252" s="133" t="s">
        <v>10</v>
      </c>
      <c r="D1252" s="133" t="s">
        <v>9061</v>
      </c>
      <c r="E1252" s="133" t="s">
        <v>63</v>
      </c>
      <c r="F1252" s="133" t="s">
        <v>120</v>
      </c>
      <c r="G1252" s="133" t="s">
        <v>8826</v>
      </c>
      <c r="H1252" s="133" t="s">
        <v>8747</v>
      </c>
    </row>
    <row r="1253" spans="1:8">
      <c r="A1253" s="214" t="s">
        <v>8228</v>
      </c>
      <c r="B1253" s="214" t="s">
        <v>10104</v>
      </c>
      <c r="C1253" s="133" t="s">
        <v>8</v>
      </c>
      <c r="D1253" s="133" t="s">
        <v>1398</v>
      </c>
      <c r="E1253" s="133" t="s">
        <v>63</v>
      </c>
      <c r="F1253" s="133" t="s">
        <v>120</v>
      </c>
      <c r="G1253" s="133" t="s">
        <v>8826</v>
      </c>
      <c r="H1253" s="133" t="s">
        <v>8747</v>
      </c>
    </row>
    <row r="1254" spans="1:8">
      <c r="A1254" s="214" t="s">
        <v>10105</v>
      </c>
      <c r="B1254" s="214" t="s">
        <v>10106</v>
      </c>
      <c r="C1254" s="133" t="s">
        <v>178</v>
      </c>
      <c r="D1254" s="133" t="s">
        <v>8979</v>
      </c>
      <c r="E1254" s="133" t="s">
        <v>178</v>
      </c>
      <c r="F1254" s="133" t="s">
        <v>120</v>
      </c>
      <c r="G1254" s="133" t="s">
        <v>8820</v>
      </c>
      <c r="H1254" s="133" t="s">
        <v>8747</v>
      </c>
    </row>
    <row r="1255" spans="1:8">
      <c r="A1255" s="214" t="s">
        <v>10107</v>
      </c>
      <c r="B1255" s="214" t="s">
        <v>10108</v>
      </c>
      <c r="C1255" s="133" t="s">
        <v>10</v>
      </c>
      <c r="D1255" s="133" t="s">
        <v>6233</v>
      </c>
      <c r="E1255" s="133" t="s">
        <v>63</v>
      </c>
      <c r="F1255" s="133" t="s">
        <v>120</v>
      </c>
      <c r="G1255" s="133" t="s">
        <v>8826</v>
      </c>
      <c r="H1255" s="133" t="s">
        <v>8747</v>
      </c>
    </row>
    <row r="1256" spans="1:8">
      <c r="A1256" s="214" t="s">
        <v>10109</v>
      </c>
      <c r="B1256" s="214" t="s">
        <v>10110</v>
      </c>
      <c r="C1256" s="133" t="s">
        <v>8</v>
      </c>
      <c r="D1256" s="133" t="s">
        <v>686</v>
      </c>
      <c r="E1256" s="133" t="s">
        <v>63</v>
      </c>
      <c r="F1256" s="133" t="s">
        <v>120</v>
      </c>
      <c r="G1256" s="133" t="s">
        <v>8784</v>
      </c>
      <c r="H1256" s="133" t="s">
        <v>8747</v>
      </c>
    </row>
    <row r="1257" spans="1:8">
      <c r="A1257" s="214" t="s">
        <v>10111</v>
      </c>
      <c r="B1257" s="214" t="s">
        <v>10112</v>
      </c>
      <c r="C1257" s="133" t="s">
        <v>8</v>
      </c>
      <c r="D1257" s="133" t="s">
        <v>66</v>
      </c>
      <c r="E1257" s="133" t="s">
        <v>63</v>
      </c>
      <c r="F1257" s="133" t="s">
        <v>120</v>
      </c>
      <c r="G1257" s="133" t="s">
        <v>8820</v>
      </c>
      <c r="H1257" s="133" t="s">
        <v>8747</v>
      </c>
    </row>
    <row r="1258" spans="1:8">
      <c r="A1258" s="214" t="s">
        <v>10113</v>
      </c>
      <c r="B1258" s="214" t="s">
        <v>10114</v>
      </c>
      <c r="C1258" s="133" t="s">
        <v>178</v>
      </c>
      <c r="D1258" s="133" t="s">
        <v>9071</v>
      </c>
      <c r="E1258" s="133" t="s">
        <v>178</v>
      </c>
      <c r="F1258" s="133" t="s">
        <v>120</v>
      </c>
      <c r="G1258" s="133" t="s">
        <v>8980</v>
      </c>
      <c r="H1258" s="133" t="s">
        <v>8747</v>
      </c>
    </row>
    <row r="1259" spans="1:8">
      <c r="A1259" s="214" t="s">
        <v>10115</v>
      </c>
      <c r="B1259" s="214" t="s">
        <v>10116</v>
      </c>
      <c r="C1259" s="133" t="s">
        <v>8</v>
      </c>
      <c r="D1259" s="133" t="s">
        <v>440</v>
      </c>
      <c r="E1259" s="133" t="s">
        <v>63</v>
      </c>
      <c r="F1259" s="133" t="s">
        <v>120</v>
      </c>
      <c r="G1259" s="133" t="s">
        <v>8820</v>
      </c>
      <c r="H1259" s="133" t="s">
        <v>8747</v>
      </c>
    </row>
    <row r="1260" spans="1:8">
      <c r="A1260" s="214" t="s">
        <v>6411</v>
      </c>
      <c r="B1260" s="214" t="s">
        <v>6412</v>
      </c>
      <c r="C1260" s="133" t="s">
        <v>8</v>
      </c>
      <c r="D1260" s="133" t="s">
        <v>1413</v>
      </c>
      <c r="E1260" s="133" t="s">
        <v>63</v>
      </c>
      <c r="F1260" s="133" t="s">
        <v>120</v>
      </c>
      <c r="G1260" s="133" t="s">
        <v>8820</v>
      </c>
      <c r="H1260" s="133" t="s">
        <v>8747</v>
      </c>
    </row>
    <row r="1261" spans="1:8">
      <c r="A1261" s="214" t="s">
        <v>10117</v>
      </c>
      <c r="B1261" s="214" t="s">
        <v>10118</v>
      </c>
      <c r="C1261" s="133" t="s">
        <v>8</v>
      </c>
      <c r="D1261" s="133" t="s">
        <v>1368</v>
      </c>
      <c r="E1261" s="133" t="s">
        <v>63</v>
      </c>
      <c r="F1261" s="133" t="s">
        <v>120</v>
      </c>
      <c r="G1261" s="133" t="s">
        <v>8820</v>
      </c>
      <c r="H1261" s="133" t="s">
        <v>8747</v>
      </c>
    </row>
    <row r="1262" spans="1:8">
      <c r="A1262" s="214" t="s">
        <v>10119</v>
      </c>
      <c r="B1262" s="214" t="s">
        <v>10120</v>
      </c>
      <c r="C1262" s="133" t="s">
        <v>8</v>
      </c>
      <c r="D1262" s="133" t="s">
        <v>2380</v>
      </c>
      <c r="E1262" s="133" t="s">
        <v>63</v>
      </c>
      <c r="F1262" s="133" t="s">
        <v>120</v>
      </c>
      <c r="G1262" s="133" t="s">
        <v>8820</v>
      </c>
      <c r="H1262" s="133" t="s">
        <v>8747</v>
      </c>
    </row>
    <row r="1263" spans="1:8">
      <c r="A1263" s="214" t="s">
        <v>10121</v>
      </c>
      <c r="B1263" s="214" t="s">
        <v>10122</v>
      </c>
      <c r="C1263" s="133" t="s">
        <v>8</v>
      </c>
      <c r="D1263" s="133" t="s">
        <v>1701</v>
      </c>
      <c r="E1263" s="133" t="s">
        <v>63</v>
      </c>
      <c r="F1263" s="133" t="s">
        <v>120</v>
      </c>
      <c r="G1263" s="133" t="s">
        <v>8820</v>
      </c>
      <c r="H1263" s="133" t="s">
        <v>8747</v>
      </c>
    </row>
    <row r="1264" spans="1:8">
      <c r="A1264" s="214" t="s">
        <v>10123</v>
      </c>
      <c r="B1264" s="214" t="s">
        <v>10124</v>
      </c>
      <c r="C1264" s="133" t="s">
        <v>178</v>
      </c>
      <c r="D1264" s="133" t="s">
        <v>10033</v>
      </c>
      <c r="E1264" s="133" t="s">
        <v>178</v>
      </c>
      <c r="F1264" s="133" t="s">
        <v>120</v>
      </c>
      <c r="G1264" s="133" t="s">
        <v>10034</v>
      </c>
      <c r="H1264" s="133" t="s">
        <v>8747</v>
      </c>
    </row>
    <row r="1265" spans="1:8">
      <c r="A1265" s="214" t="s">
        <v>10125</v>
      </c>
      <c r="B1265" s="214" t="s">
        <v>4598</v>
      </c>
      <c r="C1265" s="133" t="s">
        <v>10</v>
      </c>
      <c r="D1265" s="133" t="s">
        <v>6381</v>
      </c>
      <c r="E1265" s="133" t="s">
        <v>63</v>
      </c>
      <c r="F1265" s="133" t="s">
        <v>120</v>
      </c>
      <c r="G1265" s="133" t="s">
        <v>8784</v>
      </c>
      <c r="H1265" s="133" t="s">
        <v>8747</v>
      </c>
    </row>
    <row r="1266" spans="1:8">
      <c r="A1266" s="214" t="s">
        <v>10126</v>
      </c>
      <c r="B1266" s="214" t="s">
        <v>10127</v>
      </c>
      <c r="C1266" s="133" t="s">
        <v>10</v>
      </c>
      <c r="D1266" s="133" t="s">
        <v>6381</v>
      </c>
      <c r="E1266" s="133" t="s">
        <v>63</v>
      </c>
      <c r="F1266" s="133" t="s">
        <v>120</v>
      </c>
      <c r="G1266" s="133" t="s">
        <v>9032</v>
      </c>
      <c r="H1266" s="133" t="s">
        <v>8747</v>
      </c>
    </row>
    <row r="1267" spans="1:8">
      <c r="A1267" s="214" t="s">
        <v>10128</v>
      </c>
      <c r="B1267" s="214" t="s">
        <v>10129</v>
      </c>
      <c r="C1267" s="133" t="s">
        <v>10</v>
      </c>
      <c r="D1267" s="133" t="s">
        <v>8948</v>
      </c>
      <c r="E1267" s="133" t="s">
        <v>63</v>
      </c>
      <c r="F1267" s="133" t="s">
        <v>120</v>
      </c>
      <c r="G1267" s="133" t="s">
        <v>8784</v>
      </c>
      <c r="H1267" s="133" t="s">
        <v>8747</v>
      </c>
    </row>
    <row r="1268" spans="1:8">
      <c r="A1268" s="214" t="s">
        <v>10130</v>
      </c>
      <c r="B1268" s="214" t="s">
        <v>10131</v>
      </c>
      <c r="C1268" s="133" t="s">
        <v>10</v>
      </c>
      <c r="D1268" s="133" t="s">
        <v>8875</v>
      </c>
      <c r="E1268" s="133" t="s">
        <v>63</v>
      </c>
      <c r="F1268" s="133" t="s">
        <v>65</v>
      </c>
      <c r="G1268" s="133" t="s">
        <v>9028</v>
      </c>
      <c r="H1268" s="133" t="s">
        <v>8747</v>
      </c>
    </row>
    <row r="1269" spans="1:8">
      <c r="A1269" s="214" t="s">
        <v>10132</v>
      </c>
      <c r="B1269" s="214" t="s">
        <v>10133</v>
      </c>
      <c r="C1269" s="133" t="s">
        <v>10</v>
      </c>
      <c r="D1269" s="133" t="s">
        <v>5335</v>
      </c>
      <c r="E1269" s="133" t="s">
        <v>63</v>
      </c>
      <c r="F1269" s="133" t="s">
        <v>65</v>
      </c>
      <c r="G1269" s="133" t="s">
        <v>8820</v>
      </c>
      <c r="H1269" s="133" t="s">
        <v>8747</v>
      </c>
    </row>
    <row r="1270" spans="1:8">
      <c r="A1270" s="214" t="s">
        <v>10134</v>
      </c>
      <c r="B1270" s="214" t="s">
        <v>10135</v>
      </c>
      <c r="C1270" s="133" t="s">
        <v>10</v>
      </c>
      <c r="D1270" s="133" t="s">
        <v>5893</v>
      </c>
      <c r="E1270" s="133" t="s">
        <v>63</v>
      </c>
      <c r="F1270" s="133" t="s">
        <v>65</v>
      </c>
      <c r="G1270" s="133" t="s">
        <v>8820</v>
      </c>
      <c r="H1270" s="133" t="s">
        <v>8747</v>
      </c>
    </row>
    <row r="1271" spans="1:8">
      <c r="A1271" s="214" t="s">
        <v>10136</v>
      </c>
      <c r="B1271" s="214" t="s">
        <v>10137</v>
      </c>
      <c r="C1271" s="133" t="s">
        <v>10</v>
      </c>
      <c r="D1271" s="133" t="s">
        <v>3198</v>
      </c>
      <c r="E1271" s="133" t="s">
        <v>63</v>
      </c>
      <c r="F1271" s="133" t="s">
        <v>65</v>
      </c>
      <c r="G1271" s="133" t="s">
        <v>8820</v>
      </c>
      <c r="H1271" s="133" t="s">
        <v>8747</v>
      </c>
    </row>
    <row r="1272" spans="1:8">
      <c r="A1272" s="214" t="s">
        <v>10138</v>
      </c>
      <c r="B1272" s="214" t="s">
        <v>10139</v>
      </c>
      <c r="C1272" s="133" t="s">
        <v>10</v>
      </c>
      <c r="D1272" s="133" t="s">
        <v>8930</v>
      </c>
      <c r="E1272" s="133" t="s">
        <v>63</v>
      </c>
      <c r="F1272" s="133" t="s">
        <v>65</v>
      </c>
      <c r="G1272" s="133" t="s">
        <v>9028</v>
      </c>
      <c r="H1272" s="133" t="s">
        <v>8747</v>
      </c>
    </row>
    <row r="1273" spans="1:8">
      <c r="A1273" s="214" t="s">
        <v>10140</v>
      </c>
      <c r="B1273" s="214" t="s">
        <v>10141</v>
      </c>
      <c r="C1273" s="133" t="s">
        <v>10</v>
      </c>
      <c r="D1273" s="133" t="s">
        <v>3676</v>
      </c>
      <c r="E1273" s="133" t="s">
        <v>63</v>
      </c>
      <c r="F1273" s="133" t="s">
        <v>65</v>
      </c>
      <c r="G1273" s="133" t="s">
        <v>8820</v>
      </c>
      <c r="H1273" s="133" t="s">
        <v>8747</v>
      </c>
    </row>
    <row r="1274" spans="1:8">
      <c r="A1274" s="214" t="s">
        <v>10142</v>
      </c>
      <c r="B1274" s="214" t="s">
        <v>10143</v>
      </c>
      <c r="C1274" s="133" t="s">
        <v>10</v>
      </c>
      <c r="D1274" s="133" t="s">
        <v>8905</v>
      </c>
      <c r="E1274" s="133" t="s">
        <v>63</v>
      </c>
      <c r="F1274" s="133" t="s">
        <v>65</v>
      </c>
      <c r="G1274" s="133" t="s">
        <v>9032</v>
      </c>
      <c r="H1274" s="133" t="s">
        <v>8747</v>
      </c>
    </row>
    <row r="1275" spans="1:8">
      <c r="A1275" s="214" t="s">
        <v>10144</v>
      </c>
      <c r="B1275" s="214" t="s">
        <v>10145</v>
      </c>
      <c r="C1275" s="133" t="s">
        <v>10</v>
      </c>
      <c r="D1275" s="133" t="s">
        <v>6012</v>
      </c>
      <c r="E1275" s="133" t="s">
        <v>63</v>
      </c>
      <c r="F1275" s="133" t="s">
        <v>65</v>
      </c>
      <c r="G1275" s="133" t="s">
        <v>8820</v>
      </c>
      <c r="H1275" s="133" t="s">
        <v>8747</v>
      </c>
    </row>
    <row r="1276" spans="1:8">
      <c r="A1276" s="214" t="s">
        <v>10146</v>
      </c>
      <c r="B1276" s="214" t="s">
        <v>2819</v>
      </c>
      <c r="C1276" s="133" t="s">
        <v>8</v>
      </c>
      <c r="D1276" s="133" t="s">
        <v>2076</v>
      </c>
      <c r="E1276" s="133" t="s">
        <v>63</v>
      </c>
      <c r="F1276" s="133" t="s">
        <v>65</v>
      </c>
      <c r="G1276" s="133" t="s">
        <v>8820</v>
      </c>
      <c r="H1276" s="133" t="s">
        <v>8747</v>
      </c>
    </row>
    <row r="1277" spans="1:8">
      <c r="A1277" s="214" t="s">
        <v>10147</v>
      </c>
      <c r="B1277" s="214" t="s">
        <v>10148</v>
      </c>
      <c r="C1277" s="133" t="s">
        <v>8</v>
      </c>
      <c r="D1277" s="133" t="s">
        <v>1562</v>
      </c>
      <c r="E1277" s="133" t="s">
        <v>63</v>
      </c>
      <c r="F1277" s="133" t="s">
        <v>65</v>
      </c>
      <c r="G1277" s="133" t="s">
        <v>8820</v>
      </c>
      <c r="H1277" s="133" t="s">
        <v>8747</v>
      </c>
    </row>
    <row r="1278" spans="1:8">
      <c r="A1278" s="214" t="s">
        <v>10149</v>
      </c>
      <c r="B1278" s="214" t="s">
        <v>10150</v>
      </c>
      <c r="C1278" s="133" t="s">
        <v>10</v>
      </c>
      <c r="D1278" s="133" t="s">
        <v>8956</v>
      </c>
      <c r="E1278" s="133" t="s">
        <v>63</v>
      </c>
      <c r="F1278" s="133" t="s">
        <v>65</v>
      </c>
      <c r="G1278" s="133" t="s">
        <v>9028</v>
      </c>
      <c r="H1278" s="133" t="s">
        <v>8747</v>
      </c>
    </row>
    <row r="1279" spans="1:8">
      <c r="A1279" s="214" t="s">
        <v>10151</v>
      </c>
      <c r="B1279" s="214" t="s">
        <v>10152</v>
      </c>
      <c r="C1279" s="133" t="s">
        <v>8</v>
      </c>
      <c r="D1279" s="133" t="s">
        <v>1041</v>
      </c>
      <c r="E1279" s="133" t="s">
        <v>63</v>
      </c>
      <c r="F1279" s="133" t="s">
        <v>65</v>
      </c>
      <c r="G1279" s="133" t="s">
        <v>8820</v>
      </c>
      <c r="H1279" s="133" t="s">
        <v>8747</v>
      </c>
    </row>
    <row r="1280" spans="1:8">
      <c r="A1280" s="214" t="s">
        <v>10153</v>
      </c>
      <c r="B1280" s="214" t="s">
        <v>10154</v>
      </c>
      <c r="C1280" s="133" t="s">
        <v>10</v>
      </c>
      <c r="D1280" s="133" t="s">
        <v>8909</v>
      </c>
      <c r="E1280" s="133" t="s">
        <v>63</v>
      </c>
      <c r="F1280" s="133" t="s">
        <v>65</v>
      </c>
      <c r="G1280" s="133" t="s">
        <v>8820</v>
      </c>
      <c r="H1280" s="133" t="s">
        <v>8747</v>
      </c>
    </row>
    <row r="1281" spans="1:8">
      <c r="A1281" s="214" t="s">
        <v>10155</v>
      </c>
      <c r="B1281" s="214" t="s">
        <v>10156</v>
      </c>
      <c r="C1281" s="133" t="s">
        <v>8</v>
      </c>
      <c r="D1281" s="133" t="s">
        <v>2076</v>
      </c>
      <c r="E1281" s="133" t="s">
        <v>63</v>
      </c>
      <c r="F1281" s="133" t="s">
        <v>65</v>
      </c>
      <c r="G1281" s="133" t="s">
        <v>8826</v>
      </c>
      <c r="H1281" s="133" t="s">
        <v>8747</v>
      </c>
    </row>
    <row r="1282" spans="1:8">
      <c r="A1282" s="214" t="s">
        <v>6033</v>
      </c>
      <c r="B1282" s="214" t="s">
        <v>6034</v>
      </c>
      <c r="C1282" s="133" t="s">
        <v>10</v>
      </c>
      <c r="D1282" s="133" t="s">
        <v>5843</v>
      </c>
      <c r="E1282" s="133" t="s">
        <v>63</v>
      </c>
      <c r="F1282" s="133" t="s">
        <v>65</v>
      </c>
      <c r="G1282" s="133" t="s">
        <v>9028</v>
      </c>
      <c r="H1282" s="133" t="s">
        <v>8747</v>
      </c>
    </row>
    <row r="1283" spans="1:8">
      <c r="A1283" s="214" t="s">
        <v>10157</v>
      </c>
      <c r="B1283" s="214" t="s">
        <v>10158</v>
      </c>
      <c r="C1283" s="133" t="s">
        <v>8</v>
      </c>
      <c r="D1283" s="133" t="s">
        <v>66</v>
      </c>
      <c r="E1283" s="133" t="s">
        <v>63</v>
      </c>
      <c r="F1283" s="133" t="s">
        <v>65</v>
      </c>
      <c r="G1283" s="133" t="s">
        <v>8820</v>
      </c>
      <c r="H1283" s="133" t="s">
        <v>8747</v>
      </c>
    </row>
    <row r="1284" spans="1:8">
      <c r="A1284" s="214" t="s">
        <v>5892</v>
      </c>
      <c r="B1284" s="214" t="s">
        <v>5894</v>
      </c>
      <c r="C1284" s="133" t="s">
        <v>10</v>
      </c>
      <c r="D1284" s="133" t="s">
        <v>5893</v>
      </c>
      <c r="E1284" s="133" t="s">
        <v>63</v>
      </c>
      <c r="F1284" s="133" t="s">
        <v>65</v>
      </c>
      <c r="G1284" s="133" t="s">
        <v>9028</v>
      </c>
      <c r="H1284" s="133" t="s">
        <v>8747</v>
      </c>
    </row>
    <row r="1285" spans="1:8">
      <c r="A1285" s="214" t="s">
        <v>7945</v>
      </c>
      <c r="B1285" s="214" t="s">
        <v>7946</v>
      </c>
      <c r="C1285" s="133" t="s">
        <v>8</v>
      </c>
      <c r="D1285" s="133" t="s">
        <v>818</v>
      </c>
      <c r="E1285" s="133" t="s">
        <v>63</v>
      </c>
      <c r="F1285" s="133" t="s">
        <v>65</v>
      </c>
      <c r="G1285" s="133" t="s">
        <v>9028</v>
      </c>
      <c r="H1285" s="133" t="s">
        <v>8747</v>
      </c>
    </row>
    <row r="1286" spans="1:8">
      <c r="A1286" s="214" t="s">
        <v>10159</v>
      </c>
      <c r="B1286" s="214" t="s">
        <v>10160</v>
      </c>
      <c r="C1286" s="133" t="s">
        <v>8</v>
      </c>
      <c r="D1286" s="133" t="s">
        <v>1522</v>
      </c>
      <c r="E1286" s="133" t="s">
        <v>63</v>
      </c>
      <c r="F1286" s="133" t="s">
        <v>65</v>
      </c>
      <c r="G1286" s="133" t="s">
        <v>8784</v>
      </c>
      <c r="H1286" s="133" t="s">
        <v>8747</v>
      </c>
    </row>
    <row r="1287" spans="1:8">
      <c r="A1287" s="214" t="s">
        <v>7844</v>
      </c>
      <c r="B1287" s="214" t="s">
        <v>7845</v>
      </c>
      <c r="C1287" s="133" t="s">
        <v>10</v>
      </c>
      <c r="D1287" s="133" t="s">
        <v>5893</v>
      </c>
      <c r="E1287" s="133" t="s">
        <v>63</v>
      </c>
      <c r="F1287" s="133" t="s">
        <v>65</v>
      </c>
      <c r="G1287" s="133" t="s">
        <v>8826</v>
      </c>
      <c r="H1287" s="133" t="s">
        <v>8747</v>
      </c>
    </row>
    <row r="1288" spans="1:8">
      <c r="A1288" s="214" t="s">
        <v>10161</v>
      </c>
      <c r="B1288" s="214" t="s">
        <v>6034</v>
      </c>
      <c r="C1288" s="133" t="s">
        <v>8</v>
      </c>
      <c r="D1288" s="133" t="s">
        <v>1522</v>
      </c>
      <c r="E1288" s="133" t="s">
        <v>63</v>
      </c>
      <c r="F1288" s="133" t="s">
        <v>65</v>
      </c>
      <c r="G1288" s="133" t="s">
        <v>8820</v>
      </c>
      <c r="H1288" s="133" t="s">
        <v>8747</v>
      </c>
    </row>
    <row r="1289" spans="1:8">
      <c r="A1289" s="214" t="s">
        <v>10162</v>
      </c>
      <c r="B1289" s="214" t="s">
        <v>10032</v>
      </c>
      <c r="C1289" s="133" t="s">
        <v>178</v>
      </c>
      <c r="D1289" s="133" t="s">
        <v>10033</v>
      </c>
      <c r="E1289" s="133" t="s">
        <v>178</v>
      </c>
      <c r="F1289" s="133" t="s">
        <v>65</v>
      </c>
      <c r="G1289" s="133" t="s">
        <v>10034</v>
      </c>
      <c r="H1289" s="133" t="s">
        <v>8747</v>
      </c>
    </row>
    <row r="1290" spans="1:8">
      <c r="A1290" s="214" t="s">
        <v>10163</v>
      </c>
      <c r="B1290" s="214" t="s">
        <v>2149</v>
      </c>
      <c r="C1290" s="133" t="s">
        <v>8</v>
      </c>
      <c r="D1290" s="133" t="s">
        <v>1368</v>
      </c>
      <c r="E1290" s="133" t="s">
        <v>63</v>
      </c>
      <c r="F1290" s="133" t="s">
        <v>65</v>
      </c>
      <c r="G1290" s="133" t="s">
        <v>8820</v>
      </c>
      <c r="H1290" s="133" t="s">
        <v>8747</v>
      </c>
    </row>
    <row r="1291" spans="1:8">
      <c r="A1291" s="214" t="s">
        <v>2738</v>
      </c>
      <c r="B1291" s="214" t="s">
        <v>2739</v>
      </c>
      <c r="C1291" s="133" t="s">
        <v>8</v>
      </c>
      <c r="D1291" s="133" t="s">
        <v>1413</v>
      </c>
      <c r="E1291" s="133" t="s">
        <v>63</v>
      </c>
      <c r="F1291" s="133" t="s">
        <v>65</v>
      </c>
      <c r="G1291" s="133" t="s">
        <v>8820</v>
      </c>
      <c r="H1291" s="133" t="s">
        <v>8747</v>
      </c>
    </row>
    <row r="1292" spans="1:8">
      <c r="A1292" s="214" t="s">
        <v>2767</v>
      </c>
      <c r="B1292" s="214" t="s">
        <v>2768</v>
      </c>
      <c r="C1292" s="133" t="s">
        <v>8</v>
      </c>
      <c r="D1292" s="133" t="s">
        <v>995</v>
      </c>
      <c r="E1292" s="133" t="s">
        <v>63</v>
      </c>
      <c r="F1292" s="133" t="s">
        <v>65</v>
      </c>
      <c r="G1292" s="133" t="s">
        <v>8826</v>
      </c>
      <c r="H1292" s="133" t="s">
        <v>8747</v>
      </c>
    </row>
    <row r="1293" spans="1:8">
      <c r="A1293" s="214" t="s">
        <v>10164</v>
      </c>
      <c r="B1293" s="214" t="s">
        <v>10165</v>
      </c>
      <c r="C1293" s="133" t="s">
        <v>8</v>
      </c>
      <c r="D1293" s="133" t="s">
        <v>1132</v>
      </c>
      <c r="E1293" s="133" t="s">
        <v>63</v>
      </c>
      <c r="F1293" s="133" t="s">
        <v>65</v>
      </c>
      <c r="G1293" s="133" t="s">
        <v>8826</v>
      </c>
      <c r="H1293" s="133" t="s">
        <v>8747</v>
      </c>
    </row>
    <row r="1294" spans="1:8">
      <c r="A1294" s="214" t="s">
        <v>10166</v>
      </c>
      <c r="B1294" s="214" t="s">
        <v>10167</v>
      </c>
      <c r="C1294" s="133" t="s">
        <v>178</v>
      </c>
      <c r="D1294" s="133" t="s">
        <v>9071</v>
      </c>
      <c r="E1294" s="133" t="s">
        <v>178</v>
      </c>
      <c r="F1294" s="133" t="s">
        <v>65</v>
      </c>
      <c r="G1294" s="133" t="s">
        <v>9072</v>
      </c>
      <c r="H1294" s="133" t="s">
        <v>8747</v>
      </c>
    </row>
    <row r="1295" spans="1:8">
      <c r="A1295" s="214" t="s">
        <v>6506</v>
      </c>
      <c r="B1295" s="214" t="s">
        <v>6507</v>
      </c>
      <c r="C1295" s="133" t="s">
        <v>8</v>
      </c>
      <c r="D1295" s="133" t="s">
        <v>1413</v>
      </c>
      <c r="E1295" s="133" t="s">
        <v>63</v>
      </c>
      <c r="F1295" s="133" t="s">
        <v>65</v>
      </c>
      <c r="G1295" s="133" t="s">
        <v>8826</v>
      </c>
      <c r="H1295" s="133" t="s">
        <v>8747</v>
      </c>
    </row>
    <row r="1296" spans="1:8">
      <c r="A1296" s="214" t="s">
        <v>10168</v>
      </c>
      <c r="B1296" s="214" t="s">
        <v>2607</v>
      </c>
      <c r="C1296" s="133" t="s">
        <v>8</v>
      </c>
      <c r="D1296" s="133" t="s">
        <v>1419</v>
      </c>
      <c r="E1296" s="133" t="s">
        <v>63</v>
      </c>
      <c r="F1296" s="133" t="s">
        <v>65</v>
      </c>
      <c r="G1296" s="133" t="s">
        <v>8820</v>
      </c>
      <c r="H1296" s="133" t="s">
        <v>8747</v>
      </c>
    </row>
    <row r="1297" spans="1:8">
      <c r="A1297" s="214" t="s">
        <v>10169</v>
      </c>
      <c r="B1297" s="214" t="s">
        <v>2852</v>
      </c>
      <c r="C1297" s="133" t="s">
        <v>8</v>
      </c>
      <c r="D1297" s="133" t="s">
        <v>1041</v>
      </c>
      <c r="E1297" s="133" t="s">
        <v>63</v>
      </c>
      <c r="F1297" s="133" t="s">
        <v>65</v>
      </c>
      <c r="G1297" s="133" t="s">
        <v>8820</v>
      </c>
      <c r="H1297" s="133" t="s">
        <v>8747</v>
      </c>
    </row>
    <row r="1298" spans="1:8">
      <c r="A1298" s="214" t="s">
        <v>10170</v>
      </c>
      <c r="B1298" s="214" t="s">
        <v>2874</v>
      </c>
      <c r="C1298" s="133" t="s">
        <v>8</v>
      </c>
      <c r="D1298" s="133" t="s">
        <v>818</v>
      </c>
      <c r="E1298" s="133" t="s">
        <v>63</v>
      </c>
      <c r="F1298" s="133" t="s">
        <v>65</v>
      </c>
      <c r="G1298" s="133" t="s">
        <v>8820</v>
      </c>
      <c r="H1298" s="133" t="s">
        <v>8747</v>
      </c>
    </row>
    <row r="1299" spans="1:8">
      <c r="A1299" s="214" t="s">
        <v>10171</v>
      </c>
      <c r="B1299" s="214" t="s">
        <v>10172</v>
      </c>
      <c r="C1299" s="133" t="s">
        <v>8</v>
      </c>
      <c r="D1299" s="133" t="s">
        <v>1406</v>
      </c>
      <c r="E1299" s="133" t="s">
        <v>63</v>
      </c>
      <c r="F1299" s="133" t="s">
        <v>65</v>
      </c>
      <c r="G1299" s="133" t="s">
        <v>8820</v>
      </c>
      <c r="H1299" s="133" t="s">
        <v>8747</v>
      </c>
    </row>
    <row r="1300" spans="1:8">
      <c r="A1300" s="214" t="s">
        <v>10173</v>
      </c>
      <c r="B1300" s="214" t="s">
        <v>10174</v>
      </c>
      <c r="C1300" s="133" t="s">
        <v>8</v>
      </c>
      <c r="D1300" s="133" t="s">
        <v>66</v>
      </c>
      <c r="E1300" s="133" t="s">
        <v>63</v>
      </c>
      <c r="F1300" s="133" t="s">
        <v>65</v>
      </c>
      <c r="G1300" s="133" t="s">
        <v>8820</v>
      </c>
      <c r="H1300" s="133" t="s">
        <v>8747</v>
      </c>
    </row>
    <row r="1301" spans="1:8">
      <c r="A1301" s="214" t="s">
        <v>10175</v>
      </c>
      <c r="B1301" s="214" t="s">
        <v>10176</v>
      </c>
      <c r="C1301" s="133" t="s">
        <v>8</v>
      </c>
      <c r="D1301" s="133" t="s">
        <v>440</v>
      </c>
      <c r="E1301" s="133" t="s">
        <v>63</v>
      </c>
      <c r="F1301" s="133" t="s">
        <v>65</v>
      </c>
      <c r="G1301" s="133" t="s">
        <v>8820</v>
      </c>
      <c r="H1301" s="133" t="s">
        <v>8747</v>
      </c>
    </row>
    <row r="1302" spans="1:8">
      <c r="A1302" s="214" t="s">
        <v>6767</v>
      </c>
      <c r="B1302" s="214" t="s">
        <v>6768</v>
      </c>
      <c r="C1302" s="133" t="s">
        <v>8</v>
      </c>
      <c r="D1302" s="133" t="s">
        <v>995</v>
      </c>
      <c r="E1302" s="133" t="s">
        <v>63</v>
      </c>
      <c r="F1302" s="133" t="s">
        <v>65</v>
      </c>
      <c r="G1302" s="133" t="s">
        <v>8820</v>
      </c>
      <c r="H1302" s="133" t="s">
        <v>8747</v>
      </c>
    </row>
    <row r="1303" spans="1:8">
      <c r="A1303" s="214" t="s">
        <v>6671</v>
      </c>
      <c r="B1303" s="214" t="s">
        <v>6672</v>
      </c>
      <c r="C1303" s="133" t="s">
        <v>8</v>
      </c>
      <c r="D1303" s="133" t="s">
        <v>1132</v>
      </c>
      <c r="E1303" s="133" t="s">
        <v>63</v>
      </c>
      <c r="F1303" s="133" t="s">
        <v>65</v>
      </c>
      <c r="G1303" s="133" t="s">
        <v>8820</v>
      </c>
      <c r="H1303" s="133" t="s">
        <v>8747</v>
      </c>
    </row>
    <row r="1304" spans="1:8">
      <c r="A1304" s="214" t="s">
        <v>10177</v>
      </c>
      <c r="B1304" s="214" t="s">
        <v>10178</v>
      </c>
      <c r="C1304" s="133" t="s">
        <v>8</v>
      </c>
      <c r="D1304" s="133" t="s">
        <v>818</v>
      </c>
      <c r="E1304" s="133" t="s">
        <v>63</v>
      </c>
      <c r="F1304" s="133" t="s">
        <v>65</v>
      </c>
      <c r="G1304" s="133" t="s">
        <v>8826</v>
      </c>
      <c r="H1304" s="133" t="s">
        <v>8747</v>
      </c>
    </row>
    <row r="1305" spans="1:8">
      <c r="A1305" s="214" t="s">
        <v>10179</v>
      </c>
      <c r="B1305" s="214" t="s">
        <v>10180</v>
      </c>
      <c r="C1305" s="133" t="s">
        <v>8</v>
      </c>
      <c r="D1305" s="133" t="s">
        <v>818</v>
      </c>
      <c r="E1305" s="133" t="s">
        <v>63</v>
      </c>
      <c r="F1305" s="133" t="s">
        <v>65</v>
      </c>
      <c r="G1305" s="133" t="s">
        <v>8820</v>
      </c>
      <c r="H1305" s="133" t="s">
        <v>8747</v>
      </c>
    </row>
    <row r="1306" spans="1:8">
      <c r="A1306" s="214" t="s">
        <v>10181</v>
      </c>
      <c r="B1306" s="214" t="s">
        <v>1654</v>
      </c>
      <c r="C1306" s="133" t="s">
        <v>8</v>
      </c>
      <c r="D1306" s="133" t="s">
        <v>2380</v>
      </c>
      <c r="E1306" s="133" t="s">
        <v>63</v>
      </c>
      <c r="F1306" s="133" t="s">
        <v>65</v>
      </c>
      <c r="G1306" s="133" t="s">
        <v>8820</v>
      </c>
      <c r="H1306" s="133" t="s">
        <v>8747</v>
      </c>
    </row>
    <row r="1307" spans="1:8">
      <c r="A1307" s="214" t="s">
        <v>6773</v>
      </c>
      <c r="B1307" s="214" t="s">
        <v>6774</v>
      </c>
      <c r="C1307" s="133" t="s">
        <v>8</v>
      </c>
      <c r="D1307" s="133" t="s">
        <v>995</v>
      </c>
      <c r="E1307" s="133" t="s">
        <v>63</v>
      </c>
      <c r="F1307" s="133" t="s">
        <v>65</v>
      </c>
      <c r="G1307" s="133" t="s">
        <v>8820</v>
      </c>
      <c r="H1307" s="133" t="s">
        <v>8747</v>
      </c>
    </row>
    <row r="1308" spans="1:8">
      <c r="A1308" s="214" t="s">
        <v>10182</v>
      </c>
      <c r="B1308" s="214" t="s">
        <v>10183</v>
      </c>
      <c r="C1308" s="133" t="s">
        <v>8</v>
      </c>
      <c r="D1308" s="133" t="s">
        <v>1562</v>
      </c>
      <c r="E1308" s="133" t="s">
        <v>63</v>
      </c>
      <c r="F1308" s="133" t="s">
        <v>65</v>
      </c>
      <c r="G1308" s="133" t="s">
        <v>8820</v>
      </c>
      <c r="H1308" s="133" t="s">
        <v>8747</v>
      </c>
    </row>
    <row r="1309" spans="1:8">
      <c r="A1309" s="214" t="s">
        <v>7600</v>
      </c>
      <c r="B1309" s="214" t="s">
        <v>7601</v>
      </c>
      <c r="C1309" s="133" t="s">
        <v>8</v>
      </c>
      <c r="D1309" s="133" t="s">
        <v>995</v>
      </c>
      <c r="E1309" s="133" t="s">
        <v>63</v>
      </c>
      <c r="F1309" s="133" t="s">
        <v>65</v>
      </c>
      <c r="G1309" s="133" t="s">
        <v>8820</v>
      </c>
      <c r="H1309" s="133" t="s">
        <v>8747</v>
      </c>
    </row>
    <row r="1310" spans="1:8">
      <c r="A1310" s="214" t="s">
        <v>7501</v>
      </c>
      <c r="B1310" s="214" t="s">
        <v>7502</v>
      </c>
      <c r="C1310" s="133" t="s">
        <v>8</v>
      </c>
      <c r="D1310" s="133" t="s">
        <v>995</v>
      </c>
      <c r="E1310" s="133" t="s">
        <v>63</v>
      </c>
      <c r="F1310" s="133" t="s">
        <v>65</v>
      </c>
      <c r="G1310" s="133" t="s">
        <v>8820</v>
      </c>
      <c r="H1310" s="133" t="s">
        <v>8747</v>
      </c>
    </row>
    <row r="1311" spans="1:8">
      <c r="A1311" s="214" t="s">
        <v>10184</v>
      </c>
      <c r="B1311" s="214" t="s">
        <v>10185</v>
      </c>
      <c r="C1311" s="133" t="s">
        <v>8</v>
      </c>
      <c r="D1311" s="133" t="s">
        <v>8884</v>
      </c>
      <c r="E1311" s="133" t="s">
        <v>63</v>
      </c>
      <c r="F1311" s="133" t="s">
        <v>65</v>
      </c>
      <c r="G1311" s="133" t="s">
        <v>8826</v>
      </c>
      <c r="H1311" s="133" t="s">
        <v>8747</v>
      </c>
    </row>
    <row r="1312" spans="1:8">
      <c r="A1312" s="214" t="s">
        <v>10186</v>
      </c>
      <c r="B1312" s="214" t="s">
        <v>8857</v>
      </c>
      <c r="C1312" s="133" t="s">
        <v>8</v>
      </c>
      <c r="D1312" s="133" t="s">
        <v>8884</v>
      </c>
      <c r="E1312" s="133" t="s">
        <v>63</v>
      </c>
      <c r="F1312" s="133" t="s">
        <v>65</v>
      </c>
      <c r="G1312" s="133" t="s">
        <v>8820</v>
      </c>
      <c r="H1312" s="133" t="s">
        <v>8747</v>
      </c>
    </row>
    <row r="1313" spans="1:8">
      <c r="A1313" s="214" t="s">
        <v>8245</v>
      </c>
      <c r="B1313" s="214" t="s">
        <v>4544</v>
      </c>
      <c r="C1313" s="133" t="s">
        <v>8</v>
      </c>
      <c r="D1313" s="133" t="s">
        <v>1522</v>
      </c>
      <c r="E1313" s="133" t="s">
        <v>63</v>
      </c>
      <c r="F1313" s="133" t="s">
        <v>65</v>
      </c>
      <c r="G1313" s="133" t="s">
        <v>8826</v>
      </c>
      <c r="H1313" s="133" t="s">
        <v>8747</v>
      </c>
    </row>
    <row r="1314" spans="1:8">
      <c r="A1314" s="214" t="s">
        <v>10187</v>
      </c>
      <c r="B1314" s="214" t="s">
        <v>10188</v>
      </c>
      <c r="C1314" s="133" t="s">
        <v>8</v>
      </c>
      <c r="D1314" s="133" t="s">
        <v>2299</v>
      </c>
      <c r="E1314" s="133" t="s">
        <v>63</v>
      </c>
      <c r="F1314" s="133" t="s">
        <v>65</v>
      </c>
      <c r="G1314" s="133" t="s">
        <v>8826</v>
      </c>
      <c r="H1314" s="133" t="s">
        <v>8747</v>
      </c>
    </row>
    <row r="1315" spans="1:8">
      <c r="A1315" s="214" t="s">
        <v>8109</v>
      </c>
      <c r="B1315" s="214" t="s">
        <v>8110</v>
      </c>
      <c r="C1315" s="133" t="s">
        <v>10</v>
      </c>
      <c r="D1315" s="133" t="s">
        <v>3198</v>
      </c>
      <c r="E1315" s="133" t="s">
        <v>63</v>
      </c>
      <c r="F1315" s="133" t="s">
        <v>284</v>
      </c>
      <c r="G1315" s="133" t="s">
        <v>8826</v>
      </c>
      <c r="H1315" s="133" t="s">
        <v>8747</v>
      </c>
    </row>
    <row r="1316" spans="1:8">
      <c r="A1316" s="214" t="s">
        <v>10189</v>
      </c>
      <c r="B1316" s="214" t="s">
        <v>10190</v>
      </c>
      <c r="C1316" s="133" t="s">
        <v>8</v>
      </c>
      <c r="D1316" s="133" t="s">
        <v>6871</v>
      </c>
      <c r="E1316" s="133" t="s">
        <v>63</v>
      </c>
      <c r="F1316" s="133" t="s">
        <v>284</v>
      </c>
      <c r="G1316" s="133" t="s">
        <v>8820</v>
      </c>
      <c r="H1316" s="133" t="s">
        <v>8747</v>
      </c>
    </row>
    <row r="1317" spans="1:8">
      <c r="A1317" s="214" t="s">
        <v>10191</v>
      </c>
      <c r="B1317" s="214" t="s">
        <v>10192</v>
      </c>
      <c r="C1317" s="133" t="s">
        <v>8</v>
      </c>
      <c r="D1317" s="133" t="s">
        <v>2054</v>
      </c>
      <c r="E1317" s="133" t="s">
        <v>63</v>
      </c>
      <c r="F1317" s="133" t="s">
        <v>284</v>
      </c>
      <c r="G1317" s="133" t="s">
        <v>8826</v>
      </c>
      <c r="H1317" s="133" t="s">
        <v>8747</v>
      </c>
    </row>
    <row r="1318" spans="1:8">
      <c r="A1318" s="214" t="s">
        <v>10193</v>
      </c>
      <c r="B1318" s="214" t="s">
        <v>10194</v>
      </c>
      <c r="C1318" s="133" t="s">
        <v>10</v>
      </c>
      <c r="D1318" s="133" t="s">
        <v>5843</v>
      </c>
      <c r="E1318" s="133" t="s">
        <v>63</v>
      </c>
      <c r="F1318" s="133" t="s">
        <v>284</v>
      </c>
      <c r="G1318" s="133" t="s">
        <v>8826</v>
      </c>
      <c r="H1318" s="133" t="s">
        <v>8747</v>
      </c>
    </row>
    <row r="1319" spans="1:8">
      <c r="A1319" s="214" t="s">
        <v>10195</v>
      </c>
      <c r="B1319" s="214" t="s">
        <v>10196</v>
      </c>
      <c r="C1319" s="133" t="s">
        <v>8</v>
      </c>
      <c r="D1319" s="133" t="s">
        <v>1132</v>
      </c>
      <c r="E1319" s="133" t="s">
        <v>63</v>
      </c>
      <c r="F1319" s="133" t="s">
        <v>284</v>
      </c>
      <c r="G1319" s="133" t="s">
        <v>8826</v>
      </c>
      <c r="H1319" s="133" t="s">
        <v>8747</v>
      </c>
    </row>
    <row r="1320" spans="1:8">
      <c r="A1320" s="214" t="s">
        <v>8293</v>
      </c>
      <c r="B1320" s="214" t="s">
        <v>9091</v>
      </c>
      <c r="C1320" s="133" t="s">
        <v>10</v>
      </c>
      <c r="D1320" s="133" t="s">
        <v>6012</v>
      </c>
      <c r="E1320" s="133" t="s">
        <v>63</v>
      </c>
      <c r="F1320" s="133" t="s">
        <v>284</v>
      </c>
      <c r="G1320" s="133" t="s">
        <v>8826</v>
      </c>
      <c r="H1320" s="133" t="s">
        <v>8747</v>
      </c>
    </row>
    <row r="1321" spans="1:8">
      <c r="A1321" s="214" t="s">
        <v>10197</v>
      </c>
      <c r="B1321" s="214" t="s">
        <v>10198</v>
      </c>
      <c r="C1321" s="133" t="s">
        <v>10</v>
      </c>
      <c r="D1321" s="133" t="s">
        <v>3855</v>
      </c>
      <c r="E1321" s="133" t="s">
        <v>63</v>
      </c>
      <c r="F1321" s="133" t="s">
        <v>284</v>
      </c>
      <c r="G1321" s="133" t="s">
        <v>8826</v>
      </c>
      <c r="H1321" s="133" t="s">
        <v>8747</v>
      </c>
    </row>
    <row r="1322" spans="1:8">
      <c r="A1322" s="214" t="s">
        <v>10199</v>
      </c>
      <c r="B1322" s="214" t="s">
        <v>10200</v>
      </c>
      <c r="C1322" s="133" t="s">
        <v>8</v>
      </c>
      <c r="D1322" s="133" t="s">
        <v>1522</v>
      </c>
      <c r="E1322" s="133" t="s">
        <v>63</v>
      </c>
      <c r="F1322" s="133" t="s">
        <v>284</v>
      </c>
      <c r="G1322" s="133" t="s">
        <v>8826</v>
      </c>
      <c r="H1322" s="133" t="s">
        <v>8747</v>
      </c>
    </row>
    <row r="1323" spans="1:8">
      <c r="A1323" s="214" t="s">
        <v>2958</v>
      </c>
      <c r="B1323" s="214" t="s">
        <v>2959</v>
      </c>
      <c r="C1323" s="133" t="s">
        <v>8</v>
      </c>
      <c r="D1323" s="133" t="s">
        <v>2076</v>
      </c>
      <c r="E1323" s="133" t="s">
        <v>63</v>
      </c>
      <c r="F1323" s="133" t="s">
        <v>284</v>
      </c>
      <c r="G1323" s="133" t="s">
        <v>8820</v>
      </c>
      <c r="H1323" s="133" t="s">
        <v>8747</v>
      </c>
    </row>
    <row r="1324" spans="1:8">
      <c r="A1324" s="214" t="s">
        <v>6701</v>
      </c>
      <c r="B1324" s="214" t="s">
        <v>6702</v>
      </c>
      <c r="C1324" s="133" t="s">
        <v>8</v>
      </c>
      <c r="D1324" s="133" t="s">
        <v>1701</v>
      </c>
      <c r="E1324" s="133" t="s">
        <v>63</v>
      </c>
      <c r="F1324" s="133" t="s">
        <v>284</v>
      </c>
      <c r="G1324" s="133" t="s">
        <v>8826</v>
      </c>
      <c r="H1324" s="133" t="s">
        <v>8747</v>
      </c>
    </row>
    <row r="1325" spans="1:8">
      <c r="A1325" s="214" t="s">
        <v>10201</v>
      </c>
      <c r="B1325" s="214" t="s">
        <v>10202</v>
      </c>
      <c r="C1325" s="133" t="s">
        <v>10</v>
      </c>
      <c r="D1325" s="133" t="s">
        <v>6250</v>
      </c>
      <c r="E1325" s="133" t="s">
        <v>63</v>
      </c>
      <c r="F1325" s="133" t="s">
        <v>284</v>
      </c>
      <c r="G1325" s="133" t="s">
        <v>8826</v>
      </c>
      <c r="H1325" s="133" t="s">
        <v>8747</v>
      </c>
    </row>
    <row r="1326" spans="1:8">
      <c r="A1326" s="214" t="s">
        <v>7692</v>
      </c>
      <c r="B1326" s="214" t="s">
        <v>7693</v>
      </c>
      <c r="C1326" s="133" t="s">
        <v>10</v>
      </c>
      <c r="D1326" s="133" t="s">
        <v>3676</v>
      </c>
      <c r="E1326" s="133" t="s">
        <v>63</v>
      </c>
      <c r="F1326" s="133" t="s">
        <v>284</v>
      </c>
      <c r="G1326" s="133" t="s">
        <v>8826</v>
      </c>
      <c r="H1326" s="133" t="s">
        <v>8747</v>
      </c>
    </row>
    <row r="1327" spans="1:8">
      <c r="A1327" s="214" t="s">
        <v>10203</v>
      </c>
      <c r="B1327" s="214" t="s">
        <v>10204</v>
      </c>
      <c r="C1327" s="133" t="s">
        <v>10</v>
      </c>
      <c r="D1327" s="133" t="s">
        <v>7955</v>
      </c>
      <c r="E1327" s="133" t="s">
        <v>63</v>
      </c>
      <c r="F1327" s="133" t="s">
        <v>284</v>
      </c>
      <c r="G1327" s="133" t="s">
        <v>8826</v>
      </c>
      <c r="H1327" s="133" t="s">
        <v>8747</v>
      </c>
    </row>
    <row r="1328" spans="1:8">
      <c r="A1328" s="214" t="s">
        <v>10205</v>
      </c>
      <c r="B1328" s="214" t="s">
        <v>10206</v>
      </c>
      <c r="C1328" s="133" t="s">
        <v>178</v>
      </c>
      <c r="D1328" s="133" t="s">
        <v>10033</v>
      </c>
      <c r="E1328" s="133" t="s">
        <v>178</v>
      </c>
      <c r="F1328" s="133" t="s">
        <v>284</v>
      </c>
      <c r="G1328" s="133" t="s">
        <v>10034</v>
      </c>
      <c r="H1328" s="133" t="s">
        <v>8747</v>
      </c>
    </row>
    <row r="1329" spans="1:8">
      <c r="A1329" s="214" t="s">
        <v>6343</v>
      </c>
      <c r="B1329" s="214" t="s">
        <v>6344</v>
      </c>
      <c r="C1329" s="133" t="s">
        <v>10</v>
      </c>
      <c r="D1329" s="133" t="s">
        <v>1826</v>
      </c>
      <c r="E1329" s="133" t="s">
        <v>63</v>
      </c>
      <c r="F1329" s="133" t="s">
        <v>284</v>
      </c>
      <c r="G1329" s="133" t="s">
        <v>9028</v>
      </c>
      <c r="H1329" s="133" t="s">
        <v>8747</v>
      </c>
    </row>
    <row r="1330" spans="1:8">
      <c r="A1330" s="214" t="s">
        <v>10207</v>
      </c>
      <c r="B1330" s="214" t="s">
        <v>10208</v>
      </c>
      <c r="C1330" s="133" t="s">
        <v>8</v>
      </c>
      <c r="D1330" s="133" t="s">
        <v>1419</v>
      </c>
      <c r="E1330" s="133" t="s">
        <v>63</v>
      </c>
      <c r="F1330" s="133" t="s">
        <v>284</v>
      </c>
      <c r="G1330" s="133" t="s">
        <v>8820</v>
      </c>
      <c r="H1330" s="133" t="s">
        <v>8747</v>
      </c>
    </row>
    <row r="1331" spans="1:8">
      <c r="A1331" s="214" t="s">
        <v>10209</v>
      </c>
      <c r="B1331" s="214" t="s">
        <v>10210</v>
      </c>
      <c r="C1331" s="133" t="s">
        <v>178</v>
      </c>
      <c r="D1331" s="133" t="s">
        <v>10033</v>
      </c>
      <c r="E1331" s="133" t="s">
        <v>178</v>
      </c>
      <c r="F1331" s="133" t="s">
        <v>284</v>
      </c>
      <c r="G1331" s="133" t="s">
        <v>10034</v>
      </c>
      <c r="H1331" s="133" t="s">
        <v>8747</v>
      </c>
    </row>
    <row r="1332" spans="1:8">
      <c r="A1332" s="214" t="s">
        <v>10211</v>
      </c>
      <c r="B1332" s="214" t="s">
        <v>10212</v>
      </c>
      <c r="C1332" s="133" t="s">
        <v>8</v>
      </c>
      <c r="D1332" s="133" t="s">
        <v>1398</v>
      </c>
      <c r="E1332" s="133" t="s">
        <v>63</v>
      </c>
      <c r="F1332" s="133" t="s">
        <v>284</v>
      </c>
      <c r="G1332" s="133" t="s">
        <v>8826</v>
      </c>
      <c r="H1332" s="133" t="s">
        <v>8747</v>
      </c>
    </row>
    <row r="1333" spans="1:8">
      <c r="A1333" s="91" t="s">
        <v>10213</v>
      </c>
      <c r="B1333" s="134" t="s">
        <v>10214</v>
      </c>
      <c r="C1333" s="91" t="s">
        <v>8</v>
      </c>
      <c r="D1333" s="133" t="s">
        <v>10215</v>
      </c>
      <c r="E1333" s="133" t="s">
        <v>10216</v>
      </c>
      <c r="F1333" s="91" t="s">
        <v>284</v>
      </c>
      <c r="G1333" s="91" t="s">
        <v>10217</v>
      </c>
      <c r="H1333" s="133" t="s">
        <v>10218</v>
      </c>
    </row>
    <row r="1334" spans="1:8">
      <c r="A1334" s="91" t="s">
        <v>10219</v>
      </c>
      <c r="B1334" s="134" t="s">
        <v>10220</v>
      </c>
      <c r="C1334" s="91" t="s">
        <v>8</v>
      </c>
      <c r="D1334" s="133" t="s">
        <v>10221</v>
      </c>
      <c r="E1334" s="133" t="s">
        <v>10216</v>
      </c>
      <c r="F1334" s="91" t="s">
        <v>284</v>
      </c>
      <c r="G1334" s="91" t="s">
        <v>10222</v>
      </c>
      <c r="H1334" s="133" t="s">
        <v>10218</v>
      </c>
    </row>
    <row r="1335" spans="1:8">
      <c r="A1335" s="91" t="s">
        <v>10223</v>
      </c>
      <c r="B1335" s="134" t="s">
        <v>10224</v>
      </c>
      <c r="C1335" s="91" t="s">
        <v>8</v>
      </c>
      <c r="D1335" s="133" t="s">
        <v>6871</v>
      </c>
      <c r="E1335" s="133" t="s">
        <v>10216</v>
      </c>
      <c r="F1335" s="91" t="s">
        <v>284</v>
      </c>
      <c r="G1335" s="91" t="s">
        <v>10225</v>
      </c>
      <c r="H1335" s="133" t="s">
        <v>10218</v>
      </c>
    </row>
    <row r="1336" spans="1:8">
      <c r="A1336" s="91" t="s">
        <v>10226</v>
      </c>
      <c r="B1336" s="134" t="s">
        <v>10227</v>
      </c>
      <c r="C1336" s="91" t="s">
        <v>8</v>
      </c>
      <c r="D1336" s="133" t="s">
        <v>2054</v>
      </c>
      <c r="E1336" s="133" t="s">
        <v>10216</v>
      </c>
      <c r="F1336" s="91" t="s">
        <v>284</v>
      </c>
      <c r="G1336" s="91" t="s">
        <v>10228</v>
      </c>
      <c r="H1336" s="133" t="s">
        <v>10218</v>
      </c>
    </row>
    <row r="1337" spans="1:8">
      <c r="A1337" s="91" t="s">
        <v>10229</v>
      </c>
      <c r="B1337" s="134" t="s">
        <v>10230</v>
      </c>
      <c r="C1337" s="91" t="s">
        <v>8</v>
      </c>
      <c r="D1337" s="133" t="s">
        <v>2054</v>
      </c>
      <c r="E1337" s="133" t="s">
        <v>10216</v>
      </c>
      <c r="F1337" s="91" t="s">
        <v>120</v>
      </c>
      <c r="G1337" s="91" t="s">
        <v>10231</v>
      </c>
      <c r="H1337" s="133" t="s">
        <v>10218</v>
      </c>
    </row>
    <row r="1338" spans="1:8">
      <c r="A1338" s="91" t="s">
        <v>2848</v>
      </c>
      <c r="B1338" s="134" t="s">
        <v>2849</v>
      </c>
      <c r="C1338" s="91" t="s">
        <v>8</v>
      </c>
      <c r="D1338" s="133" t="s">
        <v>2054</v>
      </c>
      <c r="E1338" s="133" t="s">
        <v>10216</v>
      </c>
      <c r="F1338" s="91" t="s">
        <v>284</v>
      </c>
      <c r="G1338" s="91" t="s">
        <v>10232</v>
      </c>
      <c r="H1338" s="133" t="s">
        <v>10218</v>
      </c>
    </row>
    <row r="1339" spans="1:8">
      <c r="A1339" s="91" t="s">
        <v>10233</v>
      </c>
      <c r="B1339" s="134" t="s">
        <v>10234</v>
      </c>
      <c r="C1339" s="91" t="s">
        <v>8</v>
      </c>
      <c r="D1339" s="133" t="s">
        <v>8910</v>
      </c>
      <c r="E1339" s="133" t="s">
        <v>10216</v>
      </c>
      <c r="F1339" s="91" t="s">
        <v>284</v>
      </c>
      <c r="G1339" s="91" t="s">
        <v>10217</v>
      </c>
      <c r="H1339" s="133" t="s">
        <v>10218</v>
      </c>
    </row>
    <row r="1340" spans="1:8">
      <c r="A1340" s="91" t="s">
        <v>10235</v>
      </c>
      <c r="B1340" s="134" t="s">
        <v>10236</v>
      </c>
      <c r="C1340" s="91" t="s">
        <v>8</v>
      </c>
      <c r="D1340" s="133" t="s">
        <v>1132</v>
      </c>
      <c r="E1340" s="133" t="s">
        <v>10216</v>
      </c>
      <c r="F1340" s="91" t="s">
        <v>2493</v>
      </c>
      <c r="G1340" s="91" t="s">
        <v>10231</v>
      </c>
      <c r="H1340" s="133" t="s">
        <v>10218</v>
      </c>
    </row>
    <row r="1341" spans="1:8">
      <c r="A1341" s="91" t="s">
        <v>10237</v>
      </c>
      <c r="B1341" s="134" t="s">
        <v>10238</v>
      </c>
      <c r="C1341" s="91" t="s">
        <v>8</v>
      </c>
      <c r="D1341" s="133" t="s">
        <v>1132</v>
      </c>
      <c r="E1341" s="133" t="s">
        <v>10216</v>
      </c>
      <c r="F1341" s="91" t="s">
        <v>120</v>
      </c>
      <c r="G1341" s="91" t="s">
        <v>10239</v>
      </c>
      <c r="H1341" s="133" t="s">
        <v>10218</v>
      </c>
    </row>
    <row r="1342" spans="1:8">
      <c r="A1342" s="91" t="s">
        <v>6735</v>
      </c>
      <c r="B1342" s="134" t="s">
        <v>6736</v>
      </c>
      <c r="C1342" s="91" t="s">
        <v>8</v>
      </c>
      <c r="D1342" s="133" t="s">
        <v>1132</v>
      </c>
      <c r="E1342" s="133" t="s">
        <v>10216</v>
      </c>
      <c r="F1342" s="91" t="s">
        <v>65</v>
      </c>
      <c r="G1342" s="91" t="s">
        <v>10225</v>
      </c>
      <c r="H1342" s="133" t="s">
        <v>10218</v>
      </c>
    </row>
    <row r="1343" spans="1:8">
      <c r="A1343" s="91" t="s">
        <v>6665</v>
      </c>
      <c r="B1343" s="134" t="s">
        <v>6666</v>
      </c>
      <c r="C1343" s="91" t="s">
        <v>8</v>
      </c>
      <c r="D1343" s="133" t="s">
        <v>1132</v>
      </c>
      <c r="E1343" s="133" t="s">
        <v>10216</v>
      </c>
      <c r="F1343" s="91" t="s">
        <v>65</v>
      </c>
      <c r="G1343" s="91" t="s">
        <v>10239</v>
      </c>
      <c r="H1343" s="133" t="s">
        <v>10218</v>
      </c>
    </row>
    <row r="1344" spans="1:8">
      <c r="A1344" s="91" t="s">
        <v>10240</v>
      </c>
      <c r="B1344" s="134" t="s">
        <v>10241</v>
      </c>
      <c r="C1344" s="91" t="s">
        <v>8</v>
      </c>
      <c r="D1344" s="133" t="s">
        <v>1132</v>
      </c>
      <c r="E1344" s="133" t="s">
        <v>10216</v>
      </c>
      <c r="F1344" s="91" t="s">
        <v>284</v>
      </c>
      <c r="G1344" s="91" t="s">
        <v>10242</v>
      </c>
      <c r="H1344" s="133" t="s">
        <v>10218</v>
      </c>
    </row>
    <row r="1345" spans="1:8">
      <c r="A1345" s="91" t="s">
        <v>6981</v>
      </c>
      <c r="B1345" s="134" t="s">
        <v>6982</v>
      </c>
      <c r="C1345" s="91" t="s">
        <v>8</v>
      </c>
      <c r="D1345" s="133" t="s">
        <v>1132</v>
      </c>
      <c r="E1345" s="133" t="s">
        <v>10216</v>
      </c>
      <c r="F1345" s="91" t="s">
        <v>65</v>
      </c>
      <c r="G1345" s="91" t="s">
        <v>10231</v>
      </c>
      <c r="H1345" s="133" t="s">
        <v>10218</v>
      </c>
    </row>
    <row r="1346" spans="1:8">
      <c r="A1346" s="91" t="s">
        <v>10243</v>
      </c>
      <c r="B1346" s="134" t="s">
        <v>10244</v>
      </c>
      <c r="C1346" s="91" t="s">
        <v>8</v>
      </c>
      <c r="D1346" s="133" t="s">
        <v>1132</v>
      </c>
      <c r="E1346" s="133" t="s">
        <v>10216</v>
      </c>
      <c r="F1346" s="91" t="s">
        <v>284</v>
      </c>
      <c r="G1346" s="91" t="s">
        <v>10245</v>
      </c>
      <c r="H1346" s="133" t="s">
        <v>10218</v>
      </c>
    </row>
    <row r="1347" spans="1:8">
      <c r="A1347" s="91" t="s">
        <v>10246</v>
      </c>
      <c r="B1347" s="134" t="s">
        <v>10247</v>
      </c>
      <c r="C1347" s="91" t="s">
        <v>8</v>
      </c>
      <c r="D1347" s="133" t="s">
        <v>1132</v>
      </c>
      <c r="E1347" s="133" t="s">
        <v>10216</v>
      </c>
      <c r="F1347" s="91" t="s">
        <v>120</v>
      </c>
      <c r="G1347" s="91" t="s">
        <v>10231</v>
      </c>
      <c r="H1347" s="133" t="s">
        <v>10218</v>
      </c>
    </row>
    <row r="1348" spans="1:8">
      <c r="A1348" s="91" t="s">
        <v>10248</v>
      </c>
      <c r="B1348" s="134" t="s">
        <v>10249</v>
      </c>
      <c r="C1348" s="91" t="s">
        <v>8</v>
      </c>
      <c r="D1348" s="133" t="s">
        <v>1132</v>
      </c>
      <c r="E1348" s="133" t="s">
        <v>10216</v>
      </c>
      <c r="F1348" s="91" t="s">
        <v>284</v>
      </c>
      <c r="G1348" s="91" t="s">
        <v>10228</v>
      </c>
      <c r="H1348" s="133" t="s">
        <v>10218</v>
      </c>
    </row>
    <row r="1349" spans="1:8">
      <c r="A1349" s="91" t="s">
        <v>10250</v>
      </c>
      <c r="B1349" s="134" t="s">
        <v>10251</v>
      </c>
      <c r="C1349" s="91" t="s">
        <v>8</v>
      </c>
      <c r="D1349" s="133" t="s">
        <v>1132</v>
      </c>
      <c r="E1349" s="133" t="s">
        <v>10216</v>
      </c>
      <c r="F1349" s="91" t="s">
        <v>284</v>
      </c>
      <c r="G1349" s="91" t="s">
        <v>10252</v>
      </c>
      <c r="H1349" s="133" t="s">
        <v>10218</v>
      </c>
    </row>
    <row r="1350" spans="1:8">
      <c r="A1350" s="91" t="s">
        <v>10253</v>
      </c>
      <c r="B1350" s="134" t="s">
        <v>10254</v>
      </c>
      <c r="C1350" s="91" t="s">
        <v>8</v>
      </c>
      <c r="D1350" s="133" t="s">
        <v>1132</v>
      </c>
      <c r="E1350" s="133" t="s">
        <v>10216</v>
      </c>
      <c r="F1350" s="91" t="s">
        <v>284</v>
      </c>
      <c r="G1350" s="91" t="s">
        <v>10242</v>
      </c>
      <c r="H1350" s="133" t="s">
        <v>10218</v>
      </c>
    </row>
    <row r="1351" spans="1:8">
      <c r="A1351" s="91" t="s">
        <v>7313</v>
      </c>
      <c r="B1351" s="134" t="s">
        <v>7314</v>
      </c>
      <c r="C1351" s="91" t="s">
        <v>8</v>
      </c>
      <c r="D1351" s="133" t="s">
        <v>1132</v>
      </c>
      <c r="E1351" s="133" t="s">
        <v>10216</v>
      </c>
      <c r="F1351" s="91" t="s">
        <v>109</v>
      </c>
      <c r="G1351" s="91" t="s">
        <v>10225</v>
      </c>
      <c r="H1351" s="133" t="s">
        <v>10218</v>
      </c>
    </row>
    <row r="1352" spans="1:8">
      <c r="A1352" s="91" t="s">
        <v>10255</v>
      </c>
      <c r="B1352" s="134" t="s">
        <v>10256</v>
      </c>
      <c r="C1352" s="91" t="s">
        <v>8</v>
      </c>
      <c r="D1352" s="133" t="s">
        <v>1132</v>
      </c>
      <c r="E1352" s="133" t="s">
        <v>10216</v>
      </c>
      <c r="F1352" s="91" t="s">
        <v>284</v>
      </c>
      <c r="G1352" s="91" t="s">
        <v>10242</v>
      </c>
      <c r="H1352" s="133" t="s">
        <v>10218</v>
      </c>
    </row>
    <row r="1353" spans="1:8">
      <c r="A1353" s="91" t="s">
        <v>10257</v>
      </c>
      <c r="B1353" s="134" t="s">
        <v>10258</v>
      </c>
      <c r="C1353" s="91" t="s">
        <v>8</v>
      </c>
      <c r="D1353" s="133" t="s">
        <v>1132</v>
      </c>
      <c r="E1353" s="133" t="s">
        <v>10216</v>
      </c>
      <c r="F1353" s="91" t="s">
        <v>284</v>
      </c>
      <c r="G1353" s="91" t="s">
        <v>10242</v>
      </c>
      <c r="H1353" s="133" t="s">
        <v>10218</v>
      </c>
    </row>
    <row r="1354" spans="1:8">
      <c r="A1354" s="91" t="s">
        <v>10259</v>
      </c>
      <c r="B1354" s="134" t="s">
        <v>10260</v>
      </c>
      <c r="C1354" s="91" t="s">
        <v>8</v>
      </c>
      <c r="D1354" s="133" t="s">
        <v>1132</v>
      </c>
      <c r="E1354" s="133" t="s">
        <v>10216</v>
      </c>
      <c r="F1354" s="91" t="s">
        <v>65</v>
      </c>
      <c r="G1354" s="91" t="s">
        <v>10242</v>
      </c>
      <c r="H1354" s="133" t="s">
        <v>10218</v>
      </c>
    </row>
    <row r="1355" spans="1:8">
      <c r="A1355" s="91" t="s">
        <v>10261</v>
      </c>
      <c r="B1355" s="134" t="s">
        <v>10262</v>
      </c>
      <c r="C1355" s="91" t="s">
        <v>8</v>
      </c>
      <c r="D1355" s="133" t="s">
        <v>10263</v>
      </c>
      <c r="E1355" s="133" t="s">
        <v>10216</v>
      </c>
      <c r="F1355" s="91" t="s">
        <v>284</v>
      </c>
      <c r="G1355" s="91" t="s">
        <v>10242</v>
      </c>
      <c r="H1355" s="133" t="s">
        <v>10218</v>
      </c>
    </row>
    <row r="1356" spans="1:8">
      <c r="A1356" s="91" t="s">
        <v>10264</v>
      </c>
      <c r="B1356" s="134" t="s">
        <v>10265</v>
      </c>
      <c r="C1356" s="91" t="s">
        <v>8</v>
      </c>
      <c r="D1356" s="133" t="s">
        <v>10263</v>
      </c>
      <c r="E1356" s="133" t="s">
        <v>10216</v>
      </c>
      <c r="F1356" s="91" t="s">
        <v>284</v>
      </c>
      <c r="G1356" s="91" t="s">
        <v>10242</v>
      </c>
      <c r="H1356" s="133" t="s">
        <v>10218</v>
      </c>
    </row>
    <row r="1357" spans="1:8">
      <c r="A1357" s="91" t="s">
        <v>10266</v>
      </c>
      <c r="B1357" s="134" t="s">
        <v>10267</v>
      </c>
      <c r="C1357" s="91" t="s">
        <v>8</v>
      </c>
      <c r="D1357" s="133" t="s">
        <v>10263</v>
      </c>
      <c r="E1357" s="133" t="s">
        <v>10216</v>
      </c>
      <c r="F1357" s="91" t="s">
        <v>284</v>
      </c>
      <c r="G1357" s="91" t="s">
        <v>10242</v>
      </c>
      <c r="H1357" s="133" t="s">
        <v>10218</v>
      </c>
    </row>
    <row r="1358" spans="1:8">
      <c r="A1358" s="91" t="s">
        <v>10268</v>
      </c>
      <c r="B1358" s="134" t="s">
        <v>10269</v>
      </c>
      <c r="C1358" s="91" t="s">
        <v>8</v>
      </c>
      <c r="D1358" s="133" t="s">
        <v>10263</v>
      </c>
      <c r="E1358" s="133" t="s">
        <v>10216</v>
      </c>
      <c r="F1358" s="91" t="s">
        <v>284</v>
      </c>
      <c r="G1358" s="91" t="s">
        <v>10228</v>
      </c>
      <c r="H1358" s="133" t="s">
        <v>10218</v>
      </c>
    </row>
    <row r="1359" spans="1:8">
      <c r="A1359" s="91" t="s">
        <v>10270</v>
      </c>
      <c r="B1359" s="134" t="s">
        <v>10271</v>
      </c>
      <c r="C1359" s="91" t="s">
        <v>8</v>
      </c>
      <c r="D1359" s="133" t="s">
        <v>10263</v>
      </c>
      <c r="E1359" s="133" t="s">
        <v>10216</v>
      </c>
      <c r="F1359" s="91" t="s">
        <v>109</v>
      </c>
      <c r="G1359" s="91" t="s">
        <v>10231</v>
      </c>
      <c r="H1359" s="133" t="s">
        <v>10218</v>
      </c>
    </row>
    <row r="1360" spans="1:8">
      <c r="A1360" s="91" t="s">
        <v>10272</v>
      </c>
      <c r="B1360" s="134" t="s">
        <v>10273</v>
      </c>
      <c r="C1360" s="91" t="s">
        <v>8</v>
      </c>
      <c r="D1360" s="133" t="s">
        <v>10263</v>
      </c>
      <c r="E1360" s="133" t="s">
        <v>10216</v>
      </c>
      <c r="F1360" s="91" t="s">
        <v>284</v>
      </c>
      <c r="G1360" s="91" t="s">
        <v>10274</v>
      </c>
      <c r="H1360" s="133" t="s">
        <v>10218</v>
      </c>
    </row>
    <row r="1361" spans="1:8">
      <c r="A1361" s="91" t="s">
        <v>10275</v>
      </c>
      <c r="B1361" s="134" t="s">
        <v>10276</v>
      </c>
      <c r="C1361" s="91" t="s">
        <v>8</v>
      </c>
      <c r="D1361" s="133" t="s">
        <v>10263</v>
      </c>
      <c r="E1361" s="133" t="s">
        <v>10216</v>
      </c>
      <c r="F1361" s="91" t="s">
        <v>284</v>
      </c>
      <c r="G1361" s="91" t="s">
        <v>10231</v>
      </c>
      <c r="H1361" s="133" t="s">
        <v>10218</v>
      </c>
    </row>
    <row r="1362" spans="1:8">
      <c r="A1362" s="91" t="s">
        <v>10277</v>
      </c>
      <c r="B1362" s="134" t="s">
        <v>10278</v>
      </c>
      <c r="C1362" s="91" t="s">
        <v>8</v>
      </c>
      <c r="D1362" s="133" t="s">
        <v>10263</v>
      </c>
      <c r="E1362" s="133" t="s">
        <v>10216</v>
      </c>
      <c r="F1362" s="91" t="s">
        <v>284</v>
      </c>
      <c r="G1362" s="91" t="s">
        <v>10239</v>
      </c>
      <c r="H1362" s="133" t="s">
        <v>10218</v>
      </c>
    </row>
    <row r="1363" spans="1:8">
      <c r="A1363" s="91" t="s">
        <v>10279</v>
      </c>
      <c r="B1363" s="134" t="s">
        <v>10280</v>
      </c>
      <c r="C1363" s="91" t="s">
        <v>8</v>
      </c>
      <c r="D1363" s="133" t="s">
        <v>10263</v>
      </c>
      <c r="E1363" s="133" t="s">
        <v>10216</v>
      </c>
      <c r="F1363" s="91" t="s">
        <v>284</v>
      </c>
      <c r="G1363" s="91" t="s">
        <v>10245</v>
      </c>
      <c r="H1363" s="133" t="s">
        <v>10218</v>
      </c>
    </row>
    <row r="1364" spans="1:8">
      <c r="A1364" s="91" t="s">
        <v>10281</v>
      </c>
      <c r="B1364" s="134" t="s">
        <v>10282</v>
      </c>
      <c r="C1364" s="91" t="s">
        <v>8</v>
      </c>
      <c r="D1364" s="133" t="s">
        <v>10263</v>
      </c>
      <c r="E1364" s="133" t="s">
        <v>10216</v>
      </c>
      <c r="F1364" s="91" t="s">
        <v>65</v>
      </c>
      <c r="G1364" s="91" t="s">
        <v>10225</v>
      </c>
      <c r="H1364" s="133" t="s">
        <v>10218</v>
      </c>
    </row>
    <row r="1365" spans="1:8">
      <c r="A1365" s="91" t="s">
        <v>10283</v>
      </c>
      <c r="B1365" s="134" t="s">
        <v>10071</v>
      </c>
      <c r="C1365" s="91" t="s">
        <v>8</v>
      </c>
      <c r="D1365" s="133" t="s">
        <v>10263</v>
      </c>
      <c r="E1365" s="133" t="s">
        <v>10216</v>
      </c>
      <c r="F1365" s="91" t="s">
        <v>284</v>
      </c>
      <c r="G1365" s="91" t="s">
        <v>10252</v>
      </c>
      <c r="H1365" s="133" t="s">
        <v>10218</v>
      </c>
    </row>
    <row r="1366" spans="1:8">
      <c r="A1366" s="91" t="s">
        <v>10284</v>
      </c>
      <c r="B1366" s="134" t="s">
        <v>10285</v>
      </c>
      <c r="C1366" s="91" t="s">
        <v>8</v>
      </c>
      <c r="D1366" s="133" t="s">
        <v>10263</v>
      </c>
      <c r="E1366" s="133" t="s">
        <v>10216</v>
      </c>
      <c r="F1366" s="91" t="s">
        <v>284</v>
      </c>
      <c r="G1366" s="91" t="s">
        <v>10239</v>
      </c>
      <c r="H1366" s="133" t="s">
        <v>10218</v>
      </c>
    </row>
    <row r="1367" spans="1:8">
      <c r="A1367" s="91" t="s">
        <v>10286</v>
      </c>
      <c r="B1367" s="134" t="s">
        <v>9414</v>
      </c>
      <c r="C1367" s="91" t="s">
        <v>8</v>
      </c>
      <c r="D1367" s="133" t="s">
        <v>9026</v>
      </c>
      <c r="E1367" s="133" t="s">
        <v>10216</v>
      </c>
      <c r="F1367" s="91" t="s">
        <v>284</v>
      </c>
      <c r="G1367" s="91" t="s">
        <v>10217</v>
      </c>
      <c r="H1367" s="133" t="s">
        <v>10218</v>
      </c>
    </row>
    <row r="1368" spans="1:8">
      <c r="A1368" s="91" t="s">
        <v>10287</v>
      </c>
      <c r="B1368" s="134" t="s">
        <v>10288</v>
      </c>
      <c r="C1368" s="91" t="s">
        <v>8</v>
      </c>
      <c r="D1368" s="133" t="s">
        <v>10289</v>
      </c>
      <c r="E1368" s="133" t="s">
        <v>10216</v>
      </c>
      <c r="F1368" s="91" t="s">
        <v>284</v>
      </c>
      <c r="G1368" s="91" t="s">
        <v>10217</v>
      </c>
      <c r="H1368" s="133" t="s">
        <v>10218</v>
      </c>
    </row>
    <row r="1369" spans="1:8">
      <c r="A1369" s="91" t="s">
        <v>10290</v>
      </c>
      <c r="B1369" s="134" t="s">
        <v>10291</v>
      </c>
      <c r="C1369" s="91" t="s">
        <v>8</v>
      </c>
      <c r="D1369" s="133" t="s">
        <v>10292</v>
      </c>
      <c r="E1369" s="133" t="s">
        <v>10216</v>
      </c>
      <c r="F1369" s="91" t="s">
        <v>284</v>
      </c>
      <c r="G1369" s="91" t="s">
        <v>10217</v>
      </c>
      <c r="H1369" s="133" t="s">
        <v>10218</v>
      </c>
    </row>
    <row r="1370" spans="1:8">
      <c r="A1370" s="91" t="s">
        <v>10293</v>
      </c>
      <c r="B1370" s="134" t="s">
        <v>10294</v>
      </c>
      <c r="C1370" s="91" t="s">
        <v>8</v>
      </c>
      <c r="D1370" s="133" t="s">
        <v>10295</v>
      </c>
      <c r="E1370" s="133" t="s">
        <v>10216</v>
      </c>
      <c r="F1370" s="91" t="s">
        <v>284</v>
      </c>
      <c r="G1370" s="91" t="s">
        <v>10217</v>
      </c>
      <c r="H1370" s="133" t="s">
        <v>10218</v>
      </c>
    </row>
    <row r="1371" spans="1:8">
      <c r="A1371" s="91" t="s">
        <v>10296</v>
      </c>
      <c r="B1371" s="134" t="s">
        <v>10297</v>
      </c>
      <c r="C1371" s="91" t="s">
        <v>8</v>
      </c>
      <c r="D1371" s="133" t="s">
        <v>10298</v>
      </c>
      <c r="E1371" s="133" t="s">
        <v>10216</v>
      </c>
      <c r="F1371" s="91" t="s">
        <v>65</v>
      </c>
      <c r="G1371" s="91" t="s">
        <v>10242</v>
      </c>
      <c r="H1371" s="133" t="s">
        <v>10218</v>
      </c>
    </row>
    <row r="1372" spans="1:8">
      <c r="A1372" s="91" t="s">
        <v>10299</v>
      </c>
      <c r="B1372" s="134" t="s">
        <v>10300</v>
      </c>
      <c r="C1372" s="91" t="s">
        <v>8</v>
      </c>
      <c r="D1372" s="133" t="s">
        <v>10298</v>
      </c>
      <c r="E1372" s="133" t="s">
        <v>10216</v>
      </c>
      <c r="F1372" s="91" t="s">
        <v>284</v>
      </c>
      <c r="G1372" s="91" t="s">
        <v>10225</v>
      </c>
      <c r="H1372" s="133" t="s">
        <v>10218</v>
      </c>
    </row>
    <row r="1373" spans="1:8">
      <c r="A1373" s="91" t="s">
        <v>10301</v>
      </c>
      <c r="B1373" s="134" t="s">
        <v>10302</v>
      </c>
      <c r="C1373" s="91" t="s">
        <v>8</v>
      </c>
      <c r="D1373" s="133" t="s">
        <v>10298</v>
      </c>
      <c r="E1373" s="133" t="s">
        <v>10216</v>
      </c>
      <c r="F1373" s="91" t="s">
        <v>120</v>
      </c>
      <c r="G1373" s="91" t="s">
        <v>10228</v>
      </c>
      <c r="H1373" s="133" t="s">
        <v>10218</v>
      </c>
    </row>
    <row r="1374" spans="1:8">
      <c r="A1374" s="91" t="s">
        <v>10303</v>
      </c>
      <c r="B1374" s="134" t="s">
        <v>10304</v>
      </c>
      <c r="C1374" s="91" t="s">
        <v>8</v>
      </c>
      <c r="D1374" s="133" t="s">
        <v>10298</v>
      </c>
      <c r="E1374" s="133" t="s">
        <v>10216</v>
      </c>
      <c r="F1374" s="91" t="s">
        <v>2493</v>
      </c>
      <c r="G1374" s="91" t="s">
        <v>10231</v>
      </c>
      <c r="H1374" s="133" t="s">
        <v>10218</v>
      </c>
    </row>
    <row r="1375" spans="1:8">
      <c r="A1375" s="91" t="s">
        <v>10305</v>
      </c>
      <c r="B1375" s="134" t="s">
        <v>10306</v>
      </c>
      <c r="C1375" s="91" t="s">
        <v>8</v>
      </c>
      <c r="D1375" s="133" t="s">
        <v>1047</v>
      </c>
      <c r="E1375" s="133" t="s">
        <v>10216</v>
      </c>
      <c r="F1375" s="91" t="s">
        <v>284</v>
      </c>
      <c r="G1375" s="91" t="s">
        <v>10232</v>
      </c>
      <c r="H1375" s="133" t="s">
        <v>10218</v>
      </c>
    </row>
    <row r="1376" spans="1:8">
      <c r="A1376" s="91" t="s">
        <v>10307</v>
      </c>
      <c r="B1376" s="134" t="s">
        <v>10308</v>
      </c>
      <c r="C1376" s="91" t="s">
        <v>8</v>
      </c>
      <c r="D1376" s="133" t="s">
        <v>1047</v>
      </c>
      <c r="E1376" s="133" t="s">
        <v>10216</v>
      </c>
      <c r="F1376" s="91" t="s">
        <v>284</v>
      </c>
      <c r="G1376" s="91" t="s">
        <v>10231</v>
      </c>
      <c r="H1376" s="133" t="s">
        <v>10218</v>
      </c>
    </row>
    <row r="1377" spans="1:8">
      <c r="A1377" s="91" t="s">
        <v>10309</v>
      </c>
      <c r="B1377" s="134" t="s">
        <v>10310</v>
      </c>
      <c r="C1377" s="91" t="s">
        <v>8</v>
      </c>
      <c r="D1377" s="133" t="s">
        <v>1047</v>
      </c>
      <c r="E1377" s="133" t="s">
        <v>10216</v>
      </c>
      <c r="F1377" s="91" t="s">
        <v>120</v>
      </c>
      <c r="G1377" s="91" t="s">
        <v>10242</v>
      </c>
      <c r="H1377" s="133" t="s">
        <v>10218</v>
      </c>
    </row>
    <row r="1378" spans="1:8">
      <c r="A1378" s="91" t="s">
        <v>10311</v>
      </c>
      <c r="B1378" s="134" t="s">
        <v>10312</v>
      </c>
      <c r="C1378" s="91" t="s">
        <v>8</v>
      </c>
      <c r="D1378" s="133" t="s">
        <v>1047</v>
      </c>
      <c r="E1378" s="133" t="s">
        <v>10216</v>
      </c>
      <c r="F1378" s="91" t="s">
        <v>284</v>
      </c>
      <c r="G1378" s="91" t="s">
        <v>10252</v>
      </c>
      <c r="H1378" s="133" t="s">
        <v>10218</v>
      </c>
    </row>
    <row r="1379" spans="1:8">
      <c r="A1379" s="91" t="s">
        <v>10313</v>
      </c>
      <c r="B1379" s="134" t="s">
        <v>10314</v>
      </c>
      <c r="C1379" s="91" t="s">
        <v>8</v>
      </c>
      <c r="D1379" s="133" t="s">
        <v>1047</v>
      </c>
      <c r="E1379" s="133" t="s">
        <v>10216</v>
      </c>
      <c r="F1379" s="91" t="s">
        <v>284</v>
      </c>
      <c r="G1379" s="91" t="s">
        <v>10228</v>
      </c>
      <c r="H1379" s="133" t="s">
        <v>10218</v>
      </c>
    </row>
    <row r="1380" spans="1:8">
      <c r="A1380" s="91" t="s">
        <v>10315</v>
      </c>
      <c r="B1380" s="134" t="s">
        <v>945</v>
      </c>
      <c r="C1380" s="91" t="s">
        <v>8</v>
      </c>
      <c r="D1380" s="133" t="s">
        <v>1047</v>
      </c>
      <c r="E1380" s="133" t="s">
        <v>10216</v>
      </c>
      <c r="F1380" s="91" t="s">
        <v>284</v>
      </c>
      <c r="G1380" s="91" t="s">
        <v>10239</v>
      </c>
      <c r="H1380" s="133" t="s">
        <v>10218</v>
      </c>
    </row>
    <row r="1381" spans="1:8">
      <c r="A1381" s="91" t="s">
        <v>10316</v>
      </c>
      <c r="B1381" s="134" t="s">
        <v>10317</v>
      </c>
      <c r="C1381" s="91" t="s">
        <v>8</v>
      </c>
      <c r="D1381" s="133" t="s">
        <v>1047</v>
      </c>
      <c r="E1381" s="133" t="s">
        <v>10216</v>
      </c>
      <c r="F1381" s="91" t="s">
        <v>65</v>
      </c>
      <c r="G1381" s="91" t="s">
        <v>10318</v>
      </c>
      <c r="H1381" s="133" t="s">
        <v>10218</v>
      </c>
    </row>
    <row r="1382" spans="1:8">
      <c r="A1382" s="91" t="s">
        <v>10319</v>
      </c>
      <c r="B1382" s="134" t="s">
        <v>10320</v>
      </c>
      <c r="C1382" s="91" t="s">
        <v>8</v>
      </c>
      <c r="D1382" s="133" t="s">
        <v>1047</v>
      </c>
      <c r="E1382" s="133" t="s">
        <v>10216</v>
      </c>
      <c r="F1382" s="91" t="s">
        <v>284</v>
      </c>
      <c r="G1382" s="91" t="s">
        <v>10239</v>
      </c>
      <c r="H1382" s="133" t="s">
        <v>10218</v>
      </c>
    </row>
    <row r="1383" spans="1:8">
      <c r="A1383" s="91" t="s">
        <v>10321</v>
      </c>
      <c r="B1383" s="134" t="s">
        <v>10322</v>
      </c>
      <c r="C1383" s="91" t="s">
        <v>8</v>
      </c>
      <c r="D1383" s="133" t="s">
        <v>1047</v>
      </c>
      <c r="E1383" s="133" t="s">
        <v>10216</v>
      </c>
      <c r="F1383" s="91" t="s">
        <v>284</v>
      </c>
      <c r="G1383" s="91" t="s">
        <v>10245</v>
      </c>
      <c r="H1383" s="133" t="s">
        <v>10218</v>
      </c>
    </row>
    <row r="1384" spans="1:8">
      <c r="A1384" s="91" t="s">
        <v>10323</v>
      </c>
      <c r="B1384" s="134" t="s">
        <v>10324</v>
      </c>
      <c r="C1384" s="91" t="s">
        <v>8</v>
      </c>
      <c r="D1384" s="133" t="s">
        <v>1047</v>
      </c>
      <c r="E1384" s="133" t="s">
        <v>10216</v>
      </c>
      <c r="F1384" s="91" t="s">
        <v>2493</v>
      </c>
      <c r="G1384" s="91" t="s">
        <v>10231</v>
      </c>
      <c r="H1384" s="133" t="s">
        <v>10218</v>
      </c>
    </row>
    <row r="1385" spans="1:8">
      <c r="A1385" s="91" t="s">
        <v>10325</v>
      </c>
      <c r="B1385" s="134" t="s">
        <v>10098</v>
      </c>
      <c r="C1385" s="91" t="s">
        <v>8</v>
      </c>
      <c r="D1385" s="133" t="s">
        <v>1047</v>
      </c>
      <c r="E1385" s="133" t="s">
        <v>10216</v>
      </c>
      <c r="F1385" s="91" t="s">
        <v>65</v>
      </c>
      <c r="G1385" s="91" t="s">
        <v>10225</v>
      </c>
      <c r="H1385" s="133" t="s">
        <v>10218</v>
      </c>
    </row>
    <row r="1386" spans="1:8">
      <c r="A1386" s="91" t="s">
        <v>10326</v>
      </c>
      <c r="B1386" s="134" t="s">
        <v>10327</v>
      </c>
      <c r="C1386" s="91" t="s">
        <v>8</v>
      </c>
      <c r="D1386" s="133" t="s">
        <v>2076</v>
      </c>
      <c r="E1386" s="133" t="s">
        <v>10216</v>
      </c>
      <c r="F1386" s="91" t="s">
        <v>284</v>
      </c>
      <c r="G1386" s="91" t="s">
        <v>10239</v>
      </c>
      <c r="H1386" s="133" t="s">
        <v>10218</v>
      </c>
    </row>
    <row r="1387" spans="1:8">
      <c r="A1387" s="91" t="s">
        <v>10328</v>
      </c>
      <c r="B1387" s="134" t="s">
        <v>10329</v>
      </c>
      <c r="C1387" s="91" t="s">
        <v>8</v>
      </c>
      <c r="D1387" s="133" t="s">
        <v>2076</v>
      </c>
      <c r="E1387" s="133" t="s">
        <v>10216</v>
      </c>
      <c r="F1387" s="91" t="s">
        <v>284</v>
      </c>
      <c r="G1387" s="91" t="s">
        <v>10242</v>
      </c>
      <c r="H1387" s="133" t="s">
        <v>10218</v>
      </c>
    </row>
    <row r="1388" spans="1:8">
      <c r="A1388" s="91" t="s">
        <v>10330</v>
      </c>
      <c r="B1388" s="134" t="s">
        <v>10331</v>
      </c>
      <c r="C1388" s="91" t="s">
        <v>8</v>
      </c>
      <c r="D1388" s="133" t="s">
        <v>2076</v>
      </c>
      <c r="E1388" s="133" t="s">
        <v>10216</v>
      </c>
      <c r="F1388" s="91" t="s">
        <v>284</v>
      </c>
      <c r="G1388" s="91" t="s">
        <v>10228</v>
      </c>
      <c r="H1388" s="133" t="s">
        <v>10218</v>
      </c>
    </row>
    <row r="1389" spans="1:8">
      <c r="A1389" s="91" t="s">
        <v>10332</v>
      </c>
      <c r="B1389" s="134" t="s">
        <v>10333</v>
      </c>
      <c r="C1389" s="91" t="s">
        <v>8</v>
      </c>
      <c r="D1389" s="133" t="s">
        <v>2076</v>
      </c>
      <c r="E1389" s="133" t="s">
        <v>10216</v>
      </c>
      <c r="F1389" s="91" t="s">
        <v>109</v>
      </c>
      <c r="G1389" s="91" t="s">
        <v>10239</v>
      </c>
      <c r="H1389" s="133" t="s">
        <v>10218</v>
      </c>
    </row>
    <row r="1390" spans="1:8">
      <c r="A1390" s="91" t="s">
        <v>10334</v>
      </c>
      <c r="B1390" s="134" t="s">
        <v>10335</v>
      </c>
      <c r="C1390" s="91" t="s">
        <v>8</v>
      </c>
      <c r="D1390" s="133" t="s">
        <v>2076</v>
      </c>
      <c r="E1390" s="133" t="s">
        <v>10216</v>
      </c>
      <c r="F1390" s="91" t="s">
        <v>284</v>
      </c>
      <c r="G1390" s="91" t="s">
        <v>10228</v>
      </c>
      <c r="H1390" s="133" t="s">
        <v>10218</v>
      </c>
    </row>
    <row r="1391" spans="1:8">
      <c r="A1391" s="91" t="s">
        <v>10336</v>
      </c>
      <c r="B1391" s="134" t="s">
        <v>9282</v>
      </c>
      <c r="C1391" s="91" t="s">
        <v>8</v>
      </c>
      <c r="D1391" s="133" t="s">
        <v>2076</v>
      </c>
      <c r="E1391" s="133" t="s">
        <v>10216</v>
      </c>
      <c r="F1391" s="91" t="s">
        <v>65</v>
      </c>
      <c r="G1391" s="91" t="s">
        <v>10231</v>
      </c>
      <c r="H1391" s="133" t="s">
        <v>10218</v>
      </c>
    </row>
    <row r="1392" spans="1:8">
      <c r="A1392" s="91" t="s">
        <v>10337</v>
      </c>
      <c r="B1392" s="134" t="s">
        <v>10338</v>
      </c>
      <c r="C1392" s="91" t="s">
        <v>8</v>
      </c>
      <c r="D1392" s="133" t="s">
        <v>2076</v>
      </c>
      <c r="E1392" s="133" t="s">
        <v>10216</v>
      </c>
      <c r="F1392" s="91" t="s">
        <v>284</v>
      </c>
      <c r="G1392" s="91" t="s">
        <v>10232</v>
      </c>
      <c r="H1392" s="133" t="s">
        <v>10218</v>
      </c>
    </row>
    <row r="1393" spans="1:8">
      <c r="A1393" s="91" t="s">
        <v>2734</v>
      </c>
      <c r="B1393" s="134" t="s">
        <v>2735</v>
      </c>
      <c r="C1393" s="91" t="s">
        <v>8</v>
      </c>
      <c r="D1393" s="133" t="s">
        <v>2076</v>
      </c>
      <c r="E1393" s="133" t="s">
        <v>10216</v>
      </c>
      <c r="F1393" s="91" t="s">
        <v>65</v>
      </c>
      <c r="G1393" s="91" t="s">
        <v>10318</v>
      </c>
      <c r="H1393" s="133" t="s">
        <v>10218</v>
      </c>
    </row>
    <row r="1394" spans="1:8">
      <c r="A1394" s="91" t="s">
        <v>10339</v>
      </c>
      <c r="B1394" s="134" t="s">
        <v>10340</v>
      </c>
      <c r="C1394" s="91" t="s">
        <v>8</v>
      </c>
      <c r="D1394" s="133" t="s">
        <v>2076</v>
      </c>
      <c r="E1394" s="133" t="s">
        <v>10216</v>
      </c>
      <c r="F1394" s="91" t="s">
        <v>65</v>
      </c>
      <c r="G1394" s="91" t="s">
        <v>10231</v>
      </c>
      <c r="H1394" s="133" t="s">
        <v>10218</v>
      </c>
    </row>
    <row r="1395" spans="1:8">
      <c r="A1395" s="91" t="s">
        <v>10341</v>
      </c>
      <c r="B1395" s="134" t="s">
        <v>10342</v>
      </c>
      <c r="C1395" s="91" t="s">
        <v>8</v>
      </c>
      <c r="D1395" s="133" t="s">
        <v>2076</v>
      </c>
      <c r="E1395" s="133" t="s">
        <v>10216</v>
      </c>
      <c r="F1395" s="91" t="s">
        <v>284</v>
      </c>
      <c r="G1395" s="91" t="s">
        <v>10252</v>
      </c>
      <c r="H1395" s="133" t="s">
        <v>10218</v>
      </c>
    </row>
    <row r="1396" spans="1:8">
      <c r="A1396" s="91" t="s">
        <v>10343</v>
      </c>
      <c r="B1396" s="134" t="s">
        <v>10344</v>
      </c>
      <c r="C1396" s="91" t="s">
        <v>8</v>
      </c>
      <c r="D1396" s="133" t="s">
        <v>2076</v>
      </c>
      <c r="E1396" s="133" t="s">
        <v>10216</v>
      </c>
      <c r="F1396" s="91" t="s">
        <v>120</v>
      </c>
      <c r="G1396" s="91" t="s">
        <v>10239</v>
      </c>
      <c r="H1396" s="133" t="s">
        <v>10218</v>
      </c>
    </row>
    <row r="1397" spans="1:8">
      <c r="A1397" s="91" t="s">
        <v>10345</v>
      </c>
      <c r="B1397" s="134" t="s">
        <v>10346</v>
      </c>
      <c r="C1397" s="91" t="s">
        <v>8</v>
      </c>
      <c r="D1397" s="133" t="s">
        <v>2076</v>
      </c>
      <c r="E1397" s="133" t="s">
        <v>10216</v>
      </c>
      <c r="F1397" s="91" t="s">
        <v>284</v>
      </c>
      <c r="G1397" s="91" t="s">
        <v>10239</v>
      </c>
      <c r="H1397" s="133" t="s">
        <v>10218</v>
      </c>
    </row>
    <row r="1398" spans="1:8">
      <c r="A1398" s="91" t="s">
        <v>10347</v>
      </c>
      <c r="B1398" s="134" t="s">
        <v>3511</v>
      </c>
      <c r="C1398" s="91" t="s">
        <v>8</v>
      </c>
      <c r="D1398" s="133" t="s">
        <v>10348</v>
      </c>
      <c r="E1398" s="133" t="s">
        <v>10216</v>
      </c>
      <c r="F1398" s="91" t="s">
        <v>284</v>
      </c>
      <c r="G1398" s="91" t="s">
        <v>10217</v>
      </c>
      <c r="H1398" s="133" t="s">
        <v>10218</v>
      </c>
    </row>
    <row r="1399" spans="1:8">
      <c r="A1399" s="91" t="s">
        <v>10349</v>
      </c>
      <c r="B1399" s="134" t="s">
        <v>10350</v>
      </c>
      <c r="C1399" s="91" t="s">
        <v>8</v>
      </c>
      <c r="D1399" s="133" t="s">
        <v>10351</v>
      </c>
      <c r="E1399" s="133" t="s">
        <v>10216</v>
      </c>
      <c r="F1399" s="91" t="s">
        <v>284</v>
      </c>
      <c r="G1399" s="91" t="s">
        <v>10222</v>
      </c>
      <c r="H1399" s="133" t="s">
        <v>10218</v>
      </c>
    </row>
    <row r="1400" spans="1:8">
      <c r="A1400" s="91" t="s">
        <v>10352</v>
      </c>
      <c r="B1400" s="134" t="s">
        <v>10353</v>
      </c>
      <c r="C1400" s="91" t="s">
        <v>8</v>
      </c>
      <c r="D1400" s="133" t="s">
        <v>10354</v>
      </c>
      <c r="E1400" s="133" t="s">
        <v>10216</v>
      </c>
      <c r="F1400" s="91" t="s">
        <v>284</v>
      </c>
      <c r="G1400" s="91" t="s">
        <v>10222</v>
      </c>
      <c r="H1400" s="133" t="s">
        <v>10218</v>
      </c>
    </row>
    <row r="1401" spans="1:8">
      <c r="A1401" s="91" t="s">
        <v>10355</v>
      </c>
      <c r="B1401" s="134" t="s">
        <v>8874</v>
      </c>
      <c r="C1401" s="91" t="s">
        <v>8</v>
      </c>
      <c r="D1401" s="133" t="s">
        <v>10356</v>
      </c>
      <c r="E1401" s="133" t="s">
        <v>10216</v>
      </c>
      <c r="F1401" s="91" t="s">
        <v>284</v>
      </c>
      <c r="G1401" s="91" t="s">
        <v>10217</v>
      </c>
      <c r="H1401" s="133" t="s">
        <v>10218</v>
      </c>
    </row>
    <row r="1402" spans="1:8">
      <c r="A1402" s="91" t="s">
        <v>10357</v>
      </c>
      <c r="B1402" s="134" t="s">
        <v>10358</v>
      </c>
      <c r="C1402" s="91" t="s">
        <v>8</v>
      </c>
      <c r="D1402" s="133" t="s">
        <v>10356</v>
      </c>
      <c r="E1402" s="133" t="s">
        <v>10216</v>
      </c>
      <c r="F1402" s="91" t="s">
        <v>284</v>
      </c>
      <c r="G1402" s="91" t="s">
        <v>10217</v>
      </c>
      <c r="H1402" s="133" t="s">
        <v>10218</v>
      </c>
    </row>
    <row r="1403" spans="1:8">
      <c r="A1403" s="91" t="s">
        <v>10359</v>
      </c>
      <c r="B1403" s="134" t="s">
        <v>8807</v>
      </c>
      <c r="C1403" s="91" t="s">
        <v>8</v>
      </c>
      <c r="D1403" s="133" t="s">
        <v>10356</v>
      </c>
      <c r="E1403" s="133" t="s">
        <v>10216</v>
      </c>
      <c r="F1403" s="91" t="s">
        <v>284</v>
      </c>
      <c r="G1403" s="91" t="s">
        <v>10217</v>
      </c>
      <c r="H1403" s="133" t="s">
        <v>10218</v>
      </c>
    </row>
    <row r="1404" spans="1:8">
      <c r="A1404" s="91" t="s">
        <v>10360</v>
      </c>
      <c r="B1404" s="134" t="s">
        <v>10361</v>
      </c>
      <c r="C1404" s="91" t="s">
        <v>8</v>
      </c>
      <c r="D1404" s="133" t="s">
        <v>10356</v>
      </c>
      <c r="E1404" s="133" t="s">
        <v>10216</v>
      </c>
      <c r="F1404" s="91" t="s">
        <v>284</v>
      </c>
      <c r="G1404" s="91" t="s">
        <v>10217</v>
      </c>
      <c r="H1404" s="133" t="s">
        <v>10218</v>
      </c>
    </row>
    <row r="1405" spans="1:8">
      <c r="A1405" s="91" t="s">
        <v>10362</v>
      </c>
      <c r="B1405" s="134" t="s">
        <v>10363</v>
      </c>
      <c r="C1405" s="91" t="s">
        <v>8</v>
      </c>
      <c r="D1405" s="133" t="s">
        <v>10356</v>
      </c>
      <c r="E1405" s="133" t="s">
        <v>10216</v>
      </c>
      <c r="F1405" s="91" t="s">
        <v>284</v>
      </c>
      <c r="G1405" s="91" t="s">
        <v>10217</v>
      </c>
      <c r="H1405" s="133" t="s">
        <v>10218</v>
      </c>
    </row>
    <row r="1406" spans="1:8">
      <c r="A1406" s="91" t="s">
        <v>10364</v>
      </c>
      <c r="B1406" s="134" t="s">
        <v>10365</v>
      </c>
      <c r="C1406" s="91" t="s">
        <v>8</v>
      </c>
      <c r="D1406" s="133" t="s">
        <v>1041</v>
      </c>
      <c r="E1406" s="133" t="s">
        <v>10216</v>
      </c>
      <c r="F1406" s="91" t="s">
        <v>65</v>
      </c>
      <c r="G1406" s="91" t="s">
        <v>10231</v>
      </c>
      <c r="H1406" s="133" t="s">
        <v>10218</v>
      </c>
    </row>
    <row r="1407" spans="1:8">
      <c r="A1407" s="91" t="s">
        <v>10366</v>
      </c>
      <c r="B1407" s="134" t="s">
        <v>10367</v>
      </c>
      <c r="C1407" s="91" t="s">
        <v>8</v>
      </c>
      <c r="D1407" s="133" t="s">
        <v>1041</v>
      </c>
      <c r="E1407" s="133" t="s">
        <v>10216</v>
      </c>
      <c r="F1407" s="91" t="s">
        <v>65</v>
      </c>
      <c r="G1407" s="91" t="s">
        <v>10232</v>
      </c>
      <c r="H1407" s="133" t="s">
        <v>10218</v>
      </c>
    </row>
    <row r="1408" spans="1:8">
      <c r="A1408" s="91" t="s">
        <v>10368</v>
      </c>
      <c r="B1408" s="134" t="s">
        <v>10369</v>
      </c>
      <c r="C1408" s="91" t="s">
        <v>8</v>
      </c>
      <c r="D1408" s="133" t="s">
        <v>1041</v>
      </c>
      <c r="E1408" s="133" t="s">
        <v>10216</v>
      </c>
      <c r="F1408" s="91" t="s">
        <v>284</v>
      </c>
      <c r="G1408" s="91" t="s">
        <v>10252</v>
      </c>
      <c r="H1408" s="133" t="s">
        <v>10218</v>
      </c>
    </row>
    <row r="1409" spans="1:8">
      <c r="A1409" s="91" t="s">
        <v>10370</v>
      </c>
      <c r="B1409" s="134" t="s">
        <v>10371</v>
      </c>
      <c r="C1409" s="91" t="s">
        <v>8</v>
      </c>
      <c r="D1409" s="133" t="s">
        <v>1041</v>
      </c>
      <c r="E1409" s="133" t="s">
        <v>10216</v>
      </c>
      <c r="F1409" s="91" t="s">
        <v>284</v>
      </c>
      <c r="G1409" s="91" t="s">
        <v>10228</v>
      </c>
      <c r="H1409" s="133" t="s">
        <v>10218</v>
      </c>
    </row>
    <row r="1410" spans="1:8">
      <c r="A1410" s="91" t="s">
        <v>10372</v>
      </c>
      <c r="B1410" s="134" t="s">
        <v>10373</v>
      </c>
      <c r="C1410" s="91" t="s">
        <v>8</v>
      </c>
      <c r="D1410" s="133" t="s">
        <v>1041</v>
      </c>
      <c r="E1410" s="133" t="s">
        <v>10216</v>
      </c>
      <c r="F1410" s="91" t="s">
        <v>65</v>
      </c>
      <c r="G1410" s="91" t="s">
        <v>10225</v>
      </c>
      <c r="H1410" s="133" t="s">
        <v>10218</v>
      </c>
    </row>
    <row r="1411" spans="1:8">
      <c r="A1411" s="91" t="s">
        <v>10374</v>
      </c>
      <c r="B1411" s="134" t="s">
        <v>10375</v>
      </c>
      <c r="C1411" s="91" t="s">
        <v>8</v>
      </c>
      <c r="D1411" s="133" t="s">
        <v>1041</v>
      </c>
      <c r="E1411" s="133" t="s">
        <v>10216</v>
      </c>
      <c r="F1411" s="91" t="s">
        <v>65</v>
      </c>
      <c r="G1411" s="91" t="s">
        <v>10225</v>
      </c>
      <c r="H1411" s="133" t="s">
        <v>10218</v>
      </c>
    </row>
    <row r="1412" spans="1:8">
      <c r="A1412" s="91" t="s">
        <v>10376</v>
      </c>
      <c r="B1412" s="134" t="s">
        <v>10377</v>
      </c>
      <c r="C1412" s="91" t="s">
        <v>8</v>
      </c>
      <c r="D1412" s="133" t="s">
        <v>1041</v>
      </c>
      <c r="E1412" s="133" t="s">
        <v>10216</v>
      </c>
      <c r="F1412" s="91" t="s">
        <v>65</v>
      </c>
      <c r="G1412" s="91" t="s">
        <v>10231</v>
      </c>
      <c r="H1412" s="133" t="s">
        <v>10218</v>
      </c>
    </row>
    <row r="1413" spans="1:8">
      <c r="A1413" s="91" t="s">
        <v>10378</v>
      </c>
      <c r="B1413" s="134" t="s">
        <v>10379</v>
      </c>
      <c r="C1413" s="91" t="s">
        <v>8</v>
      </c>
      <c r="D1413" s="133" t="s">
        <v>1041</v>
      </c>
      <c r="E1413" s="133" t="s">
        <v>10216</v>
      </c>
      <c r="F1413" s="91" t="s">
        <v>65</v>
      </c>
      <c r="G1413" s="91" t="s">
        <v>10239</v>
      </c>
      <c r="H1413" s="133" t="s">
        <v>10218</v>
      </c>
    </row>
    <row r="1414" spans="1:8">
      <c r="A1414" s="91" t="s">
        <v>10380</v>
      </c>
      <c r="B1414" s="134" t="s">
        <v>10381</v>
      </c>
      <c r="C1414" s="91" t="s">
        <v>8</v>
      </c>
      <c r="D1414" s="133" t="s">
        <v>1041</v>
      </c>
      <c r="E1414" s="133" t="s">
        <v>10216</v>
      </c>
      <c r="F1414" s="91" t="s">
        <v>284</v>
      </c>
      <c r="G1414" s="91" t="s">
        <v>10245</v>
      </c>
      <c r="H1414" s="133" t="s">
        <v>10218</v>
      </c>
    </row>
    <row r="1415" spans="1:8">
      <c r="A1415" s="91" t="s">
        <v>10382</v>
      </c>
      <c r="B1415" s="134" t="s">
        <v>10383</v>
      </c>
      <c r="C1415" s="91" t="s">
        <v>8</v>
      </c>
      <c r="D1415" s="133" t="s">
        <v>1041</v>
      </c>
      <c r="E1415" s="133" t="s">
        <v>10216</v>
      </c>
      <c r="F1415" s="91" t="s">
        <v>65</v>
      </c>
      <c r="G1415" s="91" t="s">
        <v>10242</v>
      </c>
      <c r="H1415" s="133" t="s">
        <v>10218</v>
      </c>
    </row>
    <row r="1416" spans="1:8">
      <c r="A1416" s="91" t="s">
        <v>10384</v>
      </c>
      <c r="B1416" s="134" t="s">
        <v>10385</v>
      </c>
      <c r="C1416" s="91" t="s">
        <v>8</v>
      </c>
      <c r="D1416" s="133" t="s">
        <v>1041</v>
      </c>
      <c r="E1416" s="133" t="s">
        <v>10216</v>
      </c>
      <c r="F1416" s="91" t="s">
        <v>65</v>
      </c>
      <c r="G1416" s="91" t="s">
        <v>10242</v>
      </c>
      <c r="H1416" s="133" t="s">
        <v>10218</v>
      </c>
    </row>
    <row r="1417" spans="1:8">
      <c r="A1417" s="91" t="s">
        <v>10386</v>
      </c>
      <c r="B1417" s="134" t="s">
        <v>10387</v>
      </c>
      <c r="C1417" s="91" t="s">
        <v>8</v>
      </c>
      <c r="D1417" s="133" t="s">
        <v>2474</v>
      </c>
      <c r="E1417" s="133" t="s">
        <v>10216</v>
      </c>
      <c r="F1417" s="91" t="s">
        <v>284</v>
      </c>
      <c r="G1417" s="91" t="s">
        <v>10242</v>
      </c>
      <c r="H1417" s="133" t="s">
        <v>10218</v>
      </c>
    </row>
    <row r="1418" spans="1:8">
      <c r="A1418" s="91" t="s">
        <v>2492</v>
      </c>
      <c r="B1418" s="134" t="s">
        <v>2494</v>
      </c>
      <c r="C1418" s="91" t="s">
        <v>8</v>
      </c>
      <c r="D1418" s="133" t="s">
        <v>2474</v>
      </c>
      <c r="E1418" s="133" t="s">
        <v>10216</v>
      </c>
      <c r="F1418" s="91" t="s">
        <v>2493</v>
      </c>
      <c r="G1418" s="91" t="s">
        <v>10231</v>
      </c>
      <c r="H1418" s="133" t="s">
        <v>10218</v>
      </c>
    </row>
    <row r="1419" spans="1:8">
      <c r="A1419" s="91" t="s">
        <v>10388</v>
      </c>
      <c r="B1419" s="134" t="s">
        <v>10389</v>
      </c>
      <c r="C1419" s="91" t="s">
        <v>8</v>
      </c>
      <c r="D1419" s="133" t="s">
        <v>2474</v>
      </c>
      <c r="E1419" s="133" t="s">
        <v>10216</v>
      </c>
      <c r="F1419" s="91" t="s">
        <v>284</v>
      </c>
      <c r="G1419" s="91" t="s">
        <v>10228</v>
      </c>
      <c r="H1419" s="133" t="s">
        <v>10218</v>
      </c>
    </row>
    <row r="1420" spans="1:8">
      <c r="A1420" s="91" t="s">
        <v>10390</v>
      </c>
      <c r="B1420" s="134" t="s">
        <v>10391</v>
      </c>
      <c r="C1420" s="91" t="s">
        <v>8</v>
      </c>
      <c r="D1420" s="133" t="s">
        <v>2474</v>
      </c>
      <c r="E1420" s="133" t="s">
        <v>10216</v>
      </c>
      <c r="F1420" s="91" t="s">
        <v>284</v>
      </c>
      <c r="G1420" s="91" t="s">
        <v>10245</v>
      </c>
      <c r="H1420" s="133" t="s">
        <v>10218</v>
      </c>
    </row>
    <row r="1421" spans="1:8">
      <c r="A1421" s="91" t="s">
        <v>2473</v>
      </c>
      <c r="B1421" s="134" t="s">
        <v>2475</v>
      </c>
      <c r="C1421" s="91" t="s">
        <v>8</v>
      </c>
      <c r="D1421" s="133" t="s">
        <v>2474</v>
      </c>
      <c r="E1421" s="133" t="s">
        <v>10216</v>
      </c>
      <c r="F1421" s="91" t="s">
        <v>65</v>
      </c>
      <c r="G1421" s="91" t="s">
        <v>10318</v>
      </c>
      <c r="H1421" s="133" t="s">
        <v>10218</v>
      </c>
    </row>
    <row r="1422" spans="1:8">
      <c r="A1422" s="91" t="s">
        <v>2624</v>
      </c>
      <c r="B1422" s="134" t="s">
        <v>2625</v>
      </c>
      <c r="C1422" s="91" t="s">
        <v>8</v>
      </c>
      <c r="D1422" s="133" t="s">
        <v>2474</v>
      </c>
      <c r="E1422" s="133" t="s">
        <v>10216</v>
      </c>
      <c r="F1422" s="91" t="s">
        <v>284</v>
      </c>
      <c r="G1422" s="91" t="s">
        <v>10231</v>
      </c>
      <c r="H1422" s="133" t="s">
        <v>10218</v>
      </c>
    </row>
    <row r="1423" spans="1:8">
      <c r="A1423" s="91" t="s">
        <v>4049</v>
      </c>
      <c r="B1423" s="134" t="s">
        <v>4050</v>
      </c>
      <c r="C1423" s="91" t="s">
        <v>8</v>
      </c>
      <c r="D1423" s="133" t="s">
        <v>2474</v>
      </c>
      <c r="E1423" s="133" t="s">
        <v>10216</v>
      </c>
      <c r="F1423" s="91" t="s">
        <v>65</v>
      </c>
      <c r="G1423" s="91" t="s">
        <v>10225</v>
      </c>
      <c r="H1423" s="133" t="s">
        <v>10218</v>
      </c>
    </row>
    <row r="1424" spans="1:8">
      <c r="A1424" s="91" t="s">
        <v>6082</v>
      </c>
      <c r="B1424" s="134" t="s">
        <v>6083</v>
      </c>
      <c r="C1424" s="91" t="s">
        <v>8</v>
      </c>
      <c r="D1424" s="133" t="s">
        <v>2474</v>
      </c>
      <c r="E1424" s="133" t="s">
        <v>10216</v>
      </c>
      <c r="F1424" s="91" t="s">
        <v>65</v>
      </c>
      <c r="G1424" s="91" t="s">
        <v>10242</v>
      </c>
      <c r="H1424" s="133" t="s">
        <v>10218</v>
      </c>
    </row>
    <row r="1425" spans="1:8">
      <c r="A1425" s="91" t="s">
        <v>2488</v>
      </c>
      <c r="B1425" s="134" t="s">
        <v>2489</v>
      </c>
      <c r="C1425" s="91" t="s">
        <v>8</v>
      </c>
      <c r="D1425" s="133" t="s">
        <v>2474</v>
      </c>
      <c r="E1425" s="133" t="s">
        <v>10216</v>
      </c>
      <c r="F1425" s="91" t="s">
        <v>65</v>
      </c>
      <c r="G1425" s="91" t="s">
        <v>10231</v>
      </c>
      <c r="H1425" s="133" t="s">
        <v>10218</v>
      </c>
    </row>
    <row r="1426" spans="1:8">
      <c r="A1426" s="91" t="s">
        <v>3885</v>
      </c>
      <c r="B1426" s="134" t="s">
        <v>3886</v>
      </c>
      <c r="C1426" s="91" t="s">
        <v>8</v>
      </c>
      <c r="D1426" s="133" t="s">
        <v>2474</v>
      </c>
      <c r="E1426" s="133" t="s">
        <v>10216</v>
      </c>
      <c r="F1426" s="91" t="s">
        <v>65</v>
      </c>
      <c r="G1426" s="91" t="s">
        <v>10232</v>
      </c>
      <c r="H1426" s="133" t="s">
        <v>10218</v>
      </c>
    </row>
    <row r="1427" spans="1:8">
      <c r="A1427" s="91" t="s">
        <v>10392</v>
      </c>
      <c r="B1427" s="134" t="s">
        <v>10393</v>
      </c>
      <c r="C1427" s="91" t="s">
        <v>8</v>
      </c>
      <c r="D1427" s="133" t="s">
        <v>1398</v>
      </c>
      <c r="E1427" s="133" t="s">
        <v>10216</v>
      </c>
      <c r="F1427" s="91" t="s">
        <v>284</v>
      </c>
      <c r="G1427" s="91" t="s">
        <v>10245</v>
      </c>
      <c r="H1427" s="133" t="s">
        <v>10218</v>
      </c>
    </row>
    <row r="1428" spans="1:8">
      <c r="A1428" s="91" t="s">
        <v>10394</v>
      </c>
      <c r="B1428" s="134" t="s">
        <v>10395</v>
      </c>
      <c r="C1428" s="91" t="s">
        <v>8</v>
      </c>
      <c r="D1428" s="133" t="s">
        <v>1398</v>
      </c>
      <c r="E1428" s="133" t="s">
        <v>10216</v>
      </c>
      <c r="F1428" s="91" t="s">
        <v>65</v>
      </c>
      <c r="G1428" s="91" t="s">
        <v>10242</v>
      </c>
      <c r="H1428" s="133" t="s">
        <v>10218</v>
      </c>
    </row>
    <row r="1429" spans="1:8">
      <c r="A1429" s="91" t="s">
        <v>10396</v>
      </c>
      <c r="B1429" s="134" t="s">
        <v>10397</v>
      </c>
      <c r="C1429" s="91" t="s">
        <v>8</v>
      </c>
      <c r="D1429" s="133" t="s">
        <v>1398</v>
      </c>
      <c r="E1429" s="133" t="s">
        <v>10216</v>
      </c>
      <c r="F1429" s="91" t="s">
        <v>284</v>
      </c>
      <c r="G1429" s="91" t="s">
        <v>10231</v>
      </c>
      <c r="H1429" s="133" t="s">
        <v>10218</v>
      </c>
    </row>
    <row r="1430" spans="1:8">
      <c r="A1430" s="91" t="s">
        <v>10398</v>
      </c>
      <c r="B1430" s="134" t="s">
        <v>10399</v>
      </c>
      <c r="C1430" s="91" t="s">
        <v>8</v>
      </c>
      <c r="D1430" s="133" t="s">
        <v>1398</v>
      </c>
      <c r="E1430" s="133" t="s">
        <v>10216</v>
      </c>
      <c r="F1430" s="91" t="s">
        <v>65</v>
      </c>
      <c r="G1430" s="91" t="s">
        <v>10318</v>
      </c>
      <c r="H1430" s="133" t="s">
        <v>10218</v>
      </c>
    </row>
    <row r="1431" spans="1:8">
      <c r="A1431" s="91" t="s">
        <v>1538</v>
      </c>
      <c r="B1431" s="134" t="s">
        <v>1539</v>
      </c>
      <c r="C1431" s="91" t="s">
        <v>8</v>
      </c>
      <c r="D1431" s="133" t="s">
        <v>1398</v>
      </c>
      <c r="E1431" s="133" t="s">
        <v>10216</v>
      </c>
      <c r="F1431" s="91" t="s">
        <v>65</v>
      </c>
      <c r="G1431" s="91" t="s">
        <v>10231</v>
      </c>
      <c r="H1431" s="133" t="s">
        <v>10218</v>
      </c>
    </row>
    <row r="1432" spans="1:8">
      <c r="A1432" s="91" t="s">
        <v>10400</v>
      </c>
      <c r="B1432" s="134" t="s">
        <v>10401</v>
      </c>
      <c r="C1432" s="91" t="s">
        <v>8</v>
      </c>
      <c r="D1432" s="133" t="s">
        <v>1398</v>
      </c>
      <c r="E1432" s="133" t="s">
        <v>10216</v>
      </c>
      <c r="F1432" s="91" t="s">
        <v>284</v>
      </c>
      <c r="G1432" s="91" t="s">
        <v>10228</v>
      </c>
      <c r="H1432" s="133" t="s">
        <v>10218</v>
      </c>
    </row>
    <row r="1433" spans="1:8">
      <c r="A1433" s="91" t="s">
        <v>10402</v>
      </c>
      <c r="B1433" s="134" t="s">
        <v>10403</v>
      </c>
      <c r="C1433" s="91" t="s">
        <v>8</v>
      </c>
      <c r="D1433" s="133" t="s">
        <v>1398</v>
      </c>
      <c r="E1433" s="133" t="s">
        <v>10216</v>
      </c>
      <c r="F1433" s="91" t="s">
        <v>120</v>
      </c>
      <c r="G1433" s="91" t="s">
        <v>10225</v>
      </c>
      <c r="H1433" s="133" t="s">
        <v>10218</v>
      </c>
    </row>
    <row r="1434" spans="1:8">
      <c r="A1434" s="91" t="s">
        <v>10404</v>
      </c>
      <c r="B1434" s="134" t="s">
        <v>10405</v>
      </c>
      <c r="C1434" s="91" t="s">
        <v>8</v>
      </c>
      <c r="D1434" s="133" t="s">
        <v>1398</v>
      </c>
      <c r="E1434" s="133" t="s">
        <v>10216</v>
      </c>
      <c r="F1434" s="91" t="s">
        <v>284</v>
      </c>
      <c r="G1434" s="91" t="s">
        <v>10242</v>
      </c>
      <c r="H1434" s="133" t="s">
        <v>10218</v>
      </c>
    </row>
    <row r="1435" spans="1:8">
      <c r="A1435" s="91" t="s">
        <v>10406</v>
      </c>
      <c r="B1435" s="134" t="s">
        <v>10407</v>
      </c>
      <c r="C1435" s="91" t="s">
        <v>8</v>
      </c>
      <c r="D1435" s="133" t="s">
        <v>8988</v>
      </c>
      <c r="E1435" s="133" t="s">
        <v>10216</v>
      </c>
      <c r="F1435" s="91" t="s">
        <v>65</v>
      </c>
      <c r="G1435" s="91" t="s">
        <v>10242</v>
      </c>
      <c r="H1435" s="133" t="s">
        <v>10218</v>
      </c>
    </row>
    <row r="1436" spans="1:8">
      <c r="A1436" s="91" t="s">
        <v>10408</v>
      </c>
      <c r="B1436" s="134" t="s">
        <v>10409</v>
      </c>
      <c r="C1436" s="91" t="s">
        <v>8</v>
      </c>
      <c r="D1436" s="133" t="s">
        <v>8896</v>
      </c>
      <c r="E1436" s="133" t="s">
        <v>10216</v>
      </c>
      <c r="F1436" s="91" t="s">
        <v>284</v>
      </c>
      <c r="G1436" s="91" t="s">
        <v>10217</v>
      </c>
      <c r="H1436" s="133" t="s">
        <v>10218</v>
      </c>
    </row>
    <row r="1437" spans="1:8">
      <c r="A1437" s="91" t="s">
        <v>10410</v>
      </c>
      <c r="B1437" s="134" t="s">
        <v>10411</v>
      </c>
      <c r="C1437" s="91" t="s">
        <v>8</v>
      </c>
      <c r="D1437" s="133" t="s">
        <v>10412</v>
      </c>
      <c r="E1437" s="133" t="s">
        <v>10216</v>
      </c>
      <c r="F1437" s="91" t="s">
        <v>284</v>
      </c>
      <c r="G1437" s="91" t="s">
        <v>10242</v>
      </c>
      <c r="H1437" s="133" t="s">
        <v>10218</v>
      </c>
    </row>
    <row r="1438" spans="1:8">
      <c r="A1438" s="91" t="s">
        <v>10413</v>
      </c>
      <c r="B1438" s="134" t="s">
        <v>10414</v>
      </c>
      <c r="C1438" s="91" t="s">
        <v>8</v>
      </c>
      <c r="D1438" s="133" t="s">
        <v>10412</v>
      </c>
      <c r="E1438" s="133" t="s">
        <v>10216</v>
      </c>
      <c r="F1438" s="91" t="s">
        <v>65</v>
      </c>
      <c r="G1438" s="91" t="s">
        <v>10225</v>
      </c>
      <c r="H1438" s="133" t="s">
        <v>10218</v>
      </c>
    </row>
    <row r="1439" spans="1:8">
      <c r="A1439" s="91" t="s">
        <v>10415</v>
      </c>
      <c r="B1439" s="134" t="s">
        <v>10416</v>
      </c>
      <c r="C1439" s="91" t="s">
        <v>8</v>
      </c>
      <c r="D1439" s="133" t="s">
        <v>10412</v>
      </c>
      <c r="E1439" s="133" t="s">
        <v>10216</v>
      </c>
      <c r="F1439" s="91" t="s">
        <v>65</v>
      </c>
      <c r="G1439" s="91" t="s">
        <v>10239</v>
      </c>
      <c r="H1439" s="133" t="s">
        <v>10218</v>
      </c>
    </row>
    <row r="1440" spans="1:8">
      <c r="A1440" s="91" t="s">
        <v>10417</v>
      </c>
      <c r="B1440" s="134" t="s">
        <v>10418</v>
      </c>
      <c r="C1440" s="91" t="s">
        <v>8</v>
      </c>
      <c r="D1440" s="133" t="s">
        <v>3425</v>
      </c>
      <c r="E1440" s="133" t="s">
        <v>10216</v>
      </c>
      <c r="F1440" s="91" t="s">
        <v>284</v>
      </c>
      <c r="G1440" s="91" t="s">
        <v>10242</v>
      </c>
      <c r="H1440" s="133" t="s">
        <v>10218</v>
      </c>
    </row>
    <row r="1441" spans="1:8">
      <c r="A1441" s="91" t="s">
        <v>10419</v>
      </c>
      <c r="B1441" s="134" t="s">
        <v>10420</v>
      </c>
      <c r="C1441" s="91" t="s">
        <v>8</v>
      </c>
      <c r="D1441" s="133" t="s">
        <v>3425</v>
      </c>
      <c r="E1441" s="133" t="s">
        <v>10216</v>
      </c>
      <c r="F1441" s="91" t="s">
        <v>284</v>
      </c>
      <c r="G1441" s="91" t="s">
        <v>10252</v>
      </c>
      <c r="H1441" s="133" t="s">
        <v>10218</v>
      </c>
    </row>
    <row r="1442" spans="1:8">
      <c r="A1442" s="91" t="s">
        <v>10421</v>
      </c>
      <c r="B1442" s="134" t="s">
        <v>4649</v>
      </c>
      <c r="C1442" s="91" t="s">
        <v>8</v>
      </c>
      <c r="D1442" s="133" t="s">
        <v>3425</v>
      </c>
      <c r="E1442" s="133" t="s">
        <v>10216</v>
      </c>
      <c r="F1442" s="91" t="s">
        <v>284</v>
      </c>
      <c r="G1442" s="91" t="s">
        <v>10239</v>
      </c>
      <c r="H1442" s="133" t="s">
        <v>10218</v>
      </c>
    </row>
    <row r="1443" spans="1:8">
      <c r="A1443" s="91" t="s">
        <v>3424</v>
      </c>
      <c r="B1443" s="134" t="s">
        <v>3426</v>
      </c>
      <c r="C1443" s="91" t="s">
        <v>8</v>
      </c>
      <c r="D1443" s="133" t="s">
        <v>3425</v>
      </c>
      <c r="E1443" s="133" t="s">
        <v>10216</v>
      </c>
      <c r="F1443" s="91" t="s">
        <v>284</v>
      </c>
      <c r="G1443" s="91" t="s">
        <v>10239</v>
      </c>
      <c r="H1443" s="133" t="s">
        <v>10218</v>
      </c>
    </row>
    <row r="1444" spans="1:8">
      <c r="A1444" s="91" t="s">
        <v>10422</v>
      </c>
      <c r="B1444" s="134" t="s">
        <v>9563</v>
      </c>
      <c r="C1444" s="91" t="s">
        <v>8</v>
      </c>
      <c r="D1444" s="133" t="s">
        <v>3425</v>
      </c>
      <c r="E1444" s="133" t="s">
        <v>10216</v>
      </c>
      <c r="F1444" s="91" t="s">
        <v>284</v>
      </c>
      <c r="G1444" s="91" t="s">
        <v>10242</v>
      </c>
      <c r="H1444" s="133" t="s">
        <v>10218</v>
      </c>
    </row>
    <row r="1445" spans="1:8">
      <c r="A1445" s="91" t="s">
        <v>10423</v>
      </c>
      <c r="B1445" s="134" t="s">
        <v>10424</v>
      </c>
      <c r="C1445" s="91" t="s">
        <v>8</v>
      </c>
      <c r="D1445" s="133" t="s">
        <v>3425</v>
      </c>
      <c r="E1445" s="133" t="s">
        <v>10216</v>
      </c>
      <c r="F1445" s="91" t="s">
        <v>109</v>
      </c>
      <c r="G1445" s="91" t="s">
        <v>10242</v>
      </c>
      <c r="H1445" s="133" t="s">
        <v>10218</v>
      </c>
    </row>
    <row r="1446" spans="1:8">
      <c r="A1446" s="91" t="s">
        <v>10425</v>
      </c>
      <c r="B1446" s="134" t="s">
        <v>10426</v>
      </c>
      <c r="C1446" s="91" t="s">
        <v>8</v>
      </c>
      <c r="D1446" s="133" t="s">
        <v>3425</v>
      </c>
      <c r="E1446" s="133" t="s">
        <v>10216</v>
      </c>
      <c r="F1446" s="91" t="s">
        <v>284</v>
      </c>
      <c r="G1446" s="91" t="s">
        <v>10242</v>
      </c>
      <c r="H1446" s="133" t="s">
        <v>10218</v>
      </c>
    </row>
    <row r="1447" spans="1:8">
      <c r="A1447" s="91" t="s">
        <v>10427</v>
      </c>
      <c r="B1447" s="134" t="s">
        <v>10428</v>
      </c>
      <c r="C1447" s="91" t="s">
        <v>8</v>
      </c>
      <c r="D1447" s="133" t="s">
        <v>3425</v>
      </c>
      <c r="E1447" s="133" t="s">
        <v>10216</v>
      </c>
      <c r="F1447" s="91" t="s">
        <v>2493</v>
      </c>
      <c r="G1447" s="91" t="s">
        <v>10231</v>
      </c>
      <c r="H1447" s="133" t="s">
        <v>10218</v>
      </c>
    </row>
    <row r="1448" spans="1:8">
      <c r="A1448" s="91" t="s">
        <v>3819</v>
      </c>
      <c r="B1448" s="134" t="s">
        <v>3820</v>
      </c>
      <c r="C1448" s="91" t="s">
        <v>8</v>
      </c>
      <c r="D1448" s="133" t="s">
        <v>3425</v>
      </c>
      <c r="E1448" s="133" t="s">
        <v>10216</v>
      </c>
      <c r="F1448" s="91" t="s">
        <v>284</v>
      </c>
      <c r="G1448" s="91" t="s">
        <v>10318</v>
      </c>
      <c r="H1448" s="133" t="s">
        <v>10218</v>
      </c>
    </row>
    <row r="1449" spans="1:8">
      <c r="A1449" s="91" t="s">
        <v>10429</v>
      </c>
      <c r="B1449" s="134" t="s">
        <v>10430</v>
      </c>
      <c r="C1449" s="91" t="s">
        <v>8</v>
      </c>
      <c r="D1449" s="133" t="s">
        <v>3425</v>
      </c>
      <c r="E1449" s="133" t="s">
        <v>10216</v>
      </c>
      <c r="F1449" s="91" t="s">
        <v>65</v>
      </c>
      <c r="G1449" s="91" t="s">
        <v>10231</v>
      </c>
      <c r="H1449" s="133" t="s">
        <v>10218</v>
      </c>
    </row>
    <row r="1450" spans="1:8">
      <c r="A1450" s="91" t="s">
        <v>10431</v>
      </c>
      <c r="B1450" s="134" t="s">
        <v>10432</v>
      </c>
      <c r="C1450" s="91" t="s">
        <v>8</v>
      </c>
      <c r="D1450" s="133" t="s">
        <v>3425</v>
      </c>
      <c r="E1450" s="133" t="s">
        <v>10216</v>
      </c>
      <c r="F1450" s="91" t="s">
        <v>109</v>
      </c>
      <c r="G1450" s="91" t="s">
        <v>10225</v>
      </c>
      <c r="H1450" s="133" t="s">
        <v>10218</v>
      </c>
    </row>
    <row r="1451" spans="1:8">
      <c r="A1451" s="91" t="s">
        <v>10433</v>
      </c>
      <c r="B1451" s="134" t="s">
        <v>10434</v>
      </c>
      <c r="C1451" s="91" t="s">
        <v>8</v>
      </c>
      <c r="D1451" s="133" t="s">
        <v>3425</v>
      </c>
      <c r="E1451" s="133" t="s">
        <v>10216</v>
      </c>
      <c r="F1451" s="91" t="s">
        <v>284</v>
      </c>
      <c r="G1451" s="91" t="s">
        <v>10242</v>
      </c>
      <c r="H1451" s="133" t="s">
        <v>10218</v>
      </c>
    </row>
    <row r="1452" spans="1:8">
      <c r="A1452" s="91" t="s">
        <v>10435</v>
      </c>
      <c r="B1452" s="134" t="s">
        <v>9516</v>
      </c>
      <c r="C1452" s="91" t="s">
        <v>8</v>
      </c>
      <c r="D1452" s="133" t="s">
        <v>3425</v>
      </c>
      <c r="E1452" s="133" t="s">
        <v>10216</v>
      </c>
      <c r="F1452" s="91" t="s">
        <v>65</v>
      </c>
      <c r="G1452" s="91" t="s">
        <v>10239</v>
      </c>
      <c r="H1452" s="133" t="s">
        <v>10218</v>
      </c>
    </row>
    <row r="1453" spans="1:8">
      <c r="A1453" s="91" t="s">
        <v>8283</v>
      </c>
      <c r="B1453" s="134" t="s">
        <v>10436</v>
      </c>
      <c r="C1453" s="91" t="s">
        <v>8</v>
      </c>
      <c r="D1453" s="133" t="s">
        <v>3425</v>
      </c>
      <c r="E1453" s="133" t="s">
        <v>10216</v>
      </c>
      <c r="F1453" s="91" t="s">
        <v>65</v>
      </c>
      <c r="G1453" s="91" t="s">
        <v>10232</v>
      </c>
      <c r="H1453" s="133" t="s">
        <v>10218</v>
      </c>
    </row>
    <row r="1454" spans="1:8">
      <c r="A1454" s="91" t="s">
        <v>10437</v>
      </c>
      <c r="B1454" s="134" t="s">
        <v>10438</v>
      </c>
      <c r="C1454" s="91" t="s">
        <v>8</v>
      </c>
      <c r="D1454" s="133" t="s">
        <v>3425</v>
      </c>
      <c r="E1454" s="133" t="s">
        <v>10216</v>
      </c>
      <c r="F1454" s="91" t="s">
        <v>284</v>
      </c>
      <c r="G1454" s="91" t="s">
        <v>10245</v>
      </c>
      <c r="H1454" s="133" t="s">
        <v>10218</v>
      </c>
    </row>
    <row r="1455" spans="1:8">
      <c r="A1455" s="91" t="s">
        <v>10439</v>
      </c>
      <c r="B1455" s="134" t="s">
        <v>10440</v>
      </c>
      <c r="C1455" s="91" t="s">
        <v>8</v>
      </c>
      <c r="D1455" s="133" t="s">
        <v>3425</v>
      </c>
      <c r="E1455" s="133" t="s">
        <v>10216</v>
      </c>
      <c r="F1455" s="91" t="s">
        <v>284</v>
      </c>
      <c r="G1455" s="91" t="s">
        <v>10239</v>
      </c>
      <c r="H1455" s="133" t="s">
        <v>10218</v>
      </c>
    </row>
    <row r="1456" spans="1:8">
      <c r="A1456" s="91" t="s">
        <v>10441</v>
      </c>
      <c r="B1456" s="134" t="s">
        <v>10442</v>
      </c>
      <c r="C1456" s="91" t="s">
        <v>8</v>
      </c>
      <c r="D1456" s="133" t="s">
        <v>3425</v>
      </c>
      <c r="E1456" s="133" t="s">
        <v>10216</v>
      </c>
      <c r="F1456" s="91" t="s">
        <v>284</v>
      </c>
      <c r="G1456" s="91" t="s">
        <v>10228</v>
      </c>
      <c r="H1456" s="133" t="s">
        <v>10218</v>
      </c>
    </row>
    <row r="1457" spans="1:8">
      <c r="A1457" s="91" t="s">
        <v>10443</v>
      </c>
      <c r="B1457" s="134" t="s">
        <v>10444</v>
      </c>
      <c r="C1457" s="91" t="s">
        <v>8</v>
      </c>
      <c r="D1457" s="133" t="s">
        <v>10445</v>
      </c>
      <c r="E1457" s="133" t="s">
        <v>10216</v>
      </c>
      <c r="F1457" s="91" t="s">
        <v>284</v>
      </c>
      <c r="G1457" s="91" t="s">
        <v>10222</v>
      </c>
      <c r="H1457" s="133" t="s">
        <v>10218</v>
      </c>
    </row>
    <row r="1458" spans="1:8">
      <c r="A1458" s="91" t="s">
        <v>10446</v>
      </c>
      <c r="B1458" s="134" t="s">
        <v>10447</v>
      </c>
      <c r="C1458" s="91" t="s">
        <v>8</v>
      </c>
      <c r="D1458" s="133" t="s">
        <v>2573</v>
      </c>
      <c r="E1458" s="133" t="s">
        <v>10216</v>
      </c>
      <c r="F1458" s="91" t="s">
        <v>284</v>
      </c>
      <c r="G1458" s="91" t="s">
        <v>10228</v>
      </c>
      <c r="H1458" s="133" t="s">
        <v>10218</v>
      </c>
    </row>
    <row r="1459" spans="1:8">
      <c r="A1459" s="91" t="s">
        <v>10448</v>
      </c>
      <c r="B1459" s="134" t="s">
        <v>9803</v>
      </c>
      <c r="C1459" s="91" t="s">
        <v>8</v>
      </c>
      <c r="D1459" s="133" t="s">
        <v>2573</v>
      </c>
      <c r="E1459" s="133" t="s">
        <v>10216</v>
      </c>
      <c r="F1459" s="91" t="s">
        <v>65</v>
      </c>
      <c r="G1459" s="91" t="s">
        <v>10232</v>
      </c>
      <c r="H1459" s="133" t="s">
        <v>10218</v>
      </c>
    </row>
    <row r="1460" spans="1:8">
      <c r="A1460" s="91" t="s">
        <v>10449</v>
      </c>
      <c r="B1460" s="134" t="s">
        <v>10450</v>
      </c>
      <c r="C1460" s="91" t="s">
        <v>8</v>
      </c>
      <c r="D1460" s="133" t="s">
        <v>2573</v>
      </c>
      <c r="E1460" s="133" t="s">
        <v>10216</v>
      </c>
      <c r="F1460" s="91" t="s">
        <v>2493</v>
      </c>
      <c r="G1460" s="91" t="s">
        <v>10231</v>
      </c>
      <c r="H1460" s="133" t="s">
        <v>10218</v>
      </c>
    </row>
    <row r="1461" spans="1:8">
      <c r="A1461" s="91" t="s">
        <v>10451</v>
      </c>
      <c r="B1461" s="134" t="s">
        <v>10452</v>
      </c>
      <c r="C1461" s="91" t="s">
        <v>8</v>
      </c>
      <c r="D1461" s="133" t="s">
        <v>2573</v>
      </c>
      <c r="E1461" s="133" t="s">
        <v>10216</v>
      </c>
      <c r="F1461" s="91" t="s">
        <v>120</v>
      </c>
      <c r="G1461" s="91" t="s">
        <v>10225</v>
      </c>
      <c r="H1461" s="133" t="s">
        <v>10218</v>
      </c>
    </row>
    <row r="1462" spans="1:8">
      <c r="A1462" s="91" t="s">
        <v>2572</v>
      </c>
      <c r="B1462" s="134" t="s">
        <v>2574</v>
      </c>
      <c r="C1462" s="91" t="s">
        <v>8</v>
      </c>
      <c r="D1462" s="133" t="s">
        <v>2573</v>
      </c>
      <c r="E1462" s="133" t="s">
        <v>10216</v>
      </c>
      <c r="F1462" s="91" t="s">
        <v>65</v>
      </c>
      <c r="G1462" s="91" t="s">
        <v>10239</v>
      </c>
      <c r="H1462" s="133" t="s">
        <v>10218</v>
      </c>
    </row>
    <row r="1463" spans="1:8">
      <c r="A1463" s="91" t="s">
        <v>10453</v>
      </c>
      <c r="B1463" s="134" t="s">
        <v>10454</v>
      </c>
      <c r="C1463" s="91" t="s">
        <v>8</v>
      </c>
      <c r="D1463" s="133" t="s">
        <v>2573</v>
      </c>
      <c r="E1463" s="133" t="s">
        <v>10216</v>
      </c>
      <c r="F1463" s="91" t="s">
        <v>65</v>
      </c>
      <c r="G1463" s="91" t="s">
        <v>10231</v>
      </c>
      <c r="H1463" s="133" t="s">
        <v>10218</v>
      </c>
    </row>
    <row r="1464" spans="1:8">
      <c r="A1464" s="91" t="s">
        <v>10455</v>
      </c>
      <c r="B1464" s="134" t="s">
        <v>10456</v>
      </c>
      <c r="C1464" s="91" t="s">
        <v>8</v>
      </c>
      <c r="D1464" s="133" t="s">
        <v>2573</v>
      </c>
      <c r="E1464" s="133" t="s">
        <v>10216</v>
      </c>
      <c r="F1464" s="91" t="s">
        <v>284</v>
      </c>
      <c r="G1464" s="91" t="s">
        <v>10242</v>
      </c>
      <c r="H1464" s="133" t="s">
        <v>10218</v>
      </c>
    </row>
    <row r="1465" spans="1:8">
      <c r="A1465" s="91" t="s">
        <v>10457</v>
      </c>
      <c r="B1465" s="134" t="s">
        <v>10458</v>
      </c>
      <c r="C1465" s="91" t="s">
        <v>8</v>
      </c>
      <c r="D1465" s="133" t="s">
        <v>2573</v>
      </c>
      <c r="E1465" s="133" t="s">
        <v>10216</v>
      </c>
      <c r="F1465" s="91" t="s">
        <v>284</v>
      </c>
      <c r="G1465" s="91" t="s">
        <v>10245</v>
      </c>
      <c r="H1465" s="133" t="s">
        <v>10218</v>
      </c>
    </row>
    <row r="1466" spans="1:8">
      <c r="A1466" s="91" t="s">
        <v>10459</v>
      </c>
      <c r="B1466" s="134" t="s">
        <v>10460</v>
      </c>
      <c r="C1466" s="91" t="s">
        <v>8</v>
      </c>
      <c r="D1466" s="133" t="s">
        <v>10461</v>
      </c>
      <c r="E1466" s="133" t="s">
        <v>10216</v>
      </c>
      <c r="F1466" s="91" t="s">
        <v>284</v>
      </c>
      <c r="G1466" s="91" t="s">
        <v>10222</v>
      </c>
      <c r="H1466" s="133" t="s">
        <v>10218</v>
      </c>
    </row>
    <row r="1467" spans="1:8">
      <c r="A1467" s="91" t="s">
        <v>10462</v>
      </c>
      <c r="B1467" s="134" t="s">
        <v>10463</v>
      </c>
      <c r="C1467" s="91" t="s">
        <v>8</v>
      </c>
      <c r="D1467" s="133" t="s">
        <v>1368</v>
      </c>
      <c r="E1467" s="133" t="s">
        <v>10216</v>
      </c>
      <c r="F1467" s="91" t="s">
        <v>2493</v>
      </c>
      <c r="G1467" s="91" t="s">
        <v>10231</v>
      </c>
      <c r="H1467" s="133" t="s">
        <v>10218</v>
      </c>
    </row>
    <row r="1468" spans="1:8">
      <c r="A1468" s="91" t="s">
        <v>10464</v>
      </c>
      <c r="B1468" s="134" t="s">
        <v>10465</v>
      </c>
      <c r="C1468" s="91" t="s">
        <v>8</v>
      </c>
      <c r="D1468" s="133" t="s">
        <v>1368</v>
      </c>
      <c r="E1468" s="133" t="s">
        <v>10216</v>
      </c>
      <c r="F1468" s="91" t="s">
        <v>284</v>
      </c>
      <c r="G1468" s="91" t="s">
        <v>10239</v>
      </c>
      <c r="H1468" s="133" t="s">
        <v>10218</v>
      </c>
    </row>
    <row r="1469" spans="1:8">
      <c r="A1469" s="91" t="s">
        <v>10466</v>
      </c>
      <c r="B1469" s="134" t="s">
        <v>10467</v>
      </c>
      <c r="C1469" s="91" t="s">
        <v>8</v>
      </c>
      <c r="D1469" s="133" t="s">
        <v>1368</v>
      </c>
      <c r="E1469" s="133" t="s">
        <v>10216</v>
      </c>
      <c r="F1469" s="91" t="s">
        <v>65</v>
      </c>
      <c r="G1469" s="91" t="s">
        <v>10231</v>
      </c>
      <c r="H1469" s="133" t="s">
        <v>10218</v>
      </c>
    </row>
    <row r="1470" spans="1:8">
      <c r="A1470" s="91" t="s">
        <v>10468</v>
      </c>
      <c r="B1470" s="134" t="s">
        <v>10469</v>
      </c>
      <c r="C1470" s="91" t="s">
        <v>8</v>
      </c>
      <c r="D1470" s="133" t="s">
        <v>1368</v>
      </c>
      <c r="E1470" s="133" t="s">
        <v>10216</v>
      </c>
      <c r="F1470" s="91" t="s">
        <v>284</v>
      </c>
      <c r="G1470" s="91" t="s">
        <v>10245</v>
      </c>
      <c r="H1470" s="133" t="s">
        <v>10218</v>
      </c>
    </row>
    <row r="1471" spans="1:8">
      <c r="A1471" s="91" t="s">
        <v>10470</v>
      </c>
      <c r="B1471" s="134" t="s">
        <v>10471</v>
      </c>
      <c r="C1471" s="91" t="s">
        <v>8</v>
      </c>
      <c r="D1471" s="133" t="s">
        <v>1368</v>
      </c>
      <c r="E1471" s="133" t="s">
        <v>10216</v>
      </c>
      <c r="F1471" s="91" t="s">
        <v>2493</v>
      </c>
      <c r="G1471" s="91" t="s">
        <v>10231</v>
      </c>
      <c r="H1471" s="133" t="s">
        <v>10218</v>
      </c>
    </row>
    <row r="1472" spans="1:8">
      <c r="A1472" s="91" t="s">
        <v>10472</v>
      </c>
      <c r="B1472" s="134" t="s">
        <v>10473</v>
      </c>
      <c r="C1472" s="91" t="s">
        <v>8</v>
      </c>
      <c r="D1472" s="133" t="s">
        <v>1368</v>
      </c>
      <c r="E1472" s="133" t="s">
        <v>10216</v>
      </c>
      <c r="F1472" s="91" t="s">
        <v>284</v>
      </c>
      <c r="G1472" s="91" t="s">
        <v>10232</v>
      </c>
      <c r="H1472" s="133" t="s">
        <v>10218</v>
      </c>
    </row>
    <row r="1473" spans="1:8">
      <c r="A1473" s="91" t="s">
        <v>10474</v>
      </c>
      <c r="B1473" s="134" t="s">
        <v>10475</v>
      </c>
      <c r="C1473" s="91" t="s">
        <v>8</v>
      </c>
      <c r="D1473" s="133" t="s">
        <v>1368</v>
      </c>
      <c r="E1473" s="133" t="s">
        <v>10216</v>
      </c>
      <c r="F1473" s="91" t="s">
        <v>284</v>
      </c>
      <c r="G1473" s="91" t="s">
        <v>10231</v>
      </c>
      <c r="H1473" s="133" t="s">
        <v>10218</v>
      </c>
    </row>
    <row r="1474" spans="1:8">
      <c r="A1474" s="91" t="s">
        <v>10476</v>
      </c>
      <c r="B1474" s="134" t="s">
        <v>10477</v>
      </c>
      <c r="C1474" s="91" t="s">
        <v>8</v>
      </c>
      <c r="D1474" s="133" t="s">
        <v>1368</v>
      </c>
      <c r="E1474" s="133" t="s">
        <v>10216</v>
      </c>
      <c r="F1474" s="91" t="s">
        <v>284</v>
      </c>
      <c r="G1474" s="91" t="s">
        <v>10228</v>
      </c>
      <c r="H1474" s="133" t="s">
        <v>10218</v>
      </c>
    </row>
    <row r="1475" spans="1:8">
      <c r="A1475" s="91" t="s">
        <v>10478</v>
      </c>
      <c r="B1475" s="134" t="s">
        <v>10479</v>
      </c>
      <c r="C1475" s="91" t="s">
        <v>8</v>
      </c>
      <c r="D1475" s="133" t="s">
        <v>1368</v>
      </c>
      <c r="E1475" s="133" t="s">
        <v>10216</v>
      </c>
      <c r="F1475" s="91" t="s">
        <v>109</v>
      </c>
      <c r="G1475" s="91" t="s">
        <v>10239</v>
      </c>
      <c r="H1475" s="133" t="s">
        <v>10218</v>
      </c>
    </row>
    <row r="1476" spans="1:8">
      <c r="A1476" s="91" t="s">
        <v>10480</v>
      </c>
      <c r="B1476" s="134" t="s">
        <v>10481</v>
      </c>
      <c r="C1476" s="91" t="s">
        <v>8</v>
      </c>
      <c r="D1476" s="133" t="s">
        <v>1368</v>
      </c>
      <c r="E1476" s="133" t="s">
        <v>10216</v>
      </c>
      <c r="F1476" s="91" t="s">
        <v>284</v>
      </c>
      <c r="G1476" s="91" t="s">
        <v>10231</v>
      </c>
      <c r="H1476" s="133" t="s">
        <v>10218</v>
      </c>
    </row>
    <row r="1477" spans="1:8">
      <c r="A1477" s="91" t="s">
        <v>10482</v>
      </c>
      <c r="B1477" s="134" t="s">
        <v>10483</v>
      </c>
      <c r="C1477" s="91" t="s">
        <v>8</v>
      </c>
      <c r="D1477" s="133" t="s">
        <v>1368</v>
      </c>
      <c r="E1477" s="133" t="s">
        <v>10216</v>
      </c>
      <c r="F1477" s="91" t="s">
        <v>284</v>
      </c>
      <c r="G1477" s="91" t="s">
        <v>10242</v>
      </c>
      <c r="H1477" s="133" t="s">
        <v>10218</v>
      </c>
    </row>
    <row r="1478" spans="1:8">
      <c r="A1478" s="91" t="s">
        <v>10484</v>
      </c>
      <c r="B1478" s="134" t="s">
        <v>10485</v>
      </c>
      <c r="C1478" s="91" t="s">
        <v>8</v>
      </c>
      <c r="D1478" s="133" t="s">
        <v>1368</v>
      </c>
      <c r="E1478" s="133" t="s">
        <v>10216</v>
      </c>
      <c r="F1478" s="91" t="s">
        <v>284</v>
      </c>
      <c r="G1478" s="91" t="s">
        <v>10228</v>
      </c>
      <c r="H1478" s="133" t="s">
        <v>10218</v>
      </c>
    </row>
    <row r="1479" spans="1:8">
      <c r="A1479" s="91" t="s">
        <v>10486</v>
      </c>
      <c r="B1479" s="134" t="s">
        <v>10487</v>
      </c>
      <c r="C1479" s="91" t="s">
        <v>8</v>
      </c>
      <c r="D1479" s="133" t="s">
        <v>1368</v>
      </c>
      <c r="E1479" s="133" t="s">
        <v>10216</v>
      </c>
      <c r="F1479" s="91" t="s">
        <v>284</v>
      </c>
      <c r="G1479" s="91" t="s">
        <v>10225</v>
      </c>
      <c r="H1479" s="133" t="s">
        <v>10218</v>
      </c>
    </row>
    <row r="1480" spans="1:8">
      <c r="A1480" s="91" t="s">
        <v>10488</v>
      </c>
      <c r="B1480" s="134" t="s">
        <v>10489</v>
      </c>
      <c r="C1480" s="91" t="s">
        <v>8</v>
      </c>
      <c r="D1480" s="133" t="s">
        <v>1368</v>
      </c>
      <c r="E1480" s="133" t="s">
        <v>10216</v>
      </c>
      <c r="F1480" s="91" t="s">
        <v>284</v>
      </c>
      <c r="G1480" s="91" t="s">
        <v>10252</v>
      </c>
      <c r="H1480" s="133" t="s">
        <v>10218</v>
      </c>
    </row>
    <row r="1481" spans="1:8">
      <c r="A1481" s="91" t="s">
        <v>10490</v>
      </c>
      <c r="B1481" s="134" t="s">
        <v>10491</v>
      </c>
      <c r="C1481" s="91" t="s">
        <v>8</v>
      </c>
      <c r="D1481" s="133" t="s">
        <v>1368</v>
      </c>
      <c r="E1481" s="133" t="s">
        <v>10216</v>
      </c>
      <c r="F1481" s="91" t="s">
        <v>65</v>
      </c>
      <c r="G1481" s="91" t="s">
        <v>10225</v>
      </c>
      <c r="H1481" s="133" t="s">
        <v>10218</v>
      </c>
    </row>
    <row r="1482" spans="1:8">
      <c r="A1482" s="91" t="s">
        <v>10492</v>
      </c>
      <c r="B1482" s="134" t="s">
        <v>10493</v>
      </c>
      <c r="C1482" s="91" t="s">
        <v>8</v>
      </c>
      <c r="D1482" s="133" t="s">
        <v>1368</v>
      </c>
      <c r="E1482" s="133" t="s">
        <v>10216</v>
      </c>
      <c r="F1482" s="91" t="s">
        <v>284</v>
      </c>
      <c r="G1482" s="91" t="s">
        <v>10242</v>
      </c>
      <c r="H1482" s="133" t="s">
        <v>10218</v>
      </c>
    </row>
    <row r="1483" spans="1:8">
      <c r="A1483" s="91" t="s">
        <v>10494</v>
      </c>
      <c r="B1483" s="134" t="s">
        <v>10495</v>
      </c>
      <c r="C1483" s="91" t="s">
        <v>8</v>
      </c>
      <c r="D1483" s="133" t="s">
        <v>10496</v>
      </c>
      <c r="E1483" s="133" t="s">
        <v>10216</v>
      </c>
      <c r="F1483" s="91" t="s">
        <v>284</v>
      </c>
      <c r="G1483" s="91" t="s">
        <v>10217</v>
      </c>
      <c r="H1483" s="133" t="s">
        <v>10218</v>
      </c>
    </row>
    <row r="1484" spans="1:8">
      <c r="A1484" s="91" t="s">
        <v>10497</v>
      </c>
      <c r="B1484" s="134" t="s">
        <v>10498</v>
      </c>
      <c r="C1484" s="91" t="s">
        <v>8</v>
      </c>
      <c r="D1484" s="133" t="s">
        <v>10496</v>
      </c>
      <c r="E1484" s="133" t="s">
        <v>10216</v>
      </c>
      <c r="F1484" s="91" t="s">
        <v>284</v>
      </c>
      <c r="G1484" s="91" t="s">
        <v>10217</v>
      </c>
      <c r="H1484" s="133" t="s">
        <v>10218</v>
      </c>
    </row>
    <row r="1485" spans="1:8">
      <c r="A1485" s="91" t="s">
        <v>10499</v>
      </c>
      <c r="B1485" s="134" t="s">
        <v>10500</v>
      </c>
      <c r="C1485" s="91" t="s">
        <v>8</v>
      </c>
      <c r="D1485" s="133" t="s">
        <v>10496</v>
      </c>
      <c r="E1485" s="133" t="s">
        <v>10216</v>
      </c>
      <c r="F1485" s="91" t="s">
        <v>284</v>
      </c>
      <c r="G1485" s="91" t="s">
        <v>10217</v>
      </c>
      <c r="H1485" s="133" t="s">
        <v>10218</v>
      </c>
    </row>
    <row r="1486" spans="1:8">
      <c r="A1486" s="91" t="s">
        <v>10501</v>
      </c>
      <c r="B1486" s="134" t="s">
        <v>10502</v>
      </c>
      <c r="C1486" s="91" t="s">
        <v>8</v>
      </c>
      <c r="D1486" s="133" t="s">
        <v>10503</v>
      </c>
      <c r="E1486" s="133" t="s">
        <v>10216</v>
      </c>
      <c r="F1486" s="91" t="s">
        <v>284</v>
      </c>
      <c r="G1486" s="91" t="s">
        <v>10222</v>
      </c>
      <c r="H1486" s="133" t="s">
        <v>10218</v>
      </c>
    </row>
    <row r="1487" spans="1:8">
      <c r="A1487" s="91" t="s">
        <v>10504</v>
      </c>
      <c r="B1487" s="134" t="s">
        <v>10505</v>
      </c>
      <c r="C1487" s="91" t="s">
        <v>8</v>
      </c>
      <c r="D1487" s="133" t="s">
        <v>10503</v>
      </c>
      <c r="E1487" s="133" t="s">
        <v>10216</v>
      </c>
      <c r="F1487" s="91" t="s">
        <v>284</v>
      </c>
      <c r="G1487" s="91" t="s">
        <v>10222</v>
      </c>
      <c r="H1487" s="133" t="s">
        <v>10218</v>
      </c>
    </row>
    <row r="1488" spans="1:8">
      <c r="A1488" s="91" t="s">
        <v>10506</v>
      </c>
      <c r="B1488" s="134" t="s">
        <v>10507</v>
      </c>
      <c r="C1488" s="91" t="s">
        <v>8</v>
      </c>
      <c r="D1488" s="133" t="s">
        <v>10508</v>
      </c>
      <c r="E1488" s="133" t="s">
        <v>10216</v>
      </c>
      <c r="F1488" s="91" t="s">
        <v>284</v>
      </c>
      <c r="G1488" s="91" t="s">
        <v>10222</v>
      </c>
      <c r="H1488" s="133" t="s">
        <v>10218</v>
      </c>
    </row>
    <row r="1489" spans="1:8">
      <c r="A1489" s="91" t="s">
        <v>10509</v>
      </c>
      <c r="B1489" s="134" t="s">
        <v>10510</v>
      </c>
      <c r="C1489" s="91" t="s">
        <v>8</v>
      </c>
      <c r="D1489" s="133" t="s">
        <v>10511</v>
      </c>
      <c r="E1489" s="133" t="s">
        <v>10216</v>
      </c>
      <c r="F1489" s="91" t="s">
        <v>284</v>
      </c>
      <c r="G1489" s="91" t="s">
        <v>10222</v>
      </c>
      <c r="H1489" s="133" t="s">
        <v>10218</v>
      </c>
    </row>
    <row r="1490" spans="1:8">
      <c r="A1490" s="91" t="s">
        <v>10512</v>
      </c>
      <c r="B1490" s="134" t="s">
        <v>10513</v>
      </c>
      <c r="C1490" s="91" t="s">
        <v>8</v>
      </c>
      <c r="D1490" s="133" t="s">
        <v>1406</v>
      </c>
      <c r="E1490" s="133" t="s">
        <v>10216</v>
      </c>
      <c r="F1490" s="91" t="s">
        <v>284</v>
      </c>
      <c r="G1490" s="91" t="s">
        <v>10228</v>
      </c>
      <c r="H1490" s="133" t="s">
        <v>10218</v>
      </c>
    </row>
    <row r="1491" spans="1:8">
      <c r="A1491" s="91" t="s">
        <v>10514</v>
      </c>
      <c r="B1491" s="134" t="s">
        <v>10515</v>
      </c>
      <c r="C1491" s="91" t="s">
        <v>8</v>
      </c>
      <c r="D1491" s="133" t="s">
        <v>1406</v>
      </c>
      <c r="E1491" s="133" t="s">
        <v>10216</v>
      </c>
      <c r="F1491" s="91" t="s">
        <v>109</v>
      </c>
      <c r="G1491" s="91" t="s">
        <v>10239</v>
      </c>
      <c r="H1491" s="133" t="s">
        <v>10218</v>
      </c>
    </row>
    <row r="1492" spans="1:8">
      <c r="A1492" s="91" t="s">
        <v>10516</v>
      </c>
      <c r="B1492" s="134" t="s">
        <v>10517</v>
      </c>
      <c r="C1492" s="91" t="s">
        <v>8</v>
      </c>
      <c r="D1492" s="133" t="s">
        <v>1406</v>
      </c>
      <c r="E1492" s="133" t="s">
        <v>10216</v>
      </c>
      <c r="F1492" s="91" t="s">
        <v>65</v>
      </c>
      <c r="G1492" s="91" t="s">
        <v>10242</v>
      </c>
      <c r="H1492" s="133" t="s">
        <v>10218</v>
      </c>
    </row>
    <row r="1493" spans="1:8">
      <c r="A1493" s="91" t="s">
        <v>10518</v>
      </c>
      <c r="B1493" s="134" t="s">
        <v>10519</v>
      </c>
      <c r="C1493" s="91" t="s">
        <v>8</v>
      </c>
      <c r="D1493" s="133" t="s">
        <v>10520</v>
      </c>
      <c r="E1493" s="133" t="s">
        <v>10216</v>
      </c>
      <c r="F1493" s="91" t="s">
        <v>284</v>
      </c>
      <c r="G1493" s="91" t="s">
        <v>10222</v>
      </c>
      <c r="H1493" s="133" t="s">
        <v>10218</v>
      </c>
    </row>
    <row r="1494" spans="1:8">
      <c r="A1494" s="91" t="s">
        <v>10521</v>
      </c>
      <c r="B1494" s="134" t="s">
        <v>10522</v>
      </c>
      <c r="C1494" s="91" t="s">
        <v>8</v>
      </c>
      <c r="D1494" s="133" t="s">
        <v>10523</v>
      </c>
      <c r="E1494" s="133" t="s">
        <v>10216</v>
      </c>
      <c r="F1494" s="91" t="s">
        <v>284</v>
      </c>
      <c r="G1494" s="91" t="s">
        <v>10222</v>
      </c>
      <c r="H1494" s="133" t="s">
        <v>10218</v>
      </c>
    </row>
    <row r="1495" spans="1:8">
      <c r="A1495" s="91" t="s">
        <v>10524</v>
      </c>
      <c r="B1495" s="134" t="s">
        <v>10525</v>
      </c>
      <c r="C1495" s="91" t="s">
        <v>8</v>
      </c>
      <c r="D1495" s="133" t="s">
        <v>10523</v>
      </c>
      <c r="E1495" s="133" t="s">
        <v>10216</v>
      </c>
      <c r="F1495" s="91" t="s">
        <v>284</v>
      </c>
      <c r="G1495" s="91" t="s">
        <v>10222</v>
      </c>
      <c r="H1495" s="133" t="s">
        <v>10218</v>
      </c>
    </row>
    <row r="1496" spans="1:8">
      <c r="A1496" s="91" t="s">
        <v>10526</v>
      </c>
      <c r="B1496" s="134" t="s">
        <v>10527</v>
      </c>
      <c r="C1496" s="91" t="s">
        <v>8</v>
      </c>
      <c r="D1496" s="133" t="s">
        <v>6445</v>
      </c>
      <c r="E1496" s="133" t="s">
        <v>10216</v>
      </c>
      <c r="F1496" s="91" t="s">
        <v>284</v>
      </c>
      <c r="G1496" s="91" t="s">
        <v>10231</v>
      </c>
      <c r="H1496" s="133" t="s">
        <v>10218</v>
      </c>
    </row>
    <row r="1497" spans="1:8">
      <c r="A1497" s="91" t="s">
        <v>6495</v>
      </c>
      <c r="B1497" s="134" t="s">
        <v>6496</v>
      </c>
      <c r="C1497" s="91" t="s">
        <v>8</v>
      </c>
      <c r="D1497" s="133" t="s">
        <v>6445</v>
      </c>
      <c r="E1497" s="133" t="s">
        <v>10216</v>
      </c>
      <c r="F1497" s="91" t="s">
        <v>284</v>
      </c>
      <c r="G1497" s="91" t="s">
        <v>10232</v>
      </c>
      <c r="H1497" s="133" t="s">
        <v>10218</v>
      </c>
    </row>
    <row r="1498" spans="1:8">
      <c r="A1498" s="91" t="s">
        <v>6512</v>
      </c>
      <c r="B1498" s="134" t="s">
        <v>6513</v>
      </c>
      <c r="C1498" s="91" t="s">
        <v>8</v>
      </c>
      <c r="D1498" s="133" t="s">
        <v>6445</v>
      </c>
      <c r="E1498" s="133" t="s">
        <v>10216</v>
      </c>
      <c r="F1498" s="91" t="s">
        <v>284</v>
      </c>
      <c r="G1498" s="91" t="s">
        <v>10239</v>
      </c>
      <c r="H1498" s="133" t="s">
        <v>10218</v>
      </c>
    </row>
    <row r="1499" spans="1:8">
      <c r="A1499" s="91" t="s">
        <v>10528</v>
      </c>
      <c r="B1499" s="134" t="s">
        <v>10529</v>
      </c>
      <c r="C1499" s="91" t="s">
        <v>8</v>
      </c>
      <c r="D1499" s="133" t="s">
        <v>6445</v>
      </c>
      <c r="E1499" s="133" t="s">
        <v>10216</v>
      </c>
      <c r="F1499" s="91" t="s">
        <v>284</v>
      </c>
      <c r="G1499" s="91" t="s">
        <v>10252</v>
      </c>
      <c r="H1499" s="133" t="s">
        <v>10218</v>
      </c>
    </row>
    <row r="1500" spans="1:8">
      <c r="A1500" s="91" t="s">
        <v>10530</v>
      </c>
      <c r="B1500" s="134" t="s">
        <v>10531</v>
      </c>
      <c r="C1500" s="91" t="s">
        <v>8</v>
      </c>
      <c r="D1500" s="133" t="s">
        <v>6445</v>
      </c>
      <c r="E1500" s="133" t="s">
        <v>10216</v>
      </c>
      <c r="F1500" s="91" t="s">
        <v>284</v>
      </c>
      <c r="G1500" s="91" t="s">
        <v>10245</v>
      </c>
      <c r="H1500" s="133" t="s">
        <v>10218</v>
      </c>
    </row>
    <row r="1501" spans="1:8">
      <c r="A1501" s="91" t="s">
        <v>10532</v>
      </c>
      <c r="B1501" s="134" t="s">
        <v>10533</v>
      </c>
      <c r="C1501" s="91" t="s">
        <v>8</v>
      </c>
      <c r="D1501" s="133" t="s">
        <v>6445</v>
      </c>
      <c r="E1501" s="133" t="s">
        <v>10216</v>
      </c>
      <c r="F1501" s="91" t="s">
        <v>284</v>
      </c>
      <c r="G1501" s="91" t="s">
        <v>10228</v>
      </c>
      <c r="H1501" s="133" t="s">
        <v>10218</v>
      </c>
    </row>
    <row r="1502" spans="1:8">
      <c r="A1502" s="91" t="s">
        <v>10534</v>
      </c>
      <c r="B1502" s="134" t="s">
        <v>10535</v>
      </c>
      <c r="C1502" s="91" t="s">
        <v>8</v>
      </c>
      <c r="D1502" s="133" t="s">
        <v>6445</v>
      </c>
      <c r="E1502" s="133" t="s">
        <v>10216</v>
      </c>
      <c r="F1502" s="91" t="s">
        <v>284</v>
      </c>
      <c r="G1502" s="91" t="s">
        <v>10228</v>
      </c>
      <c r="H1502" s="133" t="s">
        <v>10218</v>
      </c>
    </row>
    <row r="1503" spans="1:8">
      <c r="A1503" s="91" t="s">
        <v>6468</v>
      </c>
      <c r="B1503" s="134" t="s">
        <v>6469</v>
      </c>
      <c r="C1503" s="91" t="s">
        <v>8</v>
      </c>
      <c r="D1503" s="133" t="s">
        <v>6445</v>
      </c>
      <c r="E1503" s="133" t="s">
        <v>10216</v>
      </c>
      <c r="F1503" s="91" t="s">
        <v>284</v>
      </c>
      <c r="G1503" s="91" t="s">
        <v>10239</v>
      </c>
      <c r="H1503" s="133" t="s">
        <v>10218</v>
      </c>
    </row>
    <row r="1504" spans="1:8">
      <c r="A1504" s="91" t="s">
        <v>6454</v>
      </c>
      <c r="B1504" s="134" t="s">
        <v>6455</v>
      </c>
      <c r="C1504" s="91" t="s">
        <v>8</v>
      </c>
      <c r="D1504" s="133" t="s">
        <v>6445</v>
      </c>
      <c r="E1504" s="133" t="s">
        <v>10216</v>
      </c>
      <c r="F1504" s="91" t="s">
        <v>65</v>
      </c>
      <c r="G1504" s="91" t="s">
        <v>10242</v>
      </c>
      <c r="H1504" s="133" t="s">
        <v>10218</v>
      </c>
    </row>
    <row r="1505" spans="1:8">
      <c r="A1505" s="91" t="s">
        <v>2603</v>
      </c>
      <c r="B1505" s="134" t="s">
        <v>2604</v>
      </c>
      <c r="C1505" s="91" t="s">
        <v>8</v>
      </c>
      <c r="D1505" s="133" t="s">
        <v>6445</v>
      </c>
      <c r="E1505" s="133" t="s">
        <v>10216</v>
      </c>
      <c r="F1505" s="91" t="s">
        <v>284</v>
      </c>
      <c r="G1505" s="91" t="s">
        <v>10242</v>
      </c>
      <c r="H1505" s="133" t="s">
        <v>10218</v>
      </c>
    </row>
    <row r="1506" spans="1:8">
      <c r="A1506" s="91" t="s">
        <v>6490</v>
      </c>
      <c r="B1506" s="134" t="s">
        <v>6491</v>
      </c>
      <c r="C1506" s="91" t="s">
        <v>8</v>
      </c>
      <c r="D1506" s="133" t="s">
        <v>6445</v>
      </c>
      <c r="E1506" s="133" t="s">
        <v>10216</v>
      </c>
      <c r="F1506" s="91" t="s">
        <v>284</v>
      </c>
      <c r="G1506" s="91" t="s">
        <v>10242</v>
      </c>
      <c r="H1506" s="133" t="s">
        <v>10218</v>
      </c>
    </row>
    <row r="1507" spans="1:8">
      <c r="A1507" s="91" t="s">
        <v>10536</v>
      </c>
      <c r="B1507" s="134" t="s">
        <v>10537</v>
      </c>
      <c r="C1507" s="91" t="s">
        <v>8</v>
      </c>
      <c r="D1507" s="133" t="s">
        <v>10538</v>
      </c>
      <c r="E1507" s="133" t="s">
        <v>10216</v>
      </c>
      <c r="F1507" s="91" t="s">
        <v>284</v>
      </c>
      <c r="G1507" s="91" t="s">
        <v>10222</v>
      </c>
      <c r="H1507" s="133" t="s">
        <v>10218</v>
      </c>
    </row>
    <row r="1508" spans="1:8">
      <c r="A1508" s="91" t="s">
        <v>10539</v>
      </c>
      <c r="B1508" s="134" t="s">
        <v>10540</v>
      </c>
      <c r="C1508" s="91" t="s">
        <v>8</v>
      </c>
      <c r="D1508" s="133" t="s">
        <v>8913</v>
      </c>
      <c r="E1508" s="133" t="s">
        <v>10216</v>
      </c>
      <c r="F1508" s="91" t="s">
        <v>284</v>
      </c>
      <c r="G1508" s="91" t="s">
        <v>10217</v>
      </c>
      <c r="H1508" s="133" t="s">
        <v>10218</v>
      </c>
    </row>
    <row r="1509" spans="1:8">
      <c r="A1509" s="91" t="s">
        <v>10541</v>
      </c>
      <c r="B1509" s="134" t="s">
        <v>9482</v>
      </c>
      <c r="C1509" s="91" t="s">
        <v>8</v>
      </c>
      <c r="D1509" s="133" t="s">
        <v>10542</v>
      </c>
      <c r="E1509" s="133" t="s">
        <v>10216</v>
      </c>
      <c r="F1509" s="91" t="s">
        <v>284</v>
      </c>
      <c r="G1509" s="91" t="s">
        <v>10217</v>
      </c>
      <c r="H1509" s="133" t="s">
        <v>10218</v>
      </c>
    </row>
    <row r="1510" spans="1:8">
      <c r="A1510" s="91" t="s">
        <v>10543</v>
      </c>
      <c r="B1510" s="134" t="s">
        <v>10544</v>
      </c>
      <c r="C1510" s="91" t="s">
        <v>8</v>
      </c>
      <c r="D1510" s="133" t="s">
        <v>277</v>
      </c>
      <c r="E1510" s="133" t="s">
        <v>10216</v>
      </c>
      <c r="F1510" s="91" t="s">
        <v>284</v>
      </c>
      <c r="G1510" s="91" t="s">
        <v>10245</v>
      </c>
      <c r="H1510" s="133" t="s">
        <v>10218</v>
      </c>
    </row>
    <row r="1511" spans="1:8">
      <c r="A1511" s="91" t="s">
        <v>10545</v>
      </c>
      <c r="B1511" s="134" t="s">
        <v>10546</v>
      </c>
      <c r="C1511" s="91" t="s">
        <v>8</v>
      </c>
      <c r="D1511" s="133" t="s">
        <v>277</v>
      </c>
      <c r="E1511" s="133" t="s">
        <v>10216</v>
      </c>
      <c r="F1511" s="91" t="s">
        <v>284</v>
      </c>
      <c r="G1511" s="91" t="s">
        <v>10242</v>
      </c>
      <c r="H1511" s="133" t="s">
        <v>10218</v>
      </c>
    </row>
    <row r="1512" spans="1:8">
      <c r="A1512" s="91" t="s">
        <v>10547</v>
      </c>
      <c r="B1512" s="134" t="s">
        <v>10160</v>
      </c>
      <c r="C1512" s="91" t="s">
        <v>8</v>
      </c>
      <c r="D1512" s="133" t="s">
        <v>277</v>
      </c>
      <c r="E1512" s="133" t="s">
        <v>10216</v>
      </c>
      <c r="F1512" s="91" t="s">
        <v>284</v>
      </c>
      <c r="G1512" s="91" t="s">
        <v>10242</v>
      </c>
      <c r="H1512" s="133" t="s">
        <v>10218</v>
      </c>
    </row>
    <row r="1513" spans="1:8">
      <c r="A1513" s="91" t="s">
        <v>10548</v>
      </c>
      <c r="B1513" s="134" t="s">
        <v>2982</v>
      </c>
      <c r="C1513" s="91" t="s">
        <v>8</v>
      </c>
      <c r="D1513" s="133" t="s">
        <v>277</v>
      </c>
      <c r="E1513" s="133" t="s">
        <v>10216</v>
      </c>
      <c r="F1513" s="91" t="s">
        <v>284</v>
      </c>
      <c r="G1513" s="91" t="s">
        <v>10242</v>
      </c>
      <c r="H1513" s="133" t="s">
        <v>10218</v>
      </c>
    </row>
    <row r="1514" spans="1:8">
      <c r="A1514" s="91" t="s">
        <v>10549</v>
      </c>
      <c r="B1514" s="134" t="s">
        <v>10550</v>
      </c>
      <c r="C1514" s="91" t="s">
        <v>8</v>
      </c>
      <c r="D1514" s="133" t="s">
        <v>277</v>
      </c>
      <c r="E1514" s="133" t="s">
        <v>10216</v>
      </c>
      <c r="F1514" s="91" t="s">
        <v>284</v>
      </c>
      <c r="G1514" s="91" t="s">
        <v>10242</v>
      </c>
      <c r="H1514" s="133" t="s">
        <v>10218</v>
      </c>
    </row>
    <row r="1515" spans="1:8">
      <c r="A1515" s="91" t="s">
        <v>6047</v>
      </c>
      <c r="B1515" s="134" t="s">
        <v>6048</v>
      </c>
      <c r="C1515" s="91" t="s">
        <v>8</v>
      </c>
      <c r="D1515" s="133" t="s">
        <v>277</v>
      </c>
      <c r="E1515" s="133" t="s">
        <v>10216</v>
      </c>
      <c r="F1515" s="91" t="s">
        <v>284</v>
      </c>
      <c r="G1515" s="91" t="s">
        <v>10232</v>
      </c>
      <c r="H1515" s="133" t="s">
        <v>10218</v>
      </c>
    </row>
    <row r="1516" spans="1:8">
      <c r="A1516" s="91" t="s">
        <v>6518</v>
      </c>
      <c r="B1516" s="134" t="s">
        <v>6519</v>
      </c>
      <c r="C1516" s="91" t="s">
        <v>8</v>
      </c>
      <c r="D1516" s="133" t="s">
        <v>277</v>
      </c>
      <c r="E1516" s="133" t="s">
        <v>10216</v>
      </c>
      <c r="F1516" s="91" t="s">
        <v>65</v>
      </c>
      <c r="G1516" s="91" t="s">
        <v>10225</v>
      </c>
      <c r="H1516" s="133" t="s">
        <v>10218</v>
      </c>
    </row>
    <row r="1517" spans="1:8">
      <c r="A1517" s="91" t="s">
        <v>10551</v>
      </c>
      <c r="B1517" s="134" t="s">
        <v>10552</v>
      </c>
      <c r="C1517" s="91" t="s">
        <v>8</v>
      </c>
      <c r="D1517" s="133" t="s">
        <v>277</v>
      </c>
      <c r="E1517" s="133" t="s">
        <v>10216</v>
      </c>
      <c r="F1517" s="91" t="s">
        <v>65</v>
      </c>
      <c r="G1517" s="91" t="s">
        <v>10231</v>
      </c>
      <c r="H1517" s="133" t="s">
        <v>10218</v>
      </c>
    </row>
    <row r="1518" spans="1:8">
      <c r="A1518" s="91" t="s">
        <v>3979</v>
      </c>
      <c r="B1518" s="134" t="s">
        <v>3980</v>
      </c>
      <c r="C1518" s="91" t="s">
        <v>8</v>
      </c>
      <c r="D1518" s="133" t="s">
        <v>277</v>
      </c>
      <c r="E1518" s="133" t="s">
        <v>10216</v>
      </c>
      <c r="F1518" s="91" t="s">
        <v>284</v>
      </c>
      <c r="G1518" s="91" t="s">
        <v>10239</v>
      </c>
      <c r="H1518" s="133" t="s">
        <v>10218</v>
      </c>
    </row>
    <row r="1519" spans="1:8">
      <c r="A1519" s="91" t="s">
        <v>10553</v>
      </c>
      <c r="B1519" s="134" t="s">
        <v>10554</v>
      </c>
      <c r="C1519" s="91" t="s">
        <v>8</v>
      </c>
      <c r="D1519" s="133" t="s">
        <v>277</v>
      </c>
      <c r="E1519" s="133" t="s">
        <v>10216</v>
      </c>
      <c r="F1519" s="91" t="s">
        <v>284</v>
      </c>
      <c r="G1519" s="91" t="s">
        <v>10228</v>
      </c>
      <c r="H1519" s="133" t="s">
        <v>10218</v>
      </c>
    </row>
    <row r="1520" spans="1:8">
      <c r="A1520" s="91" t="s">
        <v>10555</v>
      </c>
      <c r="B1520" s="134" t="s">
        <v>10556</v>
      </c>
      <c r="C1520" s="91" t="s">
        <v>8</v>
      </c>
      <c r="D1520" s="133" t="s">
        <v>277</v>
      </c>
      <c r="E1520" s="133" t="s">
        <v>10216</v>
      </c>
      <c r="F1520" s="91" t="s">
        <v>284</v>
      </c>
      <c r="G1520" s="91" t="s">
        <v>10239</v>
      </c>
      <c r="H1520" s="133" t="s">
        <v>10218</v>
      </c>
    </row>
    <row r="1521" spans="1:8">
      <c r="A1521" s="91" t="s">
        <v>10557</v>
      </c>
      <c r="B1521" s="134" t="s">
        <v>10558</v>
      </c>
      <c r="C1521" s="91" t="s">
        <v>8</v>
      </c>
      <c r="D1521" s="133" t="s">
        <v>277</v>
      </c>
      <c r="E1521" s="133" t="s">
        <v>10216</v>
      </c>
      <c r="F1521" s="91" t="s">
        <v>284</v>
      </c>
      <c r="G1521" s="91" t="s">
        <v>10252</v>
      </c>
      <c r="H1521" s="133" t="s">
        <v>10218</v>
      </c>
    </row>
    <row r="1522" spans="1:8">
      <c r="A1522" s="91" t="s">
        <v>10559</v>
      </c>
      <c r="B1522" s="134" t="s">
        <v>10560</v>
      </c>
      <c r="C1522" s="91" t="s">
        <v>8</v>
      </c>
      <c r="D1522" s="133" t="s">
        <v>2762</v>
      </c>
      <c r="E1522" s="133" t="s">
        <v>10216</v>
      </c>
      <c r="F1522" s="91" t="s">
        <v>284</v>
      </c>
      <c r="G1522" s="91" t="s">
        <v>10245</v>
      </c>
      <c r="H1522" s="133" t="s">
        <v>10218</v>
      </c>
    </row>
    <row r="1523" spans="1:8">
      <c r="A1523" s="91" t="s">
        <v>10561</v>
      </c>
      <c r="B1523" s="134" t="s">
        <v>10562</v>
      </c>
      <c r="C1523" s="91" t="s">
        <v>8</v>
      </c>
      <c r="D1523" s="133" t="s">
        <v>2762</v>
      </c>
      <c r="E1523" s="133" t="s">
        <v>10216</v>
      </c>
      <c r="F1523" s="91" t="s">
        <v>284</v>
      </c>
      <c r="G1523" s="91" t="s">
        <v>10252</v>
      </c>
      <c r="H1523" s="133" t="s">
        <v>10218</v>
      </c>
    </row>
    <row r="1524" spans="1:8">
      <c r="A1524" s="91" t="s">
        <v>3579</v>
      </c>
      <c r="B1524" s="134" t="s">
        <v>3580</v>
      </c>
      <c r="C1524" s="91" t="s">
        <v>8</v>
      </c>
      <c r="D1524" s="133" t="s">
        <v>2762</v>
      </c>
      <c r="E1524" s="133" t="s">
        <v>10216</v>
      </c>
      <c r="F1524" s="91" t="s">
        <v>284</v>
      </c>
      <c r="G1524" s="91" t="s">
        <v>10242</v>
      </c>
      <c r="H1524" s="133" t="s">
        <v>10218</v>
      </c>
    </row>
    <row r="1525" spans="1:8">
      <c r="A1525" s="91" t="s">
        <v>8506</v>
      </c>
      <c r="B1525" s="134" t="s">
        <v>10563</v>
      </c>
      <c r="C1525" s="91" t="s">
        <v>8</v>
      </c>
      <c r="D1525" s="133" t="s">
        <v>2762</v>
      </c>
      <c r="E1525" s="133" t="s">
        <v>10216</v>
      </c>
      <c r="F1525" s="91" t="s">
        <v>284</v>
      </c>
      <c r="G1525" s="91" t="s">
        <v>10232</v>
      </c>
      <c r="H1525" s="133" t="s">
        <v>10218</v>
      </c>
    </row>
    <row r="1526" spans="1:8">
      <c r="A1526" s="91" t="s">
        <v>10564</v>
      </c>
      <c r="B1526" s="134" t="s">
        <v>10565</v>
      </c>
      <c r="C1526" s="91" t="s">
        <v>8</v>
      </c>
      <c r="D1526" s="133" t="s">
        <v>2762</v>
      </c>
      <c r="E1526" s="133" t="s">
        <v>10216</v>
      </c>
      <c r="F1526" s="91" t="s">
        <v>284</v>
      </c>
      <c r="G1526" s="91" t="s">
        <v>10228</v>
      </c>
      <c r="H1526" s="133" t="s">
        <v>10218</v>
      </c>
    </row>
    <row r="1527" spans="1:8">
      <c r="A1527" s="91" t="s">
        <v>3634</v>
      </c>
      <c r="B1527" s="134" t="s">
        <v>3635</v>
      </c>
      <c r="C1527" s="91" t="s">
        <v>8</v>
      </c>
      <c r="D1527" s="133" t="s">
        <v>2762</v>
      </c>
      <c r="E1527" s="133" t="s">
        <v>10216</v>
      </c>
      <c r="F1527" s="91" t="s">
        <v>284</v>
      </c>
      <c r="G1527" s="91" t="s">
        <v>10239</v>
      </c>
      <c r="H1527" s="133" t="s">
        <v>10218</v>
      </c>
    </row>
    <row r="1528" spans="1:8">
      <c r="A1528" s="91" t="s">
        <v>3208</v>
      </c>
      <c r="B1528" s="134" t="s">
        <v>3209</v>
      </c>
      <c r="C1528" s="91" t="s">
        <v>8</v>
      </c>
      <c r="D1528" s="133" t="s">
        <v>2762</v>
      </c>
      <c r="E1528" s="133" t="s">
        <v>10216</v>
      </c>
      <c r="F1528" s="91" t="s">
        <v>65</v>
      </c>
      <c r="G1528" s="91" t="s">
        <v>10231</v>
      </c>
      <c r="H1528" s="133" t="s">
        <v>10218</v>
      </c>
    </row>
    <row r="1529" spans="1:8">
      <c r="A1529" s="91" t="s">
        <v>3555</v>
      </c>
      <c r="B1529" s="134" t="s">
        <v>3556</v>
      </c>
      <c r="C1529" s="91" t="s">
        <v>8</v>
      </c>
      <c r="D1529" s="133" t="s">
        <v>2762</v>
      </c>
      <c r="E1529" s="133" t="s">
        <v>10216</v>
      </c>
      <c r="F1529" s="91" t="s">
        <v>65</v>
      </c>
      <c r="G1529" s="91" t="s">
        <v>10242</v>
      </c>
      <c r="H1529" s="133" t="s">
        <v>10218</v>
      </c>
    </row>
    <row r="1530" spans="1:8">
      <c r="A1530" s="91" t="s">
        <v>7626</v>
      </c>
      <c r="B1530" s="134" t="s">
        <v>7627</v>
      </c>
      <c r="C1530" s="91" t="s">
        <v>8</v>
      </c>
      <c r="D1530" s="133" t="s">
        <v>2762</v>
      </c>
      <c r="E1530" s="133" t="s">
        <v>10216</v>
      </c>
      <c r="F1530" s="91" t="s">
        <v>65</v>
      </c>
      <c r="G1530" s="91" t="s">
        <v>10274</v>
      </c>
      <c r="H1530" s="133" t="s">
        <v>10218</v>
      </c>
    </row>
    <row r="1531" spans="1:8">
      <c r="A1531" s="91" t="s">
        <v>10566</v>
      </c>
      <c r="B1531" s="134" t="s">
        <v>10567</v>
      </c>
      <c r="C1531" s="91" t="s">
        <v>8</v>
      </c>
      <c r="D1531" s="133" t="s">
        <v>2762</v>
      </c>
      <c r="E1531" s="133" t="s">
        <v>10216</v>
      </c>
      <c r="F1531" s="91" t="s">
        <v>65</v>
      </c>
      <c r="G1531" s="91" t="s">
        <v>10242</v>
      </c>
      <c r="H1531" s="133" t="s">
        <v>10218</v>
      </c>
    </row>
    <row r="1532" spans="1:8">
      <c r="A1532" s="91" t="s">
        <v>7250</v>
      </c>
      <c r="B1532" s="134" t="s">
        <v>7251</v>
      </c>
      <c r="C1532" s="91" t="s">
        <v>8</v>
      </c>
      <c r="D1532" s="133" t="s">
        <v>2762</v>
      </c>
      <c r="E1532" s="133" t="s">
        <v>10216</v>
      </c>
      <c r="F1532" s="91" t="s">
        <v>65</v>
      </c>
      <c r="G1532" s="91" t="s">
        <v>10225</v>
      </c>
      <c r="H1532" s="133" t="s">
        <v>10218</v>
      </c>
    </row>
    <row r="1533" spans="1:8">
      <c r="A1533" s="91" t="s">
        <v>10568</v>
      </c>
      <c r="B1533" s="134" t="s">
        <v>10569</v>
      </c>
      <c r="C1533" s="91" t="s">
        <v>8</v>
      </c>
      <c r="D1533" s="133" t="s">
        <v>10570</v>
      </c>
      <c r="E1533" s="133" t="s">
        <v>10216</v>
      </c>
      <c r="F1533" s="91" t="s">
        <v>284</v>
      </c>
      <c r="G1533" s="91" t="s">
        <v>10242</v>
      </c>
      <c r="H1533" s="133" t="s">
        <v>10218</v>
      </c>
    </row>
    <row r="1534" spans="1:8">
      <c r="A1534" s="91" t="s">
        <v>10571</v>
      </c>
      <c r="B1534" s="134" t="s">
        <v>10572</v>
      </c>
      <c r="C1534" s="91" t="s">
        <v>8</v>
      </c>
      <c r="D1534" s="133" t="s">
        <v>10570</v>
      </c>
      <c r="E1534" s="133" t="s">
        <v>10216</v>
      </c>
      <c r="F1534" s="91" t="s">
        <v>284</v>
      </c>
      <c r="G1534" s="91" t="s">
        <v>10228</v>
      </c>
      <c r="H1534" s="133" t="s">
        <v>10218</v>
      </c>
    </row>
    <row r="1535" spans="1:8">
      <c r="A1535" s="91" t="s">
        <v>10573</v>
      </c>
      <c r="B1535" s="134" t="s">
        <v>10574</v>
      </c>
      <c r="C1535" s="91" t="s">
        <v>8</v>
      </c>
      <c r="D1535" s="133" t="s">
        <v>10570</v>
      </c>
      <c r="E1535" s="133" t="s">
        <v>10216</v>
      </c>
      <c r="F1535" s="91" t="s">
        <v>284</v>
      </c>
      <c r="G1535" s="91" t="s">
        <v>10252</v>
      </c>
      <c r="H1535" s="133" t="s">
        <v>10218</v>
      </c>
    </row>
    <row r="1536" spans="1:8">
      <c r="A1536" s="91" t="s">
        <v>10575</v>
      </c>
      <c r="B1536" s="134" t="s">
        <v>10576</v>
      </c>
      <c r="C1536" s="91" t="s">
        <v>8</v>
      </c>
      <c r="D1536" s="133" t="s">
        <v>10570</v>
      </c>
      <c r="E1536" s="133" t="s">
        <v>10216</v>
      </c>
      <c r="F1536" s="91" t="s">
        <v>284</v>
      </c>
      <c r="G1536" s="91" t="s">
        <v>10232</v>
      </c>
      <c r="H1536" s="133" t="s">
        <v>10218</v>
      </c>
    </row>
    <row r="1537" spans="1:8">
      <c r="A1537" s="91" t="s">
        <v>10577</v>
      </c>
      <c r="B1537" s="134" t="s">
        <v>10578</v>
      </c>
      <c r="C1537" s="91" t="s">
        <v>8</v>
      </c>
      <c r="D1537" s="133" t="s">
        <v>10579</v>
      </c>
      <c r="E1537" s="133" t="s">
        <v>10216</v>
      </c>
      <c r="F1537" s="91" t="s">
        <v>284</v>
      </c>
      <c r="G1537" s="91" t="s">
        <v>10222</v>
      </c>
      <c r="H1537" s="133" t="s">
        <v>10218</v>
      </c>
    </row>
    <row r="1538" spans="1:8">
      <c r="A1538" s="91" t="s">
        <v>10580</v>
      </c>
      <c r="B1538" s="134" t="s">
        <v>10581</v>
      </c>
      <c r="C1538" s="91" t="s">
        <v>8</v>
      </c>
      <c r="D1538" s="133" t="s">
        <v>8920</v>
      </c>
      <c r="E1538" s="133" t="s">
        <v>10216</v>
      </c>
      <c r="F1538" s="91" t="s">
        <v>284</v>
      </c>
      <c r="G1538" s="91" t="s">
        <v>10217</v>
      </c>
      <c r="H1538" s="133" t="s">
        <v>10218</v>
      </c>
    </row>
    <row r="1539" spans="1:8">
      <c r="A1539" s="91" t="s">
        <v>10582</v>
      </c>
      <c r="B1539" s="134" t="s">
        <v>2982</v>
      </c>
      <c r="C1539" s="91" t="s">
        <v>8</v>
      </c>
      <c r="D1539" s="133" t="s">
        <v>8920</v>
      </c>
      <c r="E1539" s="133" t="s">
        <v>10216</v>
      </c>
      <c r="F1539" s="91" t="s">
        <v>284</v>
      </c>
      <c r="G1539" s="91" t="s">
        <v>10217</v>
      </c>
      <c r="H1539" s="133" t="s">
        <v>10218</v>
      </c>
    </row>
    <row r="1540" spans="1:8">
      <c r="A1540" s="91" t="s">
        <v>10583</v>
      </c>
      <c r="B1540" s="134" t="s">
        <v>10584</v>
      </c>
      <c r="C1540" s="91" t="s">
        <v>8</v>
      </c>
      <c r="D1540" s="133" t="s">
        <v>8920</v>
      </c>
      <c r="E1540" s="133" t="s">
        <v>10216</v>
      </c>
      <c r="F1540" s="91" t="s">
        <v>284</v>
      </c>
      <c r="G1540" s="91" t="s">
        <v>10217</v>
      </c>
      <c r="H1540" s="133" t="s">
        <v>10218</v>
      </c>
    </row>
    <row r="1541" spans="1:8">
      <c r="A1541" s="91" t="s">
        <v>10585</v>
      </c>
      <c r="B1541" s="134" t="s">
        <v>10586</v>
      </c>
      <c r="C1541" s="91" t="s">
        <v>8</v>
      </c>
      <c r="D1541" s="133" t="s">
        <v>8920</v>
      </c>
      <c r="E1541" s="133" t="s">
        <v>10216</v>
      </c>
      <c r="F1541" s="91" t="s">
        <v>284</v>
      </c>
      <c r="G1541" s="91" t="s">
        <v>10217</v>
      </c>
      <c r="H1541" s="133" t="s">
        <v>10218</v>
      </c>
    </row>
    <row r="1542" spans="1:8">
      <c r="A1542" s="91" t="s">
        <v>10587</v>
      </c>
      <c r="B1542" s="134" t="s">
        <v>10588</v>
      </c>
      <c r="C1542" s="91" t="s">
        <v>8</v>
      </c>
      <c r="D1542" s="133" t="s">
        <v>8924</v>
      </c>
      <c r="E1542" s="133" t="s">
        <v>10216</v>
      </c>
      <c r="F1542" s="91" t="s">
        <v>284</v>
      </c>
      <c r="G1542" s="91" t="s">
        <v>10217</v>
      </c>
      <c r="H1542" s="133" t="s">
        <v>10218</v>
      </c>
    </row>
    <row r="1543" spans="1:8">
      <c r="A1543" s="91" t="s">
        <v>10589</v>
      </c>
      <c r="B1543" s="134" t="s">
        <v>10590</v>
      </c>
      <c r="C1543" s="91" t="s">
        <v>8</v>
      </c>
      <c r="D1543" s="133" t="s">
        <v>8924</v>
      </c>
      <c r="E1543" s="133" t="s">
        <v>10216</v>
      </c>
      <c r="F1543" s="91" t="s">
        <v>284</v>
      </c>
      <c r="G1543" s="91" t="s">
        <v>10217</v>
      </c>
      <c r="H1543" s="133" t="s">
        <v>10218</v>
      </c>
    </row>
    <row r="1544" spans="1:8">
      <c r="A1544" s="91" t="s">
        <v>10591</v>
      </c>
      <c r="B1544" s="134" t="s">
        <v>10592</v>
      </c>
      <c r="C1544" s="91" t="s">
        <v>8</v>
      </c>
      <c r="D1544" s="133" t="s">
        <v>8927</v>
      </c>
      <c r="E1544" s="133" t="s">
        <v>10216</v>
      </c>
      <c r="F1544" s="91" t="s">
        <v>284</v>
      </c>
      <c r="G1544" s="91" t="s">
        <v>10217</v>
      </c>
      <c r="H1544" s="133" t="s">
        <v>10218</v>
      </c>
    </row>
    <row r="1545" spans="1:8">
      <c r="A1545" s="91" t="s">
        <v>10593</v>
      </c>
      <c r="B1545" s="134" t="s">
        <v>10594</v>
      </c>
      <c r="C1545" s="91" t="s">
        <v>8</v>
      </c>
      <c r="D1545" s="133" t="s">
        <v>10595</v>
      </c>
      <c r="E1545" s="133" t="s">
        <v>10216</v>
      </c>
      <c r="F1545" s="91" t="s">
        <v>284</v>
      </c>
      <c r="G1545" s="91" t="s">
        <v>10217</v>
      </c>
      <c r="H1545" s="133" t="s">
        <v>10218</v>
      </c>
    </row>
    <row r="1546" spans="1:8">
      <c r="A1546" s="91" t="s">
        <v>10596</v>
      </c>
      <c r="B1546" s="134" t="s">
        <v>10597</v>
      </c>
      <c r="C1546" s="91" t="s">
        <v>8</v>
      </c>
      <c r="D1546" s="133" t="s">
        <v>10595</v>
      </c>
      <c r="E1546" s="133" t="s">
        <v>10216</v>
      </c>
      <c r="F1546" s="91" t="s">
        <v>284</v>
      </c>
      <c r="G1546" s="91" t="s">
        <v>10217</v>
      </c>
      <c r="H1546" s="133" t="s">
        <v>10218</v>
      </c>
    </row>
    <row r="1547" spans="1:8">
      <c r="A1547" s="91" t="s">
        <v>8477</v>
      </c>
      <c r="B1547" s="134" t="s">
        <v>10598</v>
      </c>
      <c r="C1547" s="91" t="s">
        <v>8</v>
      </c>
      <c r="D1547" s="133" t="s">
        <v>2299</v>
      </c>
      <c r="E1547" s="133" t="s">
        <v>10216</v>
      </c>
      <c r="F1547" s="91" t="s">
        <v>65</v>
      </c>
      <c r="G1547" s="91" t="s">
        <v>10232</v>
      </c>
      <c r="H1547" s="133" t="s">
        <v>10218</v>
      </c>
    </row>
    <row r="1548" spans="1:8">
      <c r="A1548" s="91" t="s">
        <v>10599</v>
      </c>
      <c r="B1548" s="134" t="s">
        <v>10600</v>
      </c>
      <c r="C1548" s="91" t="s">
        <v>8</v>
      </c>
      <c r="D1548" s="133" t="s">
        <v>2299</v>
      </c>
      <c r="E1548" s="133" t="s">
        <v>10216</v>
      </c>
      <c r="F1548" s="91" t="s">
        <v>284</v>
      </c>
      <c r="G1548" s="91" t="s">
        <v>10228</v>
      </c>
      <c r="H1548" s="133" t="s">
        <v>10218</v>
      </c>
    </row>
    <row r="1549" spans="1:8">
      <c r="A1549" s="91" t="s">
        <v>10601</v>
      </c>
      <c r="B1549" s="134" t="s">
        <v>10602</v>
      </c>
      <c r="C1549" s="91" t="s">
        <v>8</v>
      </c>
      <c r="D1549" s="133" t="s">
        <v>2299</v>
      </c>
      <c r="E1549" s="133" t="s">
        <v>10216</v>
      </c>
      <c r="F1549" s="91" t="s">
        <v>65</v>
      </c>
      <c r="G1549" s="91" t="s">
        <v>10242</v>
      </c>
      <c r="H1549" s="133" t="s">
        <v>10218</v>
      </c>
    </row>
    <row r="1550" spans="1:8">
      <c r="A1550" s="91" t="s">
        <v>8574</v>
      </c>
      <c r="B1550" s="134" t="s">
        <v>10308</v>
      </c>
      <c r="C1550" s="91" t="s">
        <v>8</v>
      </c>
      <c r="D1550" s="133" t="s">
        <v>2299</v>
      </c>
      <c r="E1550" s="133" t="s">
        <v>10216</v>
      </c>
      <c r="F1550" s="91" t="s">
        <v>65</v>
      </c>
      <c r="G1550" s="91" t="s">
        <v>10603</v>
      </c>
      <c r="H1550" s="133" t="s">
        <v>10218</v>
      </c>
    </row>
    <row r="1551" spans="1:8">
      <c r="A1551" s="91" t="s">
        <v>10604</v>
      </c>
      <c r="B1551" s="134" t="s">
        <v>10605</v>
      </c>
      <c r="C1551" s="91" t="s">
        <v>8</v>
      </c>
      <c r="D1551" s="133" t="s">
        <v>10606</v>
      </c>
      <c r="E1551" s="133" t="s">
        <v>10216</v>
      </c>
      <c r="F1551" s="91" t="s">
        <v>284</v>
      </c>
      <c r="G1551" s="91" t="s">
        <v>10217</v>
      </c>
      <c r="H1551" s="133" t="s">
        <v>10218</v>
      </c>
    </row>
    <row r="1552" spans="1:8">
      <c r="A1552" s="91" t="s">
        <v>10607</v>
      </c>
      <c r="B1552" s="134" t="s">
        <v>10608</v>
      </c>
      <c r="C1552" s="91" t="s">
        <v>8</v>
      </c>
      <c r="D1552" s="133" t="s">
        <v>757</v>
      </c>
      <c r="E1552" s="133" t="s">
        <v>10216</v>
      </c>
      <c r="F1552" s="91" t="s">
        <v>284</v>
      </c>
      <c r="G1552" s="91" t="s">
        <v>10242</v>
      </c>
      <c r="H1552" s="133" t="s">
        <v>10218</v>
      </c>
    </row>
    <row r="1553" spans="1:8">
      <c r="A1553" s="91" t="s">
        <v>3299</v>
      </c>
      <c r="B1553" s="134" t="s">
        <v>3250</v>
      </c>
      <c r="C1553" s="91" t="s">
        <v>8</v>
      </c>
      <c r="D1553" s="133" t="s">
        <v>757</v>
      </c>
      <c r="E1553" s="133" t="s">
        <v>10216</v>
      </c>
      <c r="F1553" s="91" t="s">
        <v>65</v>
      </c>
      <c r="G1553" s="91" t="s">
        <v>10232</v>
      </c>
      <c r="H1553" s="133" t="s">
        <v>10218</v>
      </c>
    </row>
    <row r="1554" spans="1:8">
      <c r="A1554" s="91" t="s">
        <v>10609</v>
      </c>
      <c r="B1554" s="134" t="s">
        <v>10610</v>
      </c>
      <c r="C1554" s="91" t="s">
        <v>8</v>
      </c>
      <c r="D1554" s="133" t="s">
        <v>10611</v>
      </c>
      <c r="E1554" s="133" t="s">
        <v>10216</v>
      </c>
      <c r="F1554" s="91" t="s">
        <v>284</v>
      </c>
      <c r="G1554" s="91" t="s">
        <v>10217</v>
      </c>
      <c r="H1554" s="133" t="s">
        <v>10218</v>
      </c>
    </row>
    <row r="1555" spans="1:8">
      <c r="A1555" s="91" t="s">
        <v>10612</v>
      </c>
      <c r="B1555" s="134" t="s">
        <v>10613</v>
      </c>
      <c r="C1555" s="91" t="s">
        <v>8</v>
      </c>
      <c r="D1555" s="133" t="s">
        <v>10611</v>
      </c>
      <c r="E1555" s="133" t="s">
        <v>10216</v>
      </c>
      <c r="F1555" s="91" t="s">
        <v>284</v>
      </c>
      <c r="G1555" s="91" t="s">
        <v>10217</v>
      </c>
      <c r="H1555" s="133" t="s">
        <v>10218</v>
      </c>
    </row>
    <row r="1556" spans="1:8">
      <c r="A1556" s="91" t="s">
        <v>10614</v>
      </c>
      <c r="B1556" s="134" t="s">
        <v>10615</v>
      </c>
      <c r="C1556" s="91" t="s">
        <v>8</v>
      </c>
      <c r="D1556" s="133" t="s">
        <v>10611</v>
      </c>
      <c r="E1556" s="133" t="s">
        <v>10216</v>
      </c>
      <c r="F1556" s="91" t="s">
        <v>284</v>
      </c>
      <c r="G1556" s="91" t="s">
        <v>10217</v>
      </c>
      <c r="H1556" s="133" t="s">
        <v>10218</v>
      </c>
    </row>
    <row r="1557" spans="1:8">
      <c r="A1557" s="91" t="s">
        <v>10616</v>
      </c>
      <c r="B1557" s="134" t="s">
        <v>10617</v>
      </c>
      <c r="C1557" s="91" t="s">
        <v>8</v>
      </c>
      <c r="D1557" s="133" t="s">
        <v>8934</v>
      </c>
      <c r="E1557" s="133" t="s">
        <v>10216</v>
      </c>
      <c r="F1557" s="91" t="s">
        <v>284</v>
      </c>
      <c r="G1557" s="91" t="s">
        <v>10217</v>
      </c>
      <c r="H1557" s="133" t="s">
        <v>10218</v>
      </c>
    </row>
    <row r="1558" spans="1:8">
      <c r="A1558" s="91" t="s">
        <v>10618</v>
      </c>
      <c r="B1558" s="134" t="s">
        <v>10619</v>
      </c>
      <c r="C1558" s="91" t="s">
        <v>8</v>
      </c>
      <c r="D1558" s="133" t="s">
        <v>8934</v>
      </c>
      <c r="E1558" s="133" t="s">
        <v>10216</v>
      </c>
      <c r="F1558" s="91" t="s">
        <v>284</v>
      </c>
      <c r="G1558" s="91" t="s">
        <v>10217</v>
      </c>
      <c r="H1558" s="133" t="s">
        <v>10218</v>
      </c>
    </row>
    <row r="1559" spans="1:8">
      <c r="A1559" s="91" t="s">
        <v>10620</v>
      </c>
      <c r="B1559" s="134" t="s">
        <v>10621</v>
      </c>
      <c r="C1559" s="91" t="s">
        <v>8</v>
      </c>
      <c r="D1559" s="133" t="s">
        <v>8934</v>
      </c>
      <c r="E1559" s="133" t="s">
        <v>10216</v>
      </c>
      <c r="F1559" s="91" t="s">
        <v>284</v>
      </c>
      <c r="G1559" s="91" t="s">
        <v>10217</v>
      </c>
      <c r="H1559" s="133" t="s">
        <v>10218</v>
      </c>
    </row>
    <row r="1560" spans="1:8">
      <c r="A1560" s="91" t="s">
        <v>10622</v>
      </c>
      <c r="B1560" s="134" t="s">
        <v>2405</v>
      </c>
      <c r="C1560" s="91" t="s">
        <v>8</v>
      </c>
      <c r="D1560" s="133" t="s">
        <v>10623</v>
      </c>
      <c r="E1560" s="133" t="s">
        <v>10216</v>
      </c>
      <c r="F1560" s="91" t="s">
        <v>284</v>
      </c>
      <c r="G1560" s="91" t="s">
        <v>10217</v>
      </c>
      <c r="H1560" s="133" t="s">
        <v>10218</v>
      </c>
    </row>
    <row r="1561" spans="1:8">
      <c r="A1561" s="91" t="s">
        <v>10624</v>
      </c>
      <c r="B1561" s="134" t="s">
        <v>10625</v>
      </c>
      <c r="C1561" s="91" t="s">
        <v>8</v>
      </c>
      <c r="D1561" s="133" t="s">
        <v>10623</v>
      </c>
      <c r="E1561" s="133" t="s">
        <v>10216</v>
      </c>
      <c r="F1561" s="91" t="s">
        <v>284</v>
      </c>
      <c r="G1561" s="91" t="s">
        <v>10217</v>
      </c>
      <c r="H1561" s="133" t="s">
        <v>10218</v>
      </c>
    </row>
    <row r="1562" spans="1:8">
      <c r="A1562" s="91" t="s">
        <v>10626</v>
      </c>
      <c r="B1562" s="134" t="s">
        <v>10627</v>
      </c>
      <c r="C1562" s="91" t="s">
        <v>8</v>
      </c>
      <c r="D1562" s="133" t="s">
        <v>8937</v>
      </c>
      <c r="E1562" s="133" t="s">
        <v>10216</v>
      </c>
      <c r="F1562" s="91" t="s">
        <v>284</v>
      </c>
      <c r="G1562" s="91" t="s">
        <v>10217</v>
      </c>
      <c r="H1562" s="133" t="s">
        <v>10218</v>
      </c>
    </row>
    <row r="1563" spans="1:8">
      <c r="A1563" s="91" t="s">
        <v>10628</v>
      </c>
      <c r="B1563" s="134" t="s">
        <v>10629</v>
      </c>
      <c r="C1563" s="91" t="s">
        <v>8</v>
      </c>
      <c r="D1563" s="133" t="s">
        <v>8937</v>
      </c>
      <c r="E1563" s="133" t="s">
        <v>10216</v>
      </c>
      <c r="F1563" s="91" t="s">
        <v>284</v>
      </c>
      <c r="G1563" s="91" t="s">
        <v>10217</v>
      </c>
      <c r="H1563" s="133" t="s">
        <v>10218</v>
      </c>
    </row>
    <row r="1564" spans="1:8">
      <c r="A1564" s="91" t="s">
        <v>10630</v>
      </c>
      <c r="B1564" s="134" t="s">
        <v>10631</v>
      </c>
      <c r="C1564" s="91" t="s">
        <v>8</v>
      </c>
      <c r="D1564" s="133" t="s">
        <v>10632</v>
      </c>
      <c r="E1564" s="133" t="s">
        <v>10216</v>
      </c>
      <c r="F1564" s="91" t="s">
        <v>284</v>
      </c>
      <c r="G1564" s="91" t="s">
        <v>10222</v>
      </c>
      <c r="H1564" s="133" t="s">
        <v>10218</v>
      </c>
    </row>
    <row r="1565" spans="1:8">
      <c r="A1565" s="91" t="s">
        <v>10633</v>
      </c>
      <c r="B1565" s="134" t="s">
        <v>10634</v>
      </c>
      <c r="C1565" s="91" t="s">
        <v>8</v>
      </c>
      <c r="D1565" s="133" t="s">
        <v>10635</v>
      </c>
      <c r="E1565" s="133" t="s">
        <v>10216</v>
      </c>
      <c r="F1565" s="91" t="s">
        <v>284</v>
      </c>
      <c r="G1565" s="91" t="s">
        <v>10232</v>
      </c>
      <c r="H1565" s="133" t="s">
        <v>10218</v>
      </c>
    </row>
    <row r="1566" spans="1:8">
      <c r="A1566" s="91" t="s">
        <v>10636</v>
      </c>
      <c r="B1566" s="134" t="s">
        <v>10637</v>
      </c>
      <c r="C1566" s="91" t="s">
        <v>8</v>
      </c>
      <c r="D1566" s="133" t="s">
        <v>10635</v>
      </c>
      <c r="E1566" s="133" t="s">
        <v>10216</v>
      </c>
      <c r="F1566" s="91" t="s">
        <v>109</v>
      </c>
      <c r="G1566" s="91" t="s">
        <v>10239</v>
      </c>
      <c r="H1566" s="133" t="s">
        <v>10218</v>
      </c>
    </row>
    <row r="1567" spans="1:8">
      <c r="A1567" s="91" t="s">
        <v>10638</v>
      </c>
      <c r="B1567" s="134" t="s">
        <v>10639</v>
      </c>
      <c r="C1567" s="91" t="s">
        <v>8</v>
      </c>
      <c r="D1567" s="133" t="s">
        <v>10635</v>
      </c>
      <c r="E1567" s="133" t="s">
        <v>10216</v>
      </c>
      <c r="F1567" s="91" t="s">
        <v>109</v>
      </c>
      <c r="G1567" s="91" t="s">
        <v>10239</v>
      </c>
      <c r="H1567" s="133" t="s">
        <v>10218</v>
      </c>
    </row>
    <row r="1568" spans="1:8">
      <c r="A1568" s="91" t="s">
        <v>10640</v>
      </c>
      <c r="B1568" s="134" t="s">
        <v>10641</v>
      </c>
      <c r="C1568" s="91" t="s">
        <v>8</v>
      </c>
      <c r="D1568" s="133" t="s">
        <v>10635</v>
      </c>
      <c r="E1568" s="133" t="s">
        <v>10216</v>
      </c>
      <c r="F1568" s="91" t="s">
        <v>120</v>
      </c>
      <c r="G1568" s="91" t="s">
        <v>10642</v>
      </c>
      <c r="H1568" s="133" t="s">
        <v>10218</v>
      </c>
    </row>
    <row r="1569" spans="1:8">
      <c r="A1569" s="91" t="s">
        <v>10643</v>
      </c>
      <c r="B1569" s="134" t="s">
        <v>10644</v>
      </c>
      <c r="C1569" s="91" t="s">
        <v>8</v>
      </c>
      <c r="D1569" s="133" t="s">
        <v>10635</v>
      </c>
      <c r="E1569" s="133" t="s">
        <v>10216</v>
      </c>
      <c r="F1569" s="91" t="s">
        <v>65</v>
      </c>
      <c r="G1569" s="91" t="s">
        <v>10242</v>
      </c>
      <c r="H1569" s="133" t="s">
        <v>10218</v>
      </c>
    </row>
    <row r="1570" spans="1:8">
      <c r="A1570" s="91" t="s">
        <v>10645</v>
      </c>
      <c r="B1570" s="134" t="s">
        <v>10646</v>
      </c>
      <c r="C1570" s="91" t="s">
        <v>8</v>
      </c>
      <c r="D1570" s="133" t="s">
        <v>10635</v>
      </c>
      <c r="E1570" s="133" t="s">
        <v>10216</v>
      </c>
      <c r="F1570" s="91" t="s">
        <v>284</v>
      </c>
      <c r="G1570" s="91" t="s">
        <v>10242</v>
      </c>
      <c r="H1570" s="133" t="s">
        <v>10218</v>
      </c>
    </row>
    <row r="1571" spans="1:8">
      <c r="A1571" s="91" t="s">
        <v>10647</v>
      </c>
      <c r="B1571" s="134" t="s">
        <v>10648</v>
      </c>
      <c r="C1571" s="91" t="s">
        <v>8</v>
      </c>
      <c r="D1571" s="133" t="s">
        <v>10635</v>
      </c>
      <c r="E1571" s="133" t="s">
        <v>10216</v>
      </c>
      <c r="F1571" s="91" t="s">
        <v>284</v>
      </c>
      <c r="G1571" s="91" t="s">
        <v>10231</v>
      </c>
      <c r="H1571" s="133" t="s">
        <v>10218</v>
      </c>
    </row>
    <row r="1572" spans="1:8">
      <c r="A1572" s="91" t="s">
        <v>8269</v>
      </c>
      <c r="B1572" s="134" t="s">
        <v>10649</v>
      </c>
      <c r="C1572" s="91" t="s">
        <v>8</v>
      </c>
      <c r="D1572" s="133" t="s">
        <v>10635</v>
      </c>
      <c r="E1572" s="133" t="s">
        <v>10216</v>
      </c>
      <c r="F1572" s="91" t="s">
        <v>284</v>
      </c>
      <c r="G1572" s="91" t="s">
        <v>10242</v>
      </c>
      <c r="H1572" s="133" t="s">
        <v>10218</v>
      </c>
    </row>
    <row r="1573" spans="1:8">
      <c r="A1573" s="91" t="s">
        <v>10650</v>
      </c>
      <c r="B1573" s="134" t="s">
        <v>10651</v>
      </c>
      <c r="C1573" s="91" t="s">
        <v>8</v>
      </c>
      <c r="D1573" s="133" t="s">
        <v>10635</v>
      </c>
      <c r="E1573" s="133" t="s">
        <v>10216</v>
      </c>
      <c r="F1573" s="91" t="s">
        <v>284</v>
      </c>
      <c r="G1573" s="91" t="s">
        <v>10242</v>
      </c>
      <c r="H1573" s="133" t="s">
        <v>10218</v>
      </c>
    </row>
    <row r="1574" spans="1:8">
      <c r="A1574" s="91" t="s">
        <v>10652</v>
      </c>
      <c r="B1574" s="134" t="s">
        <v>10653</v>
      </c>
      <c r="C1574" s="91" t="s">
        <v>8</v>
      </c>
      <c r="D1574" s="133" t="s">
        <v>10635</v>
      </c>
      <c r="E1574" s="133" t="s">
        <v>10216</v>
      </c>
      <c r="F1574" s="91" t="s">
        <v>284</v>
      </c>
      <c r="G1574" s="91" t="s">
        <v>10252</v>
      </c>
      <c r="H1574" s="133" t="s">
        <v>10218</v>
      </c>
    </row>
    <row r="1575" spans="1:8">
      <c r="A1575" s="91" t="s">
        <v>10654</v>
      </c>
      <c r="B1575" s="134" t="s">
        <v>10655</v>
      </c>
      <c r="C1575" s="91" t="s">
        <v>8</v>
      </c>
      <c r="D1575" s="133" t="s">
        <v>10635</v>
      </c>
      <c r="E1575" s="133" t="s">
        <v>10216</v>
      </c>
      <c r="F1575" s="91" t="s">
        <v>120</v>
      </c>
      <c r="G1575" s="91" t="s">
        <v>10242</v>
      </c>
      <c r="H1575" s="133" t="s">
        <v>10218</v>
      </c>
    </row>
    <row r="1576" spans="1:8">
      <c r="A1576" s="91" t="s">
        <v>10656</v>
      </c>
      <c r="B1576" s="134" t="s">
        <v>10657</v>
      </c>
      <c r="C1576" s="91" t="s">
        <v>8</v>
      </c>
      <c r="D1576" s="133" t="s">
        <v>10635</v>
      </c>
      <c r="E1576" s="133" t="s">
        <v>10216</v>
      </c>
      <c r="F1576" s="91" t="s">
        <v>120</v>
      </c>
      <c r="G1576" s="91" t="s">
        <v>10242</v>
      </c>
      <c r="H1576" s="133" t="s">
        <v>10218</v>
      </c>
    </row>
    <row r="1577" spans="1:8">
      <c r="A1577" s="91" t="s">
        <v>10658</v>
      </c>
      <c r="B1577" s="134" t="s">
        <v>10659</v>
      </c>
      <c r="C1577" s="91" t="s">
        <v>8</v>
      </c>
      <c r="D1577" s="133" t="s">
        <v>10635</v>
      </c>
      <c r="E1577" s="133" t="s">
        <v>10216</v>
      </c>
      <c r="F1577" s="91" t="s">
        <v>284</v>
      </c>
      <c r="G1577" s="91" t="s">
        <v>10245</v>
      </c>
      <c r="H1577" s="133" t="s">
        <v>10218</v>
      </c>
    </row>
    <row r="1578" spans="1:8">
      <c r="A1578" s="91" t="s">
        <v>10660</v>
      </c>
      <c r="B1578" s="134" t="s">
        <v>10661</v>
      </c>
      <c r="C1578" s="91" t="s">
        <v>8</v>
      </c>
      <c r="D1578" s="133" t="s">
        <v>10635</v>
      </c>
      <c r="E1578" s="133" t="s">
        <v>10216</v>
      </c>
      <c r="F1578" s="91" t="s">
        <v>65</v>
      </c>
      <c r="G1578" s="91" t="s">
        <v>10225</v>
      </c>
      <c r="H1578" s="133" t="s">
        <v>10218</v>
      </c>
    </row>
    <row r="1579" spans="1:8">
      <c r="A1579" s="91" t="s">
        <v>10662</v>
      </c>
      <c r="B1579" s="134" t="s">
        <v>10663</v>
      </c>
      <c r="C1579" s="91" t="s">
        <v>8</v>
      </c>
      <c r="D1579" s="133" t="s">
        <v>10635</v>
      </c>
      <c r="E1579" s="133" t="s">
        <v>10216</v>
      </c>
      <c r="F1579" s="91" t="s">
        <v>120</v>
      </c>
      <c r="G1579" s="91" t="s">
        <v>10318</v>
      </c>
      <c r="H1579" s="133" t="s">
        <v>10218</v>
      </c>
    </row>
    <row r="1580" spans="1:8">
      <c r="A1580" s="91" t="s">
        <v>10664</v>
      </c>
      <c r="B1580" s="134" t="s">
        <v>10665</v>
      </c>
      <c r="C1580" s="91" t="s">
        <v>8</v>
      </c>
      <c r="D1580" s="133" t="s">
        <v>10635</v>
      </c>
      <c r="E1580" s="133" t="s">
        <v>10216</v>
      </c>
      <c r="F1580" s="91" t="s">
        <v>284</v>
      </c>
      <c r="G1580" s="91" t="s">
        <v>10228</v>
      </c>
      <c r="H1580" s="133" t="s">
        <v>10218</v>
      </c>
    </row>
    <row r="1581" spans="1:8">
      <c r="A1581" s="91" t="s">
        <v>10666</v>
      </c>
      <c r="B1581" s="134" t="s">
        <v>10667</v>
      </c>
      <c r="C1581" s="91" t="s">
        <v>8</v>
      </c>
      <c r="D1581" s="133" t="s">
        <v>10668</v>
      </c>
      <c r="E1581" s="133" t="s">
        <v>10216</v>
      </c>
      <c r="F1581" s="91" t="s">
        <v>284</v>
      </c>
      <c r="G1581" s="91" t="s">
        <v>10217</v>
      </c>
      <c r="H1581" s="133" t="s">
        <v>10218</v>
      </c>
    </row>
    <row r="1582" spans="1:8">
      <c r="A1582" s="91" t="s">
        <v>10669</v>
      </c>
      <c r="B1582" s="134" t="s">
        <v>10670</v>
      </c>
      <c r="C1582" s="91" t="s">
        <v>8</v>
      </c>
      <c r="D1582" s="133" t="s">
        <v>10671</v>
      </c>
      <c r="E1582" s="133" t="s">
        <v>10216</v>
      </c>
      <c r="F1582" s="91" t="s">
        <v>284</v>
      </c>
      <c r="G1582" s="91" t="s">
        <v>10222</v>
      </c>
      <c r="H1582" s="133" t="s">
        <v>10218</v>
      </c>
    </row>
    <row r="1583" spans="1:8">
      <c r="A1583" s="91" t="s">
        <v>10672</v>
      </c>
      <c r="B1583" s="134" t="s">
        <v>10673</v>
      </c>
      <c r="C1583" s="91" t="s">
        <v>8</v>
      </c>
      <c r="D1583" s="133" t="s">
        <v>10674</v>
      </c>
      <c r="E1583" s="133" t="s">
        <v>10216</v>
      </c>
      <c r="F1583" s="91" t="s">
        <v>284</v>
      </c>
      <c r="G1583" s="91" t="s">
        <v>10217</v>
      </c>
      <c r="H1583" s="133" t="s">
        <v>10218</v>
      </c>
    </row>
    <row r="1584" spans="1:8">
      <c r="A1584" s="91" t="s">
        <v>10675</v>
      </c>
      <c r="B1584" s="134" t="s">
        <v>10676</v>
      </c>
      <c r="C1584" s="91" t="s">
        <v>8</v>
      </c>
      <c r="D1584" s="133" t="s">
        <v>10677</v>
      </c>
      <c r="E1584" s="133" t="s">
        <v>10216</v>
      </c>
      <c r="F1584" s="91" t="s">
        <v>284</v>
      </c>
      <c r="G1584" s="91" t="s">
        <v>10217</v>
      </c>
      <c r="H1584" s="133" t="s">
        <v>10218</v>
      </c>
    </row>
    <row r="1585" spans="1:8">
      <c r="A1585" s="91" t="s">
        <v>10678</v>
      </c>
      <c r="B1585" s="134" t="s">
        <v>10106</v>
      </c>
      <c r="C1585" s="91" t="s">
        <v>8</v>
      </c>
      <c r="D1585" s="133" t="s">
        <v>10679</v>
      </c>
      <c r="E1585" s="133" t="s">
        <v>10216</v>
      </c>
      <c r="F1585" s="91" t="s">
        <v>284</v>
      </c>
      <c r="G1585" s="91" t="s">
        <v>10222</v>
      </c>
      <c r="H1585" s="133" t="s">
        <v>10218</v>
      </c>
    </row>
    <row r="1586" spans="1:8">
      <c r="A1586" s="91" t="s">
        <v>10680</v>
      </c>
      <c r="B1586" s="134" t="s">
        <v>10681</v>
      </c>
      <c r="C1586" s="91" t="s">
        <v>8</v>
      </c>
      <c r="D1586" s="133" t="s">
        <v>10679</v>
      </c>
      <c r="E1586" s="133" t="s">
        <v>10216</v>
      </c>
      <c r="F1586" s="91" t="s">
        <v>284</v>
      </c>
      <c r="G1586" s="91" t="s">
        <v>10222</v>
      </c>
      <c r="H1586" s="133" t="s">
        <v>10218</v>
      </c>
    </row>
    <row r="1587" spans="1:8">
      <c r="A1587" s="91" t="s">
        <v>10682</v>
      </c>
      <c r="B1587" s="134" t="s">
        <v>10683</v>
      </c>
      <c r="C1587" s="91" t="s">
        <v>8</v>
      </c>
      <c r="D1587" s="133" t="s">
        <v>8868</v>
      </c>
      <c r="E1587" s="133" t="s">
        <v>10216</v>
      </c>
      <c r="F1587" s="91" t="s">
        <v>284</v>
      </c>
      <c r="G1587" s="91" t="s">
        <v>10232</v>
      </c>
      <c r="H1587" s="133" t="s">
        <v>10218</v>
      </c>
    </row>
    <row r="1588" spans="1:8">
      <c r="A1588" s="91" t="s">
        <v>10684</v>
      </c>
      <c r="B1588" s="134" t="s">
        <v>10685</v>
      </c>
      <c r="C1588" s="91" t="s">
        <v>8</v>
      </c>
      <c r="D1588" s="133" t="s">
        <v>8868</v>
      </c>
      <c r="E1588" s="133" t="s">
        <v>10216</v>
      </c>
      <c r="F1588" s="91" t="s">
        <v>65</v>
      </c>
      <c r="G1588" s="91" t="s">
        <v>10242</v>
      </c>
      <c r="H1588" s="133" t="s">
        <v>10218</v>
      </c>
    </row>
    <row r="1589" spans="1:8">
      <c r="A1589" s="91" t="s">
        <v>10686</v>
      </c>
      <c r="B1589" s="134" t="s">
        <v>10687</v>
      </c>
      <c r="C1589" s="91" t="s">
        <v>8</v>
      </c>
      <c r="D1589" s="133" t="s">
        <v>10688</v>
      </c>
      <c r="E1589" s="133" t="s">
        <v>10216</v>
      </c>
      <c r="F1589" s="91" t="s">
        <v>284</v>
      </c>
      <c r="G1589" s="91" t="s">
        <v>10228</v>
      </c>
      <c r="H1589" s="133" t="s">
        <v>10218</v>
      </c>
    </row>
    <row r="1590" spans="1:8">
      <c r="A1590" s="91" t="s">
        <v>10689</v>
      </c>
      <c r="B1590" s="134" t="s">
        <v>10690</v>
      </c>
      <c r="C1590" s="91" t="s">
        <v>8</v>
      </c>
      <c r="D1590" s="133" t="s">
        <v>10688</v>
      </c>
      <c r="E1590" s="133" t="s">
        <v>10216</v>
      </c>
      <c r="F1590" s="91" t="s">
        <v>109</v>
      </c>
      <c r="G1590" s="91" t="s">
        <v>10231</v>
      </c>
      <c r="H1590" s="133" t="s">
        <v>10218</v>
      </c>
    </row>
    <row r="1591" spans="1:8">
      <c r="A1591" s="91" t="s">
        <v>10691</v>
      </c>
      <c r="B1591" s="134" t="s">
        <v>10692</v>
      </c>
      <c r="C1591" s="91" t="s">
        <v>8</v>
      </c>
      <c r="D1591" s="133" t="s">
        <v>10688</v>
      </c>
      <c r="E1591" s="133" t="s">
        <v>10216</v>
      </c>
      <c r="F1591" s="91" t="s">
        <v>284</v>
      </c>
      <c r="G1591" s="91" t="s">
        <v>10245</v>
      </c>
      <c r="H1591" s="133" t="s">
        <v>10218</v>
      </c>
    </row>
    <row r="1592" spans="1:8">
      <c r="A1592" s="91" t="s">
        <v>8414</v>
      </c>
      <c r="B1592" s="134" t="s">
        <v>10693</v>
      </c>
      <c r="C1592" s="91" t="s">
        <v>8</v>
      </c>
      <c r="D1592" s="133" t="s">
        <v>10688</v>
      </c>
      <c r="E1592" s="133" t="s">
        <v>10216</v>
      </c>
      <c r="F1592" s="91" t="s">
        <v>65</v>
      </c>
      <c r="G1592" s="91" t="s">
        <v>10232</v>
      </c>
      <c r="H1592" s="133" t="s">
        <v>10218</v>
      </c>
    </row>
    <row r="1593" spans="1:8">
      <c r="A1593" s="91" t="s">
        <v>10694</v>
      </c>
      <c r="B1593" s="134" t="s">
        <v>10695</v>
      </c>
      <c r="C1593" s="91" t="s">
        <v>8</v>
      </c>
      <c r="D1593" s="133" t="s">
        <v>10688</v>
      </c>
      <c r="E1593" s="133" t="s">
        <v>10216</v>
      </c>
      <c r="F1593" s="91" t="s">
        <v>65</v>
      </c>
      <c r="G1593" s="91" t="s">
        <v>10225</v>
      </c>
      <c r="H1593" s="133" t="s">
        <v>10218</v>
      </c>
    </row>
    <row r="1594" spans="1:8">
      <c r="A1594" s="91" t="s">
        <v>10696</v>
      </c>
      <c r="B1594" s="134" t="s">
        <v>10697</v>
      </c>
      <c r="C1594" s="91" t="s">
        <v>8</v>
      </c>
      <c r="D1594" s="133" t="s">
        <v>10698</v>
      </c>
      <c r="E1594" s="133" t="s">
        <v>10216</v>
      </c>
      <c r="F1594" s="91" t="s">
        <v>284</v>
      </c>
      <c r="G1594" s="91" t="s">
        <v>10222</v>
      </c>
      <c r="H1594" s="133" t="s">
        <v>10218</v>
      </c>
    </row>
    <row r="1595" spans="1:8">
      <c r="A1595" s="91" t="s">
        <v>10699</v>
      </c>
      <c r="B1595" s="134" t="s">
        <v>10700</v>
      </c>
      <c r="C1595" s="91" t="s">
        <v>8</v>
      </c>
      <c r="D1595" s="133" t="s">
        <v>10215</v>
      </c>
      <c r="E1595" s="133" t="s">
        <v>10216</v>
      </c>
      <c r="F1595" s="91" t="s">
        <v>284</v>
      </c>
      <c r="G1595" s="91" t="s">
        <v>10603</v>
      </c>
      <c r="H1595" s="133" t="s">
        <v>10218</v>
      </c>
    </row>
    <row r="1596" spans="1:8">
      <c r="A1596" s="91" t="s">
        <v>10701</v>
      </c>
      <c r="B1596" s="134" t="s">
        <v>10702</v>
      </c>
      <c r="C1596" s="91" t="s">
        <v>8</v>
      </c>
      <c r="D1596" s="133" t="s">
        <v>2054</v>
      </c>
      <c r="E1596" s="133" t="s">
        <v>10216</v>
      </c>
      <c r="F1596" s="91" t="s">
        <v>284</v>
      </c>
      <c r="G1596" s="91" t="s">
        <v>10603</v>
      </c>
      <c r="H1596" s="133" t="s">
        <v>10218</v>
      </c>
    </row>
    <row r="1597" spans="1:8">
      <c r="A1597" s="91" t="s">
        <v>10703</v>
      </c>
      <c r="B1597" s="134" t="s">
        <v>10704</v>
      </c>
      <c r="C1597" s="91" t="s">
        <v>8</v>
      </c>
      <c r="D1597" s="133" t="s">
        <v>8870</v>
      </c>
      <c r="E1597" s="133" t="s">
        <v>10216</v>
      </c>
      <c r="F1597" s="91" t="s">
        <v>284</v>
      </c>
      <c r="G1597" s="91" t="s">
        <v>10603</v>
      </c>
      <c r="H1597" s="133" t="s">
        <v>10218</v>
      </c>
    </row>
    <row r="1598" spans="1:8">
      <c r="A1598" s="91" t="s">
        <v>10705</v>
      </c>
      <c r="B1598" s="134" t="s">
        <v>10706</v>
      </c>
      <c r="C1598" s="91" t="s">
        <v>8</v>
      </c>
      <c r="D1598" s="133" t="s">
        <v>10707</v>
      </c>
      <c r="E1598" s="133" t="s">
        <v>10216</v>
      </c>
      <c r="F1598" s="91" t="s">
        <v>284</v>
      </c>
      <c r="G1598" s="91" t="s">
        <v>10603</v>
      </c>
      <c r="H1598" s="133" t="s">
        <v>10218</v>
      </c>
    </row>
    <row r="1599" spans="1:8">
      <c r="A1599" s="91" t="s">
        <v>10708</v>
      </c>
      <c r="B1599" s="134" t="s">
        <v>10709</v>
      </c>
      <c r="C1599" s="91" t="s">
        <v>8</v>
      </c>
      <c r="D1599" s="133" t="s">
        <v>1132</v>
      </c>
      <c r="E1599" s="133" t="s">
        <v>10216</v>
      </c>
      <c r="F1599" s="91" t="s">
        <v>284</v>
      </c>
      <c r="G1599" s="91" t="s">
        <v>10603</v>
      </c>
      <c r="H1599" s="133" t="s">
        <v>10218</v>
      </c>
    </row>
    <row r="1600" spans="1:8">
      <c r="A1600" s="91" t="s">
        <v>3989</v>
      </c>
      <c r="B1600" s="134" t="s">
        <v>3990</v>
      </c>
      <c r="C1600" s="91" t="s">
        <v>8</v>
      </c>
      <c r="D1600" s="133" t="s">
        <v>1132</v>
      </c>
      <c r="E1600" s="133" t="s">
        <v>10216</v>
      </c>
      <c r="F1600" s="91" t="s">
        <v>284</v>
      </c>
      <c r="G1600" s="91" t="s">
        <v>10603</v>
      </c>
      <c r="H1600" s="133" t="s">
        <v>10218</v>
      </c>
    </row>
    <row r="1601" spans="1:8">
      <c r="A1601" s="91" t="s">
        <v>10710</v>
      </c>
      <c r="B1601" s="134" t="s">
        <v>10697</v>
      </c>
      <c r="C1601" s="91" t="s">
        <v>8</v>
      </c>
      <c r="D1601" s="133" t="s">
        <v>10263</v>
      </c>
      <c r="E1601" s="133" t="s">
        <v>10216</v>
      </c>
      <c r="F1601" s="91" t="s">
        <v>65</v>
      </c>
      <c r="G1601" s="91" t="s">
        <v>10603</v>
      </c>
      <c r="H1601" s="133" t="s">
        <v>10218</v>
      </c>
    </row>
    <row r="1602" spans="1:8">
      <c r="A1602" s="91" t="s">
        <v>10711</v>
      </c>
      <c r="B1602" s="134" t="s">
        <v>10712</v>
      </c>
      <c r="C1602" s="91" t="s">
        <v>8</v>
      </c>
      <c r="D1602" s="133" t="s">
        <v>10298</v>
      </c>
      <c r="E1602" s="133" t="s">
        <v>10216</v>
      </c>
      <c r="F1602" s="91" t="s">
        <v>65</v>
      </c>
      <c r="G1602" s="91" t="s">
        <v>10603</v>
      </c>
      <c r="H1602" s="133" t="s">
        <v>10218</v>
      </c>
    </row>
    <row r="1603" spans="1:8">
      <c r="A1603" s="91" t="s">
        <v>10713</v>
      </c>
      <c r="B1603" s="134" t="s">
        <v>10714</v>
      </c>
      <c r="C1603" s="91" t="s">
        <v>8</v>
      </c>
      <c r="D1603" s="133" t="s">
        <v>1047</v>
      </c>
      <c r="E1603" s="133" t="s">
        <v>10216</v>
      </c>
      <c r="F1603" s="91" t="s">
        <v>284</v>
      </c>
      <c r="G1603" s="91" t="s">
        <v>10603</v>
      </c>
      <c r="H1603" s="133" t="s">
        <v>10218</v>
      </c>
    </row>
    <row r="1604" spans="1:8">
      <c r="A1604" s="91" t="s">
        <v>10715</v>
      </c>
      <c r="B1604" s="134" t="s">
        <v>10716</v>
      </c>
      <c r="C1604" s="91" t="s">
        <v>8</v>
      </c>
      <c r="D1604" s="133" t="s">
        <v>2076</v>
      </c>
      <c r="E1604" s="133" t="s">
        <v>10216</v>
      </c>
      <c r="F1604" s="91" t="s">
        <v>284</v>
      </c>
      <c r="G1604" s="91" t="s">
        <v>10603</v>
      </c>
      <c r="H1604" s="133" t="s">
        <v>10218</v>
      </c>
    </row>
    <row r="1605" spans="1:8">
      <c r="A1605" s="91" t="s">
        <v>4526</v>
      </c>
      <c r="B1605" s="134" t="s">
        <v>4528</v>
      </c>
      <c r="C1605" s="91" t="s">
        <v>8</v>
      </c>
      <c r="D1605" s="133" t="s">
        <v>4527</v>
      </c>
      <c r="E1605" s="133" t="s">
        <v>10216</v>
      </c>
      <c r="F1605" s="91" t="s">
        <v>284</v>
      </c>
      <c r="G1605" s="91" t="s">
        <v>10603</v>
      </c>
      <c r="H1605" s="133" t="s">
        <v>10218</v>
      </c>
    </row>
    <row r="1606" spans="1:8">
      <c r="A1606" s="91" t="s">
        <v>5753</v>
      </c>
      <c r="B1606" s="134" t="s">
        <v>1174</v>
      </c>
      <c r="C1606" s="91" t="s">
        <v>8</v>
      </c>
      <c r="D1606" s="133" t="s">
        <v>1419</v>
      </c>
      <c r="E1606" s="133" t="s">
        <v>10216</v>
      </c>
      <c r="F1606" s="91" t="s">
        <v>65</v>
      </c>
      <c r="G1606" s="91" t="s">
        <v>10603</v>
      </c>
      <c r="H1606" s="133" t="s">
        <v>10218</v>
      </c>
    </row>
    <row r="1607" spans="1:8">
      <c r="A1607" s="91" t="s">
        <v>10717</v>
      </c>
      <c r="B1607" s="134" t="s">
        <v>10718</v>
      </c>
      <c r="C1607" s="91" t="s">
        <v>8</v>
      </c>
      <c r="D1607" s="133" t="s">
        <v>1041</v>
      </c>
      <c r="E1607" s="133" t="s">
        <v>10216</v>
      </c>
      <c r="F1607" s="91" t="s">
        <v>284</v>
      </c>
      <c r="G1607" s="91" t="s">
        <v>10603</v>
      </c>
      <c r="H1607" s="133" t="s">
        <v>10218</v>
      </c>
    </row>
    <row r="1608" spans="1:8">
      <c r="A1608" s="91" t="s">
        <v>10719</v>
      </c>
      <c r="B1608" s="134" t="s">
        <v>10720</v>
      </c>
      <c r="C1608" s="91" t="s">
        <v>8</v>
      </c>
      <c r="D1608" s="133" t="s">
        <v>2474</v>
      </c>
      <c r="E1608" s="133" t="s">
        <v>10216</v>
      </c>
      <c r="F1608" s="91" t="s">
        <v>65</v>
      </c>
      <c r="G1608" s="91" t="s">
        <v>10603</v>
      </c>
      <c r="H1608" s="133" t="s">
        <v>10218</v>
      </c>
    </row>
    <row r="1609" spans="1:8">
      <c r="A1609" s="91" t="s">
        <v>10721</v>
      </c>
      <c r="B1609" s="134" t="s">
        <v>10722</v>
      </c>
      <c r="C1609" s="91" t="s">
        <v>8</v>
      </c>
      <c r="D1609" s="133" t="s">
        <v>1398</v>
      </c>
      <c r="E1609" s="133" t="s">
        <v>10216</v>
      </c>
      <c r="F1609" s="91" t="s">
        <v>284</v>
      </c>
      <c r="G1609" s="91" t="s">
        <v>10603</v>
      </c>
      <c r="H1609" s="133" t="s">
        <v>10218</v>
      </c>
    </row>
    <row r="1610" spans="1:8">
      <c r="A1610" s="91" t="s">
        <v>10723</v>
      </c>
      <c r="B1610" s="134" t="s">
        <v>10724</v>
      </c>
      <c r="C1610" s="91" t="s">
        <v>8</v>
      </c>
      <c r="D1610" s="133" t="s">
        <v>10412</v>
      </c>
      <c r="E1610" s="133" t="s">
        <v>10216</v>
      </c>
      <c r="F1610" s="91" t="s">
        <v>65</v>
      </c>
      <c r="G1610" s="91" t="s">
        <v>10603</v>
      </c>
      <c r="H1610" s="133" t="s">
        <v>10218</v>
      </c>
    </row>
    <row r="1611" spans="1:8">
      <c r="A1611" s="91" t="s">
        <v>7351</v>
      </c>
      <c r="B1611" s="134" t="s">
        <v>7352</v>
      </c>
      <c r="C1611" s="91" t="s">
        <v>8</v>
      </c>
      <c r="D1611" s="133" t="s">
        <v>3425</v>
      </c>
      <c r="E1611" s="133" t="s">
        <v>10216</v>
      </c>
      <c r="F1611" s="91" t="s">
        <v>120</v>
      </c>
      <c r="G1611" s="91" t="s">
        <v>10603</v>
      </c>
      <c r="H1611" s="133" t="s">
        <v>10218</v>
      </c>
    </row>
    <row r="1612" spans="1:8">
      <c r="A1612" s="91" t="s">
        <v>10725</v>
      </c>
      <c r="B1612" s="134" t="s">
        <v>10726</v>
      </c>
      <c r="C1612" s="91" t="s">
        <v>8</v>
      </c>
      <c r="D1612" s="133" t="s">
        <v>2573</v>
      </c>
      <c r="E1612" s="133" t="s">
        <v>10216</v>
      </c>
      <c r="F1612" s="91" t="s">
        <v>65</v>
      </c>
      <c r="G1612" s="91" t="s">
        <v>10603</v>
      </c>
      <c r="H1612" s="133" t="s">
        <v>10218</v>
      </c>
    </row>
    <row r="1613" spans="1:8">
      <c r="A1613" s="91" t="s">
        <v>10727</v>
      </c>
      <c r="B1613" s="134" t="s">
        <v>10728</v>
      </c>
      <c r="C1613" s="91" t="s">
        <v>8</v>
      </c>
      <c r="D1613" s="133" t="s">
        <v>1368</v>
      </c>
      <c r="E1613" s="133" t="s">
        <v>10216</v>
      </c>
      <c r="F1613" s="91" t="s">
        <v>284</v>
      </c>
      <c r="G1613" s="91" t="s">
        <v>10603</v>
      </c>
      <c r="H1613" s="133" t="s">
        <v>10218</v>
      </c>
    </row>
    <row r="1614" spans="1:8">
      <c r="A1614" s="91" t="s">
        <v>10729</v>
      </c>
      <c r="B1614" s="134" t="s">
        <v>10730</v>
      </c>
      <c r="C1614" s="91" t="s">
        <v>8</v>
      </c>
      <c r="D1614" s="133" t="s">
        <v>1406</v>
      </c>
      <c r="E1614" s="133" t="s">
        <v>10216</v>
      </c>
      <c r="F1614" s="91" t="s">
        <v>65</v>
      </c>
      <c r="G1614" s="91" t="s">
        <v>10603</v>
      </c>
      <c r="H1614" s="133" t="s">
        <v>10218</v>
      </c>
    </row>
    <row r="1615" spans="1:8">
      <c r="A1615" s="91" t="s">
        <v>10731</v>
      </c>
      <c r="B1615" s="134" t="s">
        <v>9432</v>
      </c>
      <c r="C1615" s="91" t="s">
        <v>8</v>
      </c>
      <c r="D1615" s="133" t="s">
        <v>6445</v>
      </c>
      <c r="E1615" s="133" t="s">
        <v>10216</v>
      </c>
      <c r="F1615" s="91" t="s">
        <v>65</v>
      </c>
      <c r="G1615" s="91" t="s">
        <v>10603</v>
      </c>
      <c r="H1615" s="133" t="s">
        <v>10218</v>
      </c>
    </row>
    <row r="1616" spans="1:8">
      <c r="A1616" s="91" t="s">
        <v>10732</v>
      </c>
      <c r="B1616" s="134" t="s">
        <v>10733</v>
      </c>
      <c r="C1616" s="91" t="s">
        <v>8</v>
      </c>
      <c r="D1616" s="133" t="s">
        <v>277</v>
      </c>
      <c r="E1616" s="133" t="s">
        <v>10216</v>
      </c>
      <c r="F1616" s="91" t="s">
        <v>65</v>
      </c>
      <c r="G1616" s="91" t="s">
        <v>10603</v>
      </c>
      <c r="H1616" s="133" t="s">
        <v>10218</v>
      </c>
    </row>
    <row r="1617" spans="1:8">
      <c r="A1617" s="91" t="s">
        <v>10734</v>
      </c>
      <c r="B1617" s="134" t="s">
        <v>10735</v>
      </c>
      <c r="C1617" s="91" t="s">
        <v>8</v>
      </c>
      <c r="D1617" s="133" t="s">
        <v>2762</v>
      </c>
      <c r="E1617" s="133" t="s">
        <v>10216</v>
      </c>
      <c r="F1617" s="91" t="s">
        <v>65</v>
      </c>
      <c r="G1617" s="91" t="s">
        <v>10603</v>
      </c>
      <c r="H1617" s="133" t="s">
        <v>10218</v>
      </c>
    </row>
    <row r="1618" spans="1:8">
      <c r="A1618" s="91" t="s">
        <v>10736</v>
      </c>
      <c r="B1618" s="134" t="s">
        <v>10737</v>
      </c>
      <c r="C1618" s="91" t="s">
        <v>8</v>
      </c>
      <c r="D1618" s="133" t="s">
        <v>10570</v>
      </c>
      <c r="E1618" s="133" t="s">
        <v>10216</v>
      </c>
      <c r="F1618" s="91" t="s">
        <v>284</v>
      </c>
      <c r="G1618" s="91" t="s">
        <v>10603</v>
      </c>
      <c r="H1618" s="133" t="s">
        <v>10218</v>
      </c>
    </row>
    <row r="1619" spans="1:8">
      <c r="A1619" s="91" t="s">
        <v>10738</v>
      </c>
      <c r="B1619" s="134" t="s">
        <v>10739</v>
      </c>
      <c r="C1619" s="91" t="s">
        <v>8</v>
      </c>
      <c r="D1619" s="133" t="s">
        <v>10635</v>
      </c>
      <c r="E1619" s="133" t="s">
        <v>10216</v>
      </c>
      <c r="F1619" s="91" t="s">
        <v>284</v>
      </c>
      <c r="G1619" s="91" t="s">
        <v>10603</v>
      </c>
      <c r="H1619" s="133" t="s">
        <v>10218</v>
      </c>
    </row>
    <row r="1620" spans="1:8">
      <c r="A1620" s="91" t="s">
        <v>10740</v>
      </c>
      <c r="B1620" s="134" t="s">
        <v>10741</v>
      </c>
      <c r="C1620" s="91" t="s">
        <v>8</v>
      </c>
      <c r="D1620" s="133" t="s">
        <v>10688</v>
      </c>
      <c r="E1620" s="133" t="s">
        <v>10216</v>
      </c>
      <c r="F1620" s="91" t="s">
        <v>65</v>
      </c>
      <c r="G1620" s="91" t="s">
        <v>10603</v>
      </c>
      <c r="H1620" s="133" t="s">
        <v>10218</v>
      </c>
    </row>
    <row r="1621" spans="1:8">
      <c r="A1621" s="91" t="s">
        <v>10742</v>
      </c>
      <c r="B1621" s="134" t="s">
        <v>9848</v>
      </c>
      <c r="C1621" s="91" t="s">
        <v>10</v>
      </c>
      <c r="D1621" s="133" t="s">
        <v>9370</v>
      </c>
      <c r="E1621" s="133" t="s">
        <v>10216</v>
      </c>
      <c r="F1621" s="91" t="s">
        <v>65</v>
      </c>
      <c r="G1621" s="91" t="s">
        <v>10242</v>
      </c>
      <c r="H1621" s="133" t="s">
        <v>10218</v>
      </c>
    </row>
    <row r="1622" spans="1:8">
      <c r="A1622" s="91" t="s">
        <v>10743</v>
      </c>
      <c r="B1622" s="134" t="s">
        <v>10744</v>
      </c>
      <c r="C1622" s="91" t="s">
        <v>10</v>
      </c>
      <c r="D1622" s="133" t="s">
        <v>8916</v>
      </c>
      <c r="E1622" s="133" t="s">
        <v>10216</v>
      </c>
      <c r="F1622" s="91" t="s">
        <v>120</v>
      </c>
      <c r="G1622" s="91" t="s">
        <v>10239</v>
      </c>
      <c r="H1622" s="133" t="s">
        <v>10218</v>
      </c>
    </row>
    <row r="1623" spans="1:8">
      <c r="A1623" s="91" t="s">
        <v>10745</v>
      </c>
      <c r="B1623" s="134" t="s">
        <v>10746</v>
      </c>
      <c r="C1623" s="91" t="s">
        <v>10</v>
      </c>
      <c r="D1623" s="133" t="s">
        <v>3676</v>
      </c>
      <c r="E1623" s="133" t="s">
        <v>10216</v>
      </c>
      <c r="F1623" s="91" t="s">
        <v>120</v>
      </c>
      <c r="G1623" s="91" t="s">
        <v>10231</v>
      </c>
      <c r="H1623" s="133" t="s">
        <v>10218</v>
      </c>
    </row>
    <row r="1624" spans="1:8">
      <c r="A1624" s="91" t="s">
        <v>10747</v>
      </c>
      <c r="B1624" s="134" t="s">
        <v>10748</v>
      </c>
      <c r="C1624" s="91" t="s">
        <v>10</v>
      </c>
      <c r="D1624" s="133" t="s">
        <v>3676</v>
      </c>
      <c r="E1624" s="133" t="s">
        <v>10216</v>
      </c>
      <c r="F1624" s="91" t="s">
        <v>284</v>
      </c>
      <c r="G1624" s="91" t="s">
        <v>10245</v>
      </c>
      <c r="H1624" s="133" t="s">
        <v>10218</v>
      </c>
    </row>
    <row r="1625" spans="1:8">
      <c r="A1625" s="91" t="s">
        <v>10749</v>
      </c>
      <c r="B1625" s="134" t="s">
        <v>10750</v>
      </c>
      <c r="C1625" s="91" t="s">
        <v>10</v>
      </c>
      <c r="D1625" s="133" t="s">
        <v>3676</v>
      </c>
      <c r="E1625" s="133" t="s">
        <v>10216</v>
      </c>
      <c r="F1625" s="91" t="s">
        <v>284</v>
      </c>
      <c r="G1625" s="91" t="s">
        <v>10231</v>
      </c>
      <c r="H1625" s="133" t="s">
        <v>10218</v>
      </c>
    </row>
    <row r="1626" spans="1:8">
      <c r="A1626" s="91" t="s">
        <v>10751</v>
      </c>
      <c r="B1626" s="134" t="s">
        <v>10752</v>
      </c>
      <c r="C1626" s="91" t="s">
        <v>10</v>
      </c>
      <c r="D1626" s="133" t="s">
        <v>3676</v>
      </c>
      <c r="E1626" s="133" t="s">
        <v>10216</v>
      </c>
      <c r="F1626" s="91" t="s">
        <v>284</v>
      </c>
      <c r="G1626" s="91" t="s">
        <v>10242</v>
      </c>
      <c r="H1626" s="133" t="s">
        <v>10218</v>
      </c>
    </row>
    <row r="1627" spans="1:8">
      <c r="A1627" s="91" t="s">
        <v>10753</v>
      </c>
      <c r="B1627" s="134" t="s">
        <v>4939</v>
      </c>
      <c r="C1627" s="91" t="s">
        <v>10</v>
      </c>
      <c r="D1627" s="133" t="s">
        <v>3676</v>
      </c>
      <c r="E1627" s="133" t="s">
        <v>10216</v>
      </c>
      <c r="F1627" s="91" t="s">
        <v>120</v>
      </c>
      <c r="G1627" s="91" t="s">
        <v>10239</v>
      </c>
      <c r="H1627" s="133" t="s">
        <v>10218</v>
      </c>
    </row>
    <row r="1628" spans="1:8">
      <c r="A1628" s="91" t="s">
        <v>10754</v>
      </c>
      <c r="B1628" s="134" t="s">
        <v>10755</v>
      </c>
      <c r="C1628" s="91" t="s">
        <v>10</v>
      </c>
      <c r="D1628" s="133" t="s">
        <v>3676</v>
      </c>
      <c r="E1628" s="133" t="s">
        <v>10216</v>
      </c>
      <c r="F1628" s="91" t="s">
        <v>120</v>
      </c>
      <c r="G1628" s="91" t="s">
        <v>10232</v>
      </c>
      <c r="H1628" s="133" t="s">
        <v>10218</v>
      </c>
    </row>
    <row r="1629" spans="1:8">
      <c r="A1629" s="91" t="s">
        <v>10756</v>
      </c>
      <c r="B1629" s="134" t="s">
        <v>10757</v>
      </c>
      <c r="C1629" s="91" t="s">
        <v>10</v>
      </c>
      <c r="D1629" s="133" t="s">
        <v>6405</v>
      </c>
      <c r="E1629" s="133" t="s">
        <v>10216</v>
      </c>
      <c r="F1629" s="91" t="s">
        <v>65</v>
      </c>
      <c r="G1629" s="91" t="s">
        <v>10231</v>
      </c>
      <c r="H1629" s="133" t="s">
        <v>10218</v>
      </c>
    </row>
    <row r="1630" spans="1:8">
      <c r="A1630" s="91" t="s">
        <v>10758</v>
      </c>
      <c r="B1630" s="134" t="s">
        <v>10759</v>
      </c>
      <c r="C1630" s="91" t="s">
        <v>10</v>
      </c>
      <c r="D1630" s="133" t="s">
        <v>6405</v>
      </c>
      <c r="E1630" s="133" t="s">
        <v>10216</v>
      </c>
      <c r="F1630" s="91" t="s">
        <v>284</v>
      </c>
      <c r="G1630" s="91" t="s">
        <v>10231</v>
      </c>
      <c r="H1630" s="133" t="s">
        <v>10218</v>
      </c>
    </row>
    <row r="1631" spans="1:8">
      <c r="A1631" s="91" t="s">
        <v>10760</v>
      </c>
      <c r="B1631" s="134" t="s">
        <v>10761</v>
      </c>
      <c r="C1631" s="91" t="s">
        <v>10</v>
      </c>
      <c r="D1631" s="133" t="s">
        <v>6405</v>
      </c>
      <c r="E1631" s="133" t="s">
        <v>10216</v>
      </c>
      <c r="F1631" s="91" t="s">
        <v>120</v>
      </c>
      <c r="G1631" s="91" t="s">
        <v>10242</v>
      </c>
      <c r="H1631" s="133" t="s">
        <v>10218</v>
      </c>
    </row>
    <row r="1632" spans="1:8">
      <c r="A1632" s="91" t="s">
        <v>10762</v>
      </c>
      <c r="B1632" s="134" t="s">
        <v>10763</v>
      </c>
      <c r="C1632" s="91" t="s">
        <v>10</v>
      </c>
      <c r="D1632" s="133" t="s">
        <v>6405</v>
      </c>
      <c r="E1632" s="133" t="s">
        <v>10216</v>
      </c>
      <c r="F1632" s="91" t="s">
        <v>120</v>
      </c>
      <c r="G1632" s="91" t="s">
        <v>10318</v>
      </c>
      <c r="H1632" s="133" t="s">
        <v>10218</v>
      </c>
    </row>
    <row r="1633" spans="1:8">
      <c r="A1633" s="91" t="s">
        <v>10764</v>
      </c>
      <c r="B1633" s="134" t="s">
        <v>10765</v>
      </c>
      <c r="C1633" s="91" t="s">
        <v>10</v>
      </c>
      <c r="D1633" s="133" t="s">
        <v>6405</v>
      </c>
      <c r="E1633" s="133" t="s">
        <v>10216</v>
      </c>
      <c r="F1633" s="91" t="s">
        <v>65</v>
      </c>
      <c r="G1633" s="91" t="s">
        <v>10231</v>
      </c>
      <c r="H1633" s="133" t="s">
        <v>10218</v>
      </c>
    </row>
    <row r="1634" spans="1:8">
      <c r="A1634" s="91" t="s">
        <v>10766</v>
      </c>
      <c r="B1634" s="134" t="s">
        <v>10767</v>
      </c>
      <c r="C1634" s="91" t="s">
        <v>10</v>
      </c>
      <c r="D1634" s="133" t="s">
        <v>6405</v>
      </c>
      <c r="E1634" s="133" t="s">
        <v>10216</v>
      </c>
      <c r="F1634" s="91" t="s">
        <v>65</v>
      </c>
      <c r="G1634" s="91" t="s">
        <v>10231</v>
      </c>
      <c r="H1634" s="133" t="s">
        <v>10218</v>
      </c>
    </row>
    <row r="1635" spans="1:8">
      <c r="A1635" s="91" t="s">
        <v>10768</v>
      </c>
      <c r="B1635" s="134" t="s">
        <v>10769</v>
      </c>
      <c r="C1635" s="91" t="s">
        <v>10</v>
      </c>
      <c r="D1635" s="133" t="s">
        <v>6405</v>
      </c>
      <c r="E1635" s="133" t="s">
        <v>10216</v>
      </c>
      <c r="F1635" s="91" t="s">
        <v>65</v>
      </c>
      <c r="G1635" s="91" t="s">
        <v>10318</v>
      </c>
      <c r="H1635" s="133" t="s">
        <v>10218</v>
      </c>
    </row>
    <row r="1636" spans="1:8">
      <c r="A1636" s="91" t="s">
        <v>10770</v>
      </c>
      <c r="B1636" s="134" t="s">
        <v>10771</v>
      </c>
      <c r="C1636" s="91" t="s">
        <v>10</v>
      </c>
      <c r="D1636" s="133" t="s">
        <v>6405</v>
      </c>
      <c r="E1636" s="133" t="s">
        <v>10216</v>
      </c>
      <c r="F1636" s="91" t="s">
        <v>109</v>
      </c>
      <c r="G1636" s="91" t="s">
        <v>10239</v>
      </c>
      <c r="H1636" s="133" t="s">
        <v>10218</v>
      </c>
    </row>
    <row r="1637" spans="1:8">
      <c r="A1637" s="91" t="s">
        <v>10772</v>
      </c>
      <c r="B1637" s="134" t="s">
        <v>10773</v>
      </c>
      <c r="C1637" s="91" t="s">
        <v>10</v>
      </c>
      <c r="D1637" s="133" t="s">
        <v>6405</v>
      </c>
      <c r="E1637" s="133" t="s">
        <v>10216</v>
      </c>
      <c r="F1637" s="91" t="s">
        <v>284</v>
      </c>
      <c r="G1637" s="91" t="s">
        <v>10239</v>
      </c>
      <c r="H1637" s="133" t="s">
        <v>10218</v>
      </c>
    </row>
    <row r="1638" spans="1:8">
      <c r="A1638" s="91" t="s">
        <v>10774</v>
      </c>
      <c r="B1638" s="134" t="s">
        <v>10775</v>
      </c>
      <c r="C1638" s="91" t="s">
        <v>10</v>
      </c>
      <c r="D1638" s="133" t="s">
        <v>6405</v>
      </c>
      <c r="E1638" s="133" t="s">
        <v>10216</v>
      </c>
      <c r="F1638" s="91" t="s">
        <v>65</v>
      </c>
      <c r="G1638" s="91" t="s">
        <v>10242</v>
      </c>
      <c r="H1638" s="133" t="s">
        <v>10218</v>
      </c>
    </row>
    <row r="1639" spans="1:8">
      <c r="A1639" s="91" t="s">
        <v>10776</v>
      </c>
      <c r="B1639" s="134" t="s">
        <v>10777</v>
      </c>
      <c r="C1639" s="91" t="s">
        <v>10</v>
      </c>
      <c r="D1639" s="133" t="s">
        <v>6405</v>
      </c>
      <c r="E1639" s="133" t="s">
        <v>10216</v>
      </c>
      <c r="F1639" s="91" t="s">
        <v>65</v>
      </c>
      <c r="G1639" s="91" t="s">
        <v>10231</v>
      </c>
      <c r="H1639" s="133" t="s">
        <v>10218</v>
      </c>
    </row>
    <row r="1640" spans="1:8">
      <c r="A1640" s="91" t="s">
        <v>10778</v>
      </c>
      <c r="B1640" s="134" t="s">
        <v>10779</v>
      </c>
      <c r="C1640" s="91" t="s">
        <v>10</v>
      </c>
      <c r="D1640" s="133" t="s">
        <v>5843</v>
      </c>
      <c r="E1640" s="133" t="s">
        <v>10216</v>
      </c>
      <c r="F1640" s="91" t="s">
        <v>109</v>
      </c>
      <c r="G1640" s="91" t="s">
        <v>10239</v>
      </c>
      <c r="H1640" s="133" t="s">
        <v>10218</v>
      </c>
    </row>
    <row r="1641" spans="1:8">
      <c r="A1641" s="91" t="s">
        <v>10780</v>
      </c>
      <c r="B1641" s="134" t="s">
        <v>945</v>
      </c>
      <c r="C1641" s="91" t="s">
        <v>10</v>
      </c>
      <c r="D1641" s="133" t="s">
        <v>5843</v>
      </c>
      <c r="E1641" s="133" t="s">
        <v>10216</v>
      </c>
      <c r="F1641" s="91" t="s">
        <v>284</v>
      </c>
      <c r="G1641" s="91" t="s">
        <v>10318</v>
      </c>
      <c r="H1641" s="133" t="s">
        <v>10218</v>
      </c>
    </row>
    <row r="1642" spans="1:8">
      <c r="A1642" s="91" t="s">
        <v>10781</v>
      </c>
      <c r="B1642" s="134" t="s">
        <v>10782</v>
      </c>
      <c r="C1642" s="91" t="s">
        <v>10</v>
      </c>
      <c r="D1642" s="133" t="s">
        <v>5843</v>
      </c>
      <c r="E1642" s="133" t="s">
        <v>10216</v>
      </c>
      <c r="F1642" s="91" t="s">
        <v>65</v>
      </c>
      <c r="G1642" s="91" t="s">
        <v>10232</v>
      </c>
      <c r="H1642" s="133" t="s">
        <v>10218</v>
      </c>
    </row>
    <row r="1643" spans="1:8">
      <c r="A1643" s="91" t="s">
        <v>10783</v>
      </c>
      <c r="B1643" s="134" t="s">
        <v>10784</v>
      </c>
      <c r="C1643" s="91" t="s">
        <v>10</v>
      </c>
      <c r="D1643" s="133" t="s">
        <v>5843</v>
      </c>
      <c r="E1643" s="133" t="s">
        <v>10216</v>
      </c>
      <c r="F1643" s="91" t="s">
        <v>109</v>
      </c>
      <c r="G1643" s="91" t="s">
        <v>10239</v>
      </c>
      <c r="H1643" s="133" t="s">
        <v>10218</v>
      </c>
    </row>
    <row r="1644" spans="1:8">
      <c r="A1644" s="91" t="s">
        <v>10785</v>
      </c>
      <c r="B1644" s="134" t="s">
        <v>10786</v>
      </c>
      <c r="C1644" s="91" t="s">
        <v>10</v>
      </c>
      <c r="D1644" s="133" t="s">
        <v>5843</v>
      </c>
      <c r="E1644" s="133" t="s">
        <v>10216</v>
      </c>
      <c r="F1644" s="91" t="s">
        <v>120</v>
      </c>
      <c r="G1644" s="91" t="s">
        <v>10231</v>
      </c>
      <c r="H1644" s="133" t="s">
        <v>10218</v>
      </c>
    </row>
    <row r="1645" spans="1:8">
      <c r="A1645" s="91" t="s">
        <v>10787</v>
      </c>
      <c r="B1645" s="134" t="s">
        <v>10788</v>
      </c>
      <c r="C1645" s="91" t="s">
        <v>10</v>
      </c>
      <c r="D1645" s="133" t="s">
        <v>5843</v>
      </c>
      <c r="E1645" s="133" t="s">
        <v>10216</v>
      </c>
      <c r="F1645" s="91" t="s">
        <v>109</v>
      </c>
      <c r="G1645" s="91" t="s">
        <v>10239</v>
      </c>
      <c r="H1645" s="133" t="s">
        <v>10218</v>
      </c>
    </row>
    <row r="1646" spans="1:8">
      <c r="A1646" s="91" t="s">
        <v>10789</v>
      </c>
      <c r="B1646" s="134" t="s">
        <v>10790</v>
      </c>
      <c r="C1646" s="91" t="s">
        <v>10</v>
      </c>
      <c r="D1646" s="133" t="s">
        <v>5843</v>
      </c>
      <c r="E1646" s="133" t="s">
        <v>10216</v>
      </c>
      <c r="F1646" s="91" t="s">
        <v>120</v>
      </c>
      <c r="G1646" s="91" t="s">
        <v>10239</v>
      </c>
      <c r="H1646" s="133" t="s">
        <v>10218</v>
      </c>
    </row>
    <row r="1647" spans="1:8">
      <c r="A1647" s="91" t="s">
        <v>10791</v>
      </c>
      <c r="B1647" s="134" t="s">
        <v>10792</v>
      </c>
      <c r="C1647" s="91" t="s">
        <v>10</v>
      </c>
      <c r="D1647" s="133" t="s">
        <v>8905</v>
      </c>
      <c r="E1647" s="133" t="s">
        <v>10216</v>
      </c>
      <c r="F1647" s="91" t="s">
        <v>284</v>
      </c>
      <c r="G1647" s="91" t="s">
        <v>10242</v>
      </c>
      <c r="H1647" s="133" t="s">
        <v>10218</v>
      </c>
    </row>
    <row r="1648" spans="1:8">
      <c r="A1648" s="91" t="s">
        <v>10793</v>
      </c>
      <c r="B1648" s="134" t="s">
        <v>10794</v>
      </c>
      <c r="C1648" s="91" t="s">
        <v>10</v>
      </c>
      <c r="D1648" s="133" t="s">
        <v>8905</v>
      </c>
      <c r="E1648" s="133" t="s">
        <v>10216</v>
      </c>
      <c r="F1648" s="91" t="s">
        <v>120</v>
      </c>
      <c r="G1648" s="91" t="s">
        <v>10232</v>
      </c>
      <c r="H1648" s="133" t="s">
        <v>10218</v>
      </c>
    </row>
    <row r="1649" spans="1:8">
      <c r="A1649" s="91" t="s">
        <v>10795</v>
      </c>
      <c r="B1649" s="134" t="s">
        <v>10796</v>
      </c>
      <c r="C1649" s="91" t="s">
        <v>10</v>
      </c>
      <c r="D1649" s="133" t="s">
        <v>8905</v>
      </c>
      <c r="E1649" s="133" t="s">
        <v>10216</v>
      </c>
      <c r="F1649" s="91" t="s">
        <v>120</v>
      </c>
      <c r="G1649" s="91" t="s">
        <v>10239</v>
      </c>
      <c r="H1649" s="133" t="s">
        <v>10218</v>
      </c>
    </row>
    <row r="1650" spans="1:8">
      <c r="A1650" s="91" t="s">
        <v>10797</v>
      </c>
      <c r="B1650" s="134" t="s">
        <v>10798</v>
      </c>
      <c r="C1650" s="91" t="s">
        <v>10</v>
      </c>
      <c r="D1650" s="133" t="s">
        <v>8905</v>
      </c>
      <c r="E1650" s="133" t="s">
        <v>10216</v>
      </c>
      <c r="F1650" s="91" t="s">
        <v>284</v>
      </c>
      <c r="G1650" s="91" t="s">
        <v>10239</v>
      </c>
      <c r="H1650" s="133" t="s">
        <v>10218</v>
      </c>
    </row>
    <row r="1651" spans="1:8">
      <c r="A1651" s="91" t="s">
        <v>10799</v>
      </c>
      <c r="B1651" s="134" t="s">
        <v>10800</v>
      </c>
      <c r="C1651" s="91" t="s">
        <v>10</v>
      </c>
      <c r="D1651" s="133" t="s">
        <v>8905</v>
      </c>
      <c r="E1651" s="133" t="s">
        <v>10216</v>
      </c>
      <c r="F1651" s="91" t="s">
        <v>120</v>
      </c>
      <c r="G1651" s="91" t="s">
        <v>10231</v>
      </c>
      <c r="H1651" s="133" t="s">
        <v>10218</v>
      </c>
    </row>
    <row r="1652" spans="1:8">
      <c r="A1652" s="91" t="s">
        <v>10801</v>
      </c>
      <c r="B1652" s="134" t="s">
        <v>10802</v>
      </c>
      <c r="C1652" s="91" t="s">
        <v>10</v>
      </c>
      <c r="D1652" s="133" t="s">
        <v>8905</v>
      </c>
      <c r="E1652" s="133" t="s">
        <v>10216</v>
      </c>
      <c r="F1652" s="91" t="s">
        <v>2493</v>
      </c>
      <c r="G1652" s="91" t="s">
        <v>10231</v>
      </c>
      <c r="H1652" s="133" t="s">
        <v>10218</v>
      </c>
    </row>
    <row r="1653" spans="1:8">
      <c r="A1653" s="91" t="s">
        <v>10803</v>
      </c>
      <c r="B1653" s="134" t="s">
        <v>10804</v>
      </c>
      <c r="C1653" s="91" t="s">
        <v>10</v>
      </c>
      <c r="D1653" s="133" t="s">
        <v>8905</v>
      </c>
      <c r="E1653" s="133" t="s">
        <v>10216</v>
      </c>
      <c r="F1653" s="91" t="s">
        <v>65</v>
      </c>
      <c r="G1653" s="91" t="s">
        <v>10274</v>
      </c>
      <c r="H1653" s="133" t="s">
        <v>10218</v>
      </c>
    </row>
    <row r="1654" spans="1:8">
      <c r="A1654" s="91" t="s">
        <v>10805</v>
      </c>
      <c r="B1654" s="134" t="s">
        <v>10806</v>
      </c>
      <c r="C1654" s="91" t="s">
        <v>10</v>
      </c>
      <c r="D1654" s="133" t="s">
        <v>8905</v>
      </c>
      <c r="E1654" s="133" t="s">
        <v>10216</v>
      </c>
      <c r="F1654" s="91" t="s">
        <v>284</v>
      </c>
      <c r="G1654" s="91" t="s">
        <v>10239</v>
      </c>
      <c r="H1654" s="133" t="s">
        <v>10218</v>
      </c>
    </row>
    <row r="1655" spans="1:8">
      <c r="A1655" s="91" t="s">
        <v>10807</v>
      </c>
      <c r="B1655" s="134" t="s">
        <v>10808</v>
      </c>
      <c r="C1655" s="91" t="s">
        <v>10</v>
      </c>
      <c r="D1655" s="133" t="s">
        <v>8905</v>
      </c>
      <c r="E1655" s="133" t="s">
        <v>10216</v>
      </c>
      <c r="F1655" s="91" t="s">
        <v>65</v>
      </c>
      <c r="G1655" s="91" t="s">
        <v>10231</v>
      </c>
      <c r="H1655" s="133" t="s">
        <v>10218</v>
      </c>
    </row>
    <row r="1656" spans="1:8">
      <c r="A1656" s="91" t="s">
        <v>10809</v>
      </c>
      <c r="B1656" s="134" t="s">
        <v>10810</v>
      </c>
      <c r="C1656" s="91" t="s">
        <v>10</v>
      </c>
      <c r="D1656" s="133" t="s">
        <v>8905</v>
      </c>
      <c r="E1656" s="133" t="s">
        <v>10216</v>
      </c>
      <c r="F1656" s="91" t="s">
        <v>284</v>
      </c>
      <c r="G1656" s="91" t="s">
        <v>10231</v>
      </c>
      <c r="H1656" s="133" t="s">
        <v>10218</v>
      </c>
    </row>
    <row r="1657" spans="1:8">
      <c r="A1657" s="91" t="s">
        <v>10811</v>
      </c>
      <c r="B1657" s="134" t="s">
        <v>10812</v>
      </c>
      <c r="C1657" s="91" t="s">
        <v>10</v>
      </c>
      <c r="D1657" s="133" t="s">
        <v>8905</v>
      </c>
      <c r="E1657" s="133" t="s">
        <v>10216</v>
      </c>
      <c r="F1657" s="91" t="s">
        <v>284</v>
      </c>
      <c r="G1657" s="91" t="s">
        <v>10239</v>
      </c>
      <c r="H1657" s="133" t="s">
        <v>10218</v>
      </c>
    </row>
    <row r="1658" spans="1:8">
      <c r="A1658" s="91" t="s">
        <v>10813</v>
      </c>
      <c r="B1658" s="134" t="s">
        <v>10814</v>
      </c>
      <c r="C1658" s="91" t="s">
        <v>10</v>
      </c>
      <c r="D1658" s="133" t="s">
        <v>8905</v>
      </c>
      <c r="E1658" s="133" t="s">
        <v>10216</v>
      </c>
      <c r="F1658" s="91" t="s">
        <v>120</v>
      </c>
      <c r="G1658" s="91" t="s">
        <v>10239</v>
      </c>
      <c r="H1658" s="133" t="s">
        <v>10218</v>
      </c>
    </row>
    <row r="1659" spans="1:8">
      <c r="A1659" s="91" t="s">
        <v>10815</v>
      </c>
      <c r="B1659" s="134" t="s">
        <v>10816</v>
      </c>
      <c r="C1659" s="91" t="s">
        <v>10</v>
      </c>
      <c r="D1659" s="133" t="s">
        <v>8956</v>
      </c>
      <c r="E1659" s="133" t="s">
        <v>10216</v>
      </c>
      <c r="F1659" s="91" t="s">
        <v>284</v>
      </c>
      <c r="G1659" s="91" t="s">
        <v>10231</v>
      </c>
      <c r="H1659" s="133" t="s">
        <v>10218</v>
      </c>
    </row>
    <row r="1660" spans="1:8">
      <c r="A1660" s="91" t="s">
        <v>10817</v>
      </c>
      <c r="B1660" s="134" t="s">
        <v>10818</v>
      </c>
      <c r="C1660" s="91" t="s">
        <v>10</v>
      </c>
      <c r="D1660" s="133" t="s">
        <v>8956</v>
      </c>
      <c r="E1660" s="133" t="s">
        <v>10216</v>
      </c>
      <c r="F1660" s="91" t="s">
        <v>2493</v>
      </c>
      <c r="G1660" s="91" t="s">
        <v>10231</v>
      </c>
      <c r="H1660" s="133" t="s">
        <v>10218</v>
      </c>
    </row>
    <row r="1661" spans="1:8">
      <c r="A1661" s="91" t="s">
        <v>10819</v>
      </c>
      <c r="B1661" s="134" t="s">
        <v>10820</v>
      </c>
      <c r="C1661" s="91" t="s">
        <v>10</v>
      </c>
      <c r="D1661" s="133" t="s">
        <v>8956</v>
      </c>
      <c r="E1661" s="133" t="s">
        <v>10216</v>
      </c>
      <c r="F1661" s="91" t="s">
        <v>284</v>
      </c>
      <c r="G1661" s="91" t="s">
        <v>10232</v>
      </c>
      <c r="H1661" s="133" t="s">
        <v>10218</v>
      </c>
    </row>
    <row r="1662" spans="1:8">
      <c r="A1662" s="91" t="s">
        <v>8523</v>
      </c>
      <c r="B1662" s="134" t="s">
        <v>10581</v>
      </c>
      <c r="C1662" s="91" t="s">
        <v>10</v>
      </c>
      <c r="D1662" s="133" t="s">
        <v>5893</v>
      </c>
      <c r="E1662" s="133" t="s">
        <v>10216</v>
      </c>
      <c r="F1662" s="91" t="s">
        <v>109</v>
      </c>
      <c r="G1662" s="91" t="s">
        <v>10231</v>
      </c>
      <c r="H1662" s="133" t="s">
        <v>10218</v>
      </c>
    </row>
    <row r="1663" spans="1:8">
      <c r="A1663" s="91" t="s">
        <v>8660</v>
      </c>
      <c r="B1663" s="134" t="s">
        <v>10821</v>
      </c>
      <c r="C1663" s="91" t="s">
        <v>10</v>
      </c>
      <c r="D1663" s="133" t="s">
        <v>5893</v>
      </c>
      <c r="E1663" s="133" t="s">
        <v>10216</v>
      </c>
      <c r="F1663" s="91" t="s">
        <v>65</v>
      </c>
      <c r="G1663" s="91" t="s">
        <v>10231</v>
      </c>
      <c r="H1663" s="133" t="s">
        <v>10218</v>
      </c>
    </row>
    <row r="1664" spans="1:8">
      <c r="A1664" s="91" t="s">
        <v>8665</v>
      </c>
      <c r="B1664" s="134" t="s">
        <v>10822</v>
      </c>
      <c r="C1664" s="91" t="s">
        <v>10</v>
      </c>
      <c r="D1664" s="133" t="s">
        <v>5893</v>
      </c>
      <c r="E1664" s="133" t="s">
        <v>10216</v>
      </c>
      <c r="F1664" s="91" t="s">
        <v>109</v>
      </c>
      <c r="G1664" s="91" t="s">
        <v>10318</v>
      </c>
      <c r="H1664" s="133" t="s">
        <v>10218</v>
      </c>
    </row>
    <row r="1665" spans="1:8">
      <c r="A1665" s="91" t="s">
        <v>10823</v>
      </c>
      <c r="B1665" s="134" t="s">
        <v>10824</v>
      </c>
      <c r="C1665" s="91" t="s">
        <v>10</v>
      </c>
      <c r="D1665" s="133" t="s">
        <v>5893</v>
      </c>
      <c r="E1665" s="133" t="s">
        <v>10216</v>
      </c>
      <c r="F1665" s="91" t="s">
        <v>109</v>
      </c>
      <c r="G1665" s="91" t="s">
        <v>10239</v>
      </c>
      <c r="H1665" s="133" t="s">
        <v>10218</v>
      </c>
    </row>
    <row r="1666" spans="1:8">
      <c r="A1666" s="91" t="s">
        <v>10825</v>
      </c>
      <c r="B1666" s="134" t="s">
        <v>3683</v>
      </c>
      <c r="C1666" s="91" t="s">
        <v>10</v>
      </c>
      <c r="D1666" s="133" t="s">
        <v>5893</v>
      </c>
      <c r="E1666" s="133" t="s">
        <v>10216</v>
      </c>
      <c r="F1666" s="91" t="s">
        <v>120</v>
      </c>
      <c r="G1666" s="91" t="s">
        <v>10239</v>
      </c>
      <c r="H1666" s="133" t="s">
        <v>10218</v>
      </c>
    </row>
    <row r="1667" spans="1:8">
      <c r="A1667" s="91" t="s">
        <v>8201</v>
      </c>
      <c r="B1667" s="134" t="s">
        <v>10826</v>
      </c>
      <c r="C1667" s="91" t="s">
        <v>10</v>
      </c>
      <c r="D1667" s="133" t="s">
        <v>5893</v>
      </c>
      <c r="E1667" s="133" t="s">
        <v>10216</v>
      </c>
      <c r="F1667" s="91" t="s">
        <v>284</v>
      </c>
      <c r="G1667" s="91" t="s">
        <v>10242</v>
      </c>
      <c r="H1667" s="133" t="s">
        <v>10218</v>
      </c>
    </row>
    <row r="1668" spans="1:8">
      <c r="A1668" s="91" t="s">
        <v>7413</v>
      </c>
      <c r="B1668" s="134" t="s">
        <v>7414</v>
      </c>
      <c r="C1668" s="91" t="s">
        <v>10</v>
      </c>
      <c r="D1668" s="133" t="s">
        <v>5893</v>
      </c>
      <c r="E1668" s="133" t="s">
        <v>10216</v>
      </c>
      <c r="F1668" s="91" t="s">
        <v>65</v>
      </c>
      <c r="G1668" s="91" t="s">
        <v>10231</v>
      </c>
      <c r="H1668" s="133" t="s">
        <v>10218</v>
      </c>
    </row>
    <row r="1669" spans="1:8">
      <c r="A1669" s="91" t="s">
        <v>8188</v>
      </c>
      <c r="B1669" s="134" t="s">
        <v>8189</v>
      </c>
      <c r="C1669" s="91" t="s">
        <v>10</v>
      </c>
      <c r="D1669" s="133" t="s">
        <v>5893</v>
      </c>
      <c r="E1669" s="133" t="s">
        <v>10216</v>
      </c>
      <c r="F1669" s="91" t="s">
        <v>284</v>
      </c>
      <c r="G1669" s="91" t="s">
        <v>10231</v>
      </c>
      <c r="H1669" s="133" t="s">
        <v>10218</v>
      </c>
    </row>
    <row r="1670" spans="1:8">
      <c r="A1670" s="91" t="s">
        <v>8324</v>
      </c>
      <c r="B1670" s="134" t="s">
        <v>10827</v>
      </c>
      <c r="C1670" s="91" t="s">
        <v>10</v>
      </c>
      <c r="D1670" s="133" t="s">
        <v>5893</v>
      </c>
      <c r="E1670" s="133" t="s">
        <v>10216</v>
      </c>
      <c r="F1670" s="91" t="s">
        <v>284</v>
      </c>
      <c r="G1670" s="91" t="s">
        <v>10242</v>
      </c>
      <c r="H1670" s="133" t="s">
        <v>10218</v>
      </c>
    </row>
    <row r="1671" spans="1:8">
      <c r="A1671" s="91" t="s">
        <v>10828</v>
      </c>
      <c r="B1671" s="134" t="s">
        <v>10829</v>
      </c>
      <c r="C1671" s="91" t="s">
        <v>10</v>
      </c>
      <c r="D1671" s="133" t="s">
        <v>5893</v>
      </c>
      <c r="E1671" s="133" t="s">
        <v>10216</v>
      </c>
      <c r="F1671" s="91" t="s">
        <v>284</v>
      </c>
      <c r="G1671" s="91" t="s">
        <v>10239</v>
      </c>
      <c r="H1671" s="133" t="s">
        <v>10218</v>
      </c>
    </row>
    <row r="1672" spans="1:8">
      <c r="A1672" s="91" t="s">
        <v>10830</v>
      </c>
      <c r="B1672" s="134" t="s">
        <v>10831</v>
      </c>
      <c r="C1672" s="91" t="s">
        <v>10</v>
      </c>
      <c r="D1672" s="133" t="s">
        <v>5893</v>
      </c>
      <c r="E1672" s="133" t="s">
        <v>10216</v>
      </c>
      <c r="F1672" s="91" t="s">
        <v>109</v>
      </c>
      <c r="G1672" s="91" t="s">
        <v>10231</v>
      </c>
      <c r="H1672" s="133" t="s">
        <v>10218</v>
      </c>
    </row>
    <row r="1673" spans="1:8">
      <c r="A1673" s="91" t="s">
        <v>10832</v>
      </c>
      <c r="B1673" s="134" t="s">
        <v>5260</v>
      </c>
      <c r="C1673" s="91" t="s">
        <v>10</v>
      </c>
      <c r="D1673" s="133" t="s">
        <v>5893</v>
      </c>
      <c r="E1673" s="133" t="s">
        <v>10216</v>
      </c>
      <c r="F1673" s="91" t="s">
        <v>284</v>
      </c>
      <c r="G1673" s="91" t="s">
        <v>10239</v>
      </c>
      <c r="H1673" s="133" t="s">
        <v>10218</v>
      </c>
    </row>
    <row r="1674" spans="1:8">
      <c r="A1674" s="91" t="s">
        <v>6239</v>
      </c>
      <c r="B1674" s="134" t="s">
        <v>6240</v>
      </c>
      <c r="C1674" s="91" t="s">
        <v>10</v>
      </c>
      <c r="D1674" s="133" t="s">
        <v>5893</v>
      </c>
      <c r="E1674" s="133" t="s">
        <v>10216</v>
      </c>
      <c r="F1674" s="91" t="s">
        <v>65</v>
      </c>
      <c r="G1674" s="91" t="s">
        <v>10232</v>
      </c>
      <c r="H1674" s="133" t="s">
        <v>10218</v>
      </c>
    </row>
    <row r="1675" spans="1:8">
      <c r="A1675" s="91" t="s">
        <v>10833</v>
      </c>
      <c r="B1675" s="134" t="s">
        <v>10834</v>
      </c>
      <c r="C1675" s="91" t="s">
        <v>10</v>
      </c>
      <c r="D1675" s="133" t="s">
        <v>5893</v>
      </c>
      <c r="E1675" s="133" t="s">
        <v>10216</v>
      </c>
      <c r="F1675" s="91" t="s">
        <v>65</v>
      </c>
      <c r="G1675" s="91" t="s">
        <v>10239</v>
      </c>
      <c r="H1675" s="133" t="s">
        <v>10218</v>
      </c>
    </row>
    <row r="1676" spans="1:8">
      <c r="A1676" s="91" t="s">
        <v>7850</v>
      </c>
      <c r="B1676" s="134" t="s">
        <v>7851</v>
      </c>
      <c r="C1676" s="91" t="s">
        <v>10</v>
      </c>
      <c r="D1676" s="133" t="s">
        <v>5893</v>
      </c>
      <c r="E1676" s="133" t="s">
        <v>10216</v>
      </c>
      <c r="F1676" s="91" t="s">
        <v>120</v>
      </c>
      <c r="G1676" s="91" t="s">
        <v>10231</v>
      </c>
      <c r="H1676" s="133" t="s">
        <v>10218</v>
      </c>
    </row>
    <row r="1677" spans="1:8">
      <c r="A1677" s="91" t="s">
        <v>10835</v>
      </c>
      <c r="B1677" s="134" t="s">
        <v>10836</v>
      </c>
      <c r="C1677" s="91" t="s">
        <v>10</v>
      </c>
      <c r="D1677" s="133" t="s">
        <v>5893</v>
      </c>
      <c r="E1677" s="133" t="s">
        <v>10216</v>
      </c>
      <c r="F1677" s="91" t="s">
        <v>120</v>
      </c>
      <c r="G1677" s="91" t="s">
        <v>10318</v>
      </c>
      <c r="H1677" s="133" t="s">
        <v>10218</v>
      </c>
    </row>
    <row r="1678" spans="1:8">
      <c r="A1678" s="91" t="s">
        <v>10837</v>
      </c>
      <c r="B1678" s="134" t="s">
        <v>10838</v>
      </c>
      <c r="C1678" s="91" t="s">
        <v>10</v>
      </c>
      <c r="D1678" s="133" t="s">
        <v>5893</v>
      </c>
      <c r="E1678" s="133" t="s">
        <v>10216</v>
      </c>
      <c r="F1678" s="91" t="s">
        <v>284</v>
      </c>
      <c r="G1678" s="91" t="s">
        <v>10245</v>
      </c>
      <c r="H1678" s="133" t="s">
        <v>10218</v>
      </c>
    </row>
    <row r="1679" spans="1:8">
      <c r="A1679" s="91" t="s">
        <v>10839</v>
      </c>
      <c r="B1679" s="134" t="s">
        <v>10840</v>
      </c>
      <c r="C1679" s="91" t="s">
        <v>10</v>
      </c>
      <c r="D1679" s="133" t="s">
        <v>5893</v>
      </c>
      <c r="E1679" s="133" t="s">
        <v>10216</v>
      </c>
      <c r="F1679" s="91" t="s">
        <v>338</v>
      </c>
      <c r="G1679" s="91" t="s">
        <v>10239</v>
      </c>
      <c r="H1679" s="133" t="s">
        <v>10218</v>
      </c>
    </row>
    <row r="1680" spans="1:8">
      <c r="A1680" s="91" t="s">
        <v>8694</v>
      </c>
      <c r="B1680" s="134" t="s">
        <v>3104</v>
      </c>
      <c r="C1680" s="91" t="s">
        <v>10</v>
      </c>
      <c r="D1680" s="133" t="s">
        <v>8916</v>
      </c>
      <c r="E1680" s="133" t="s">
        <v>10216</v>
      </c>
      <c r="F1680" s="91" t="s">
        <v>120</v>
      </c>
      <c r="G1680" s="91" t="s">
        <v>10242</v>
      </c>
      <c r="H1680" s="133" t="s">
        <v>10218</v>
      </c>
    </row>
    <row r="1681" spans="1:8">
      <c r="A1681" s="91" t="s">
        <v>10841</v>
      </c>
      <c r="B1681" s="134" t="s">
        <v>10842</v>
      </c>
      <c r="C1681" s="91" t="s">
        <v>10</v>
      </c>
      <c r="D1681" s="133" t="s">
        <v>4914</v>
      </c>
      <c r="E1681" s="133" t="s">
        <v>10216</v>
      </c>
      <c r="F1681" s="91" t="s">
        <v>65</v>
      </c>
      <c r="G1681" s="91" t="s">
        <v>10239</v>
      </c>
      <c r="H1681" s="133" t="s">
        <v>10218</v>
      </c>
    </row>
    <row r="1682" spans="1:8">
      <c r="A1682" s="91" t="s">
        <v>10843</v>
      </c>
      <c r="B1682" s="134" t="s">
        <v>1198</v>
      </c>
      <c r="C1682" s="91" t="s">
        <v>10</v>
      </c>
      <c r="D1682" s="133" t="s">
        <v>4914</v>
      </c>
      <c r="E1682" s="133" t="s">
        <v>10216</v>
      </c>
      <c r="F1682" s="91" t="s">
        <v>284</v>
      </c>
      <c r="G1682" s="91" t="s">
        <v>10232</v>
      </c>
      <c r="H1682" s="133" t="s">
        <v>10218</v>
      </c>
    </row>
    <row r="1683" spans="1:8">
      <c r="A1683" s="91" t="s">
        <v>10844</v>
      </c>
      <c r="B1683" s="134" t="s">
        <v>10845</v>
      </c>
      <c r="C1683" s="91" t="s">
        <v>10</v>
      </c>
      <c r="D1683" s="133" t="s">
        <v>4914</v>
      </c>
      <c r="E1683" s="133" t="s">
        <v>10216</v>
      </c>
      <c r="F1683" s="91" t="s">
        <v>284</v>
      </c>
      <c r="G1683" s="91" t="s">
        <v>10242</v>
      </c>
      <c r="H1683" s="133" t="s">
        <v>10218</v>
      </c>
    </row>
    <row r="1684" spans="1:8">
      <c r="A1684" s="91" t="s">
        <v>10846</v>
      </c>
      <c r="B1684" s="134" t="s">
        <v>10847</v>
      </c>
      <c r="C1684" s="91" t="s">
        <v>10</v>
      </c>
      <c r="D1684" s="133" t="s">
        <v>4914</v>
      </c>
      <c r="E1684" s="133" t="s">
        <v>10216</v>
      </c>
      <c r="F1684" s="91" t="s">
        <v>65</v>
      </c>
      <c r="G1684" s="91" t="s">
        <v>10225</v>
      </c>
      <c r="H1684" s="133" t="s">
        <v>10218</v>
      </c>
    </row>
    <row r="1685" spans="1:8">
      <c r="A1685" s="91" t="s">
        <v>10848</v>
      </c>
      <c r="B1685" s="134" t="s">
        <v>10849</v>
      </c>
      <c r="C1685" s="91" t="s">
        <v>10</v>
      </c>
      <c r="D1685" s="133" t="s">
        <v>4914</v>
      </c>
      <c r="E1685" s="133" t="s">
        <v>10216</v>
      </c>
      <c r="F1685" s="91" t="s">
        <v>284</v>
      </c>
      <c r="G1685" s="91" t="s">
        <v>10231</v>
      </c>
      <c r="H1685" s="133" t="s">
        <v>10218</v>
      </c>
    </row>
    <row r="1686" spans="1:8">
      <c r="A1686" s="91" t="s">
        <v>10850</v>
      </c>
      <c r="B1686" s="134" t="s">
        <v>10851</v>
      </c>
      <c r="C1686" s="91" t="s">
        <v>10</v>
      </c>
      <c r="D1686" s="133" t="s">
        <v>4914</v>
      </c>
      <c r="E1686" s="133" t="s">
        <v>10216</v>
      </c>
      <c r="F1686" s="91" t="s">
        <v>284</v>
      </c>
      <c r="G1686" s="91" t="s">
        <v>10242</v>
      </c>
      <c r="H1686" s="133" t="s">
        <v>10218</v>
      </c>
    </row>
    <row r="1687" spans="1:8">
      <c r="A1687" s="91" t="s">
        <v>10852</v>
      </c>
      <c r="B1687" s="134" t="s">
        <v>10853</v>
      </c>
      <c r="C1687" s="91" t="s">
        <v>10</v>
      </c>
      <c r="D1687" s="133" t="s">
        <v>4914</v>
      </c>
      <c r="E1687" s="133" t="s">
        <v>10216</v>
      </c>
      <c r="F1687" s="91" t="s">
        <v>120</v>
      </c>
      <c r="G1687" s="91" t="s">
        <v>10239</v>
      </c>
      <c r="H1687" s="133" t="s">
        <v>10218</v>
      </c>
    </row>
    <row r="1688" spans="1:8">
      <c r="A1688" s="91" t="s">
        <v>10854</v>
      </c>
      <c r="B1688" s="134" t="s">
        <v>10855</v>
      </c>
      <c r="C1688" s="91" t="s">
        <v>10</v>
      </c>
      <c r="D1688" s="133" t="s">
        <v>3103</v>
      </c>
      <c r="E1688" s="133" t="s">
        <v>10216</v>
      </c>
      <c r="F1688" s="91" t="s">
        <v>65</v>
      </c>
      <c r="G1688" s="91" t="s">
        <v>10231</v>
      </c>
      <c r="H1688" s="133" t="s">
        <v>10218</v>
      </c>
    </row>
    <row r="1689" spans="1:8">
      <c r="A1689" s="91" t="s">
        <v>10856</v>
      </c>
      <c r="B1689" s="134" t="s">
        <v>9108</v>
      </c>
      <c r="C1689" s="91" t="s">
        <v>10</v>
      </c>
      <c r="D1689" s="133" t="s">
        <v>3103</v>
      </c>
      <c r="E1689" s="133" t="s">
        <v>10216</v>
      </c>
      <c r="F1689" s="91" t="s">
        <v>338</v>
      </c>
      <c r="G1689" s="91" t="s">
        <v>10239</v>
      </c>
      <c r="H1689" s="133" t="s">
        <v>10218</v>
      </c>
    </row>
    <row r="1690" spans="1:8">
      <c r="A1690" s="91" t="s">
        <v>10857</v>
      </c>
      <c r="B1690" s="134" t="s">
        <v>7192</v>
      </c>
      <c r="C1690" s="91" t="s">
        <v>10</v>
      </c>
      <c r="D1690" s="133" t="s">
        <v>3103</v>
      </c>
      <c r="E1690" s="133" t="s">
        <v>10216</v>
      </c>
      <c r="F1690" s="91" t="s">
        <v>120</v>
      </c>
      <c r="G1690" s="91" t="s">
        <v>10239</v>
      </c>
      <c r="H1690" s="133" t="s">
        <v>10218</v>
      </c>
    </row>
    <row r="1691" spans="1:8">
      <c r="A1691" s="91" t="s">
        <v>10858</v>
      </c>
      <c r="B1691" s="134" t="s">
        <v>10763</v>
      </c>
      <c r="C1691" s="91" t="s">
        <v>10</v>
      </c>
      <c r="D1691" s="133" t="s">
        <v>3103</v>
      </c>
      <c r="E1691" s="133" t="s">
        <v>10216</v>
      </c>
      <c r="F1691" s="91" t="s">
        <v>65</v>
      </c>
      <c r="G1691" s="91" t="s">
        <v>10239</v>
      </c>
      <c r="H1691" s="133" t="s">
        <v>10218</v>
      </c>
    </row>
    <row r="1692" spans="1:8">
      <c r="A1692" s="91" t="s">
        <v>10859</v>
      </c>
      <c r="B1692" s="134" t="s">
        <v>10860</v>
      </c>
      <c r="C1692" s="91" t="s">
        <v>10</v>
      </c>
      <c r="D1692" s="133" t="s">
        <v>3103</v>
      </c>
      <c r="E1692" s="133" t="s">
        <v>10216</v>
      </c>
      <c r="F1692" s="91" t="s">
        <v>65</v>
      </c>
      <c r="G1692" s="91" t="s">
        <v>10242</v>
      </c>
      <c r="H1692" s="133" t="s">
        <v>10218</v>
      </c>
    </row>
    <row r="1693" spans="1:8">
      <c r="A1693" s="91" t="s">
        <v>10861</v>
      </c>
      <c r="B1693" s="134" t="s">
        <v>10862</v>
      </c>
      <c r="C1693" s="91" t="s">
        <v>10</v>
      </c>
      <c r="D1693" s="133" t="s">
        <v>3103</v>
      </c>
      <c r="E1693" s="133" t="s">
        <v>10216</v>
      </c>
      <c r="F1693" s="91" t="s">
        <v>65</v>
      </c>
      <c r="G1693" s="91" t="s">
        <v>10231</v>
      </c>
      <c r="H1693" s="133" t="s">
        <v>10218</v>
      </c>
    </row>
    <row r="1694" spans="1:8">
      <c r="A1694" s="91" t="s">
        <v>10863</v>
      </c>
      <c r="B1694" s="134" t="s">
        <v>10864</v>
      </c>
      <c r="C1694" s="91" t="s">
        <v>10</v>
      </c>
      <c r="D1694" s="133" t="s">
        <v>3103</v>
      </c>
      <c r="E1694" s="133" t="s">
        <v>10216</v>
      </c>
      <c r="F1694" s="91" t="s">
        <v>65</v>
      </c>
      <c r="G1694" s="91" t="s">
        <v>10232</v>
      </c>
      <c r="H1694" s="133" t="s">
        <v>10218</v>
      </c>
    </row>
    <row r="1695" spans="1:8">
      <c r="A1695" s="91" t="s">
        <v>10865</v>
      </c>
      <c r="B1695" s="134" t="s">
        <v>10866</v>
      </c>
      <c r="C1695" s="91" t="s">
        <v>10</v>
      </c>
      <c r="D1695" s="133" t="s">
        <v>3103</v>
      </c>
      <c r="E1695" s="133" t="s">
        <v>10216</v>
      </c>
      <c r="F1695" s="91" t="s">
        <v>284</v>
      </c>
      <c r="G1695" s="91" t="s">
        <v>10239</v>
      </c>
      <c r="H1695" s="133" t="s">
        <v>10218</v>
      </c>
    </row>
    <row r="1696" spans="1:8">
      <c r="A1696" s="91" t="s">
        <v>10867</v>
      </c>
      <c r="B1696" s="134" t="s">
        <v>10868</v>
      </c>
      <c r="C1696" s="91" t="s">
        <v>10</v>
      </c>
      <c r="D1696" s="133" t="s">
        <v>6250</v>
      </c>
      <c r="E1696" s="133" t="s">
        <v>10216</v>
      </c>
      <c r="F1696" s="91" t="s">
        <v>284</v>
      </c>
      <c r="G1696" s="91" t="s">
        <v>10231</v>
      </c>
      <c r="H1696" s="133" t="s">
        <v>10218</v>
      </c>
    </row>
    <row r="1697" spans="1:8">
      <c r="A1697" s="91" t="s">
        <v>10869</v>
      </c>
      <c r="B1697" s="134" t="s">
        <v>10870</v>
      </c>
      <c r="C1697" s="91" t="s">
        <v>10</v>
      </c>
      <c r="D1697" s="133" t="s">
        <v>6250</v>
      </c>
      <c r="E1697" s="133" t="s">
        <v>10216</v>
      </c>
      <c r="F1697" s="91" t="s">
        <v>2493</v>
      </c>
      <c r="G1697" s="91" t="s">
        <v>10231</v>
      </c>
      <c r="H1697" s="133" t="s">
        <v>10218</v>
      </c>
    </row>
    <row r="1698" spans="1:8">
      <c r="A1698" s="91" t="s">
        <v>10871</v>
      </c>
      <c r="B1698" s="134" t="s">
        <v>10872</v>
      </c>
      <c r="C1698" s="91" t="s">
        <v>10</v>
      </c>
      <c r="D1698" s="133" t="s">
        <v>6250</v>
      </c>
      <c r="E1698" s="133" t="s">
        <v>10216</v>
      </c>
      <c r="F1698" s="91" t="s">
        <v>338</v>
      </c>
      <c r="G1698" s="91" t="s">
        <v>10318</v>
      </c>
      <c r="H1698" s="133" t="s">
        <v>10218</v>
      </c>
    </row>
    <row r="1699" spans="1:8">
      <c r="A1699" s="91" t="s">
        <v>10873</v>
      </c>
      <c r="B1699" s="134" t="s">
        <v>10874</v>
      </c>
      <c r="C1699" s="91" t="s">
        <v>10</v>
      </c>
      <c r="D1699" s="133" t="s">
        <v>6250</v>
      </c>
      <c r="E1699" s="133" t="s">
        <v>10216</v>
      </c>
      <c r="F1699" s="91" t="s">
        <v>284</v>
      </c>
      <c r="G1699" s="91" t="s">
        <v>10231</v>
      </c>
      <c r="H1699" s="133" t="s">
        <v>10218</v>
      </c>
    </row>
    <row r="1700" spans="1:8">
      <c r="A1700" s="91" t="s">
        <v>10875</v>
      </c>
      <c r="B1700" s="134" t="s">
        <v>10876</v>
      </c>
      <c r="C1700" s="91" t="s">
        <v>10</v>
      </c>
      <c r="D1700" s="133" t="s">
        <v>6250</v>
      </c>
      <c r="E1700" s="133" t="s">
        <v>10216</v>
      </c>
      <c r="F1700" s="91" t="s">
        <v>284</v>
      </c>
      <c r="G1700" s="91" t="s">
        <v>10245</v>
      </c>
      <c r="H1700" s="133" t="s">
        <v>10218</v>
      </c>
    </row>
    <row r="1701" spans="1:8">
      <c r="A1701" s="91" t="s">
        <v>10877</v>
      </c>
      <c r="B1701" s="134" t="s">
        <v>10878</v>
      </c>
      <c r="C1701" s="91" t="s">
        <v>10</v>
      </c>
      <c r="D1701" s="133" t="s">
        <v>3198</v>
      </c>
      <c r="E1701" s="133" t="s">
        <v>10216</v>
      </c>
      <c r="F1701" s="91" t="s">
        <v>65</v>
      </c>
      <c r="G1701" s="91" t="s">
        <v>10232</v>
      </c>
      <c r="H1701" s="133" t="s">
        <v>10218</v>
      </c>
    </row>
    <row r="1702" spans="1:8">
      <c r="A1702" s="91" t="s">
        <v>10879</v>
      </c>
      <c r="B1702" s="134" t="s">
        <v>10880</v>
      </c>
      <c r="C1702" s="91" t="s">
        <v>10</v>
      </c>
      <c r="D1702" s="133" t="s">
        <v>3198</v>
      </c>
      <c r="E1702" s="133" t="s">
        <v>10216</v>
      </c>
      <c r="F1702" s="91" t="s">
        <v>284</v>
      </c>
      <c r="G1702" s="91" t="s">
        <v>10239</v>
      </c>
      <c r="H1702" s="133" t="s">
        <v>10218</v>
      </c>
    </row>
    <row r="1703" spans="1:8">
      <c r="A1703" s="91" t="s">
        <v>10881</v>
      </c>
      <c r="B1703" s="134" t="s">
        <v>10882</v>
      </c>
      <c r="C1703" s="91" t="s">
        <v>10</v>
      </c>
      <c r="D1703" s="133" t="s">
        <v>3198</v>
      </c>
      <c r="E1703" s="133" t="s">
        <v>10216</v>
      </c>
      <c r="F1703" s="91" t="s">
        <v>120</v>
      </c>
      <c r="G1703" s="91" t="s">
        <v>10231</v>
      </c>
      <c r="H1703" s="133" t="s">
        <v>10218</v>
      </c>
    </row>
    <row r="1704" spans="1:8">
      <c r="A1704" s="91" t="s">
        <v>10883</v>
      </c>
      <c r="B1704" s="134" t="s">
        <v>10884</v>
      </c>
      <c r="C1704" s="91" t="s">
        <v>10</v>
      </c>
      <c r="D1704" s="133" t="s">
        <v>3198</v>
      </c>
      <c r="E1704" s="133" t="s">
        <v>10216</v>
      </c>
      <c r="F1704" s="91" t="s">
        <v>65</v>
      </c>
      <c r="G1704" s="91" t="s">
        <v>10318</v>
      </c>
      <c r="H1704" s="133" t="s">
        <v>10218</v>
      </c>
    </row>
    <row r="1705" spans="1:8">
      <c r="A1705" s="91" t="s">
        <v>10885</v>
      </c>
      <c r="B1705" s="134" t="s">
        <v>10886</v>
      </c>
      <c r="C1705" s="91" t="s">
        <v>10</v>
      </c>
      <c r="D1705" s="133" t="s">
        <v>3198</v>
      </c>
      <c r="E1705" s="133" t="s">
        <v>10216</v>
      </c>
      <c r="F1705" s="91" t="s">
        <v>65</v>
      </c>
      <c r="G1705" s="91" t="s">
        <v>10242</v>
      </c>
      <c r="H1705" s="133" t="s">
        <v>10218</v>
      </c>
    </row>
    <row r="1706" spans="1:8">
      <c r="A1706" s="91" t="s">
        <v>10887</v>
      </c>
      <c r="B1706" s="134" t="s">
        <v>10888</v>
      </c>
      <c r="C1706" s="91" t="s">
        <v>10</v>
      </c>
      <c r="D1706" s="133" t="s">
        <v>3198</v>
      </c>
      <c r="E1706" s="133" t="s">
        <v>10216</v>
      </c>
      <c r="F1706" s="91" t="s">
        <v>284</v>
      </c>
      <c r="G1706" s="91" t="s">
        <v>10231</v>
      </c>
      <c r="H1706" s="133" t="s">
        <v>10218</v>
      </c>
    </row>
    <row r="1707" spans="1:8">
      <c r="A1707" s="91" t="s">
        <v>10889</v>
      </c>
      <c r="B1707" s="134" t="s">
        <v>10890</v>
      </c>
      <c r="C1707" s="91" t="s">
        <v>10</v>
      </c>
      <c r="D1707" s="133" t="s">
        <v>3198</v>
      </c>
      <c r="E1707" s="133" t="s">
        <v>10216</v>
      </c>
      <c r="F1707" s="91" t="s">
        <v>120</v>
      </c>
      <c r="G1707" s="91" t="s">
        <v>10239</v>
      </c>
      <c r="H1707" s="133" t="s">
        <v>10218</v>
      </c>
    </row>
    <row r="1708" spans="1:8">
      <c r="A1708" s="91" t="s">
        <v>10891</v>
      </c>
      <c r="B1708" s="134" t="s">
        <v>10892</v>
      </c>
      <c r="C1708" s="91" t="s">
        <v>10</v>
      </c>
      <c r="D1708" s="133" t="s">
        <v>8909</v>
      </c>
      <c r="E1708" s="133" t="s">
        <v>10216</v>
      </c>
      <c r="F1708" s="91" t="s">
        <v>284</v>
      </c>
      <c r="G1708" s="91" t="s">
        <v>10232</v>
      </c>
      <c r="H1708" s="133" t="s">
        <v>10218</v>
      </c>
    </row>
    <row r="1709" spans="1:8">
      <c r="A1709" s="91" t="s">
        <v>10893</v>
      </c>
      <c r="B1709" s="134" t="s">
        <v>2678</v>
      </c>
      <c r="C1709" s="91" t="s">
        <v>10</v>
      </c>
      <c r="D1709" s="133" t="s">
        <v>8909</v>
      </c>
      <c r="E1709" s="133" t="s">
        <v>10216</v>
      </c>
      <c r="F1709" s="91" t="s">
        <v>65</v>
      </c>
      <c r="G1709" s="91" t="s">
        <v>10239</v>
      </c>
      <c r="H1709" s="133" t="s">
        <v>10218</v>
      </c>
    </row>
    <row r="1710" spans="1:8">
      <c r="A1710" s="91" t="s">
        <v>10894</v>
      </c>
      <c r="B1710" s="134" t="s">
        <v>2729</v>
      </c>
      <c r="C1710" s="91" t="s">
        <v>10</v>
      </c>
      <c r="D1710" s="133" t="s">
        <v>8909</v>
      </c>
      <c r="E1710" s="133" t="s">
        <v>10216</v>
      </c>
      <c r="F1710" s="91" t="s">
        <v>284</v>
      </c>
      <c r="G1710" s="91" t="s">
        <v>10242</v>
      </c>
      <c r="H1710" s="133" t="s">
        <v>10218</v>
      </c>
    </row>
    <row r="1711" spans="1:8">
      <c r="A1711" s="91" t="s">
        <v>10895</v>
      </c>
      <c r="B1711" s="134" t="s">
        <v>10896</v>
      </c>
      <c r="C1711" s="91" t="s">
        <v>10</v>
      </c>
      <c r="D1711" s="133" t="s">
        <v>8909</v>
      </c>
      <c r="E1711" s="133" t="s">
        <v>10216</v>
      </c>
      <c r="F1711" s="91" t="s">
        <v>120</v>
      </c>
      <c r="G1711" s="91" t="s">
        <v>10231</v>
      </c>
      <c r="H1711" s="133" t="s">
        <v>10218</v>
      </c>
    </row>
    <row r="1712" spans="1:8">
      <c r="A1712" s="91" t="s">
        <v>10897</v>
      </c>
      <c r="B1712" s="134" t="s">
        <v>10898</v>
      </c>
      <c r="C1712" s="91" t="s">
        <v>10</v>
      </c>
      <c r="D1712" s="133" t="s">
        <v>8909</v>
      </c>
      <c r="E1712" s="133" t="s">
        <v>10216</v>
      </c>
      <c r="F1712" s="91" t="s">
        <v>2493</v>
      </c>
      <c r="G1712" s="91" t="s">
        <v>10231</v>
      </c>
      <c r="H1712" s="133" t="s">
        <v>10218</v>
      </c>
    </row>
    <row r="1713" spans="1:8">
      <c r="A1713" s="91" t="s">
        <v>10899</v>
      </c>
      <c r="B1713" s="134" t="s">
        <v>10900</v>
      </c>
      <c r="C1713" s="91" t="s">
        <v>10</v>
      </c>
      <c r="D1713" s="133" t="s">
        <v>8909</v>
      </c>
      <c r="E1713" s="133" t="s">
        <v>10216</v>
      </c>
      <c r="F1713" s="91" t="s">
        <v>284</v>
      </c>
      <c r="G1713" s="91" t="s">
        <v>10239</v>
      </c>
      <c r="H1713" s="133" t="s">
        <v>10218</v>
      </c>
    </row>
    <row r="1714" spans="1:8">
      <c r="A1714" s="91" t="s">
        <v>10901</v>
      </c>
      <c r="B1714" s="134" t="s">
        <v>10902</v>
      </c>
      <c r="C1714" s="91" t="s">
        <v>10</v>
      </c>
      <c r="D1714" s="133" t="s">
        <v>8909</v>
      </c>
      <c r="E1714" s="133" t="s">
        <v>10216</v>
      </c>
      <c r="F1714" s="91" t="s">
        <v>284</v>
      </c>
      <c r="G1714" s="91" t="s">
        <v>10231</v>
      </c>
      <c r="H1714" s="133" t="s">
        <v>10218</v>
      </c>
    </row>
    <row r="1715" spans="1:8">
      <c r="A1715" s="91" t="s">
        <v>10903</v>
      </c>
      <c r="B1715" s="134" t="s">
        <v>10904</v>
      </c>
      <c r="C1715" s="91" t="s">
        <v>10</v>
      </c>
      <c r="D1715" s="133" t="s">
        <v>8909</v>
      </c>
      <c r="E1715" s="133" t="s">
        <v>10216</v>
      </c>
      <c r="F1715" s="91" t="s">
        <v>338</v>
      </c>
      <c r="G1715" s="91" t="s">
        <v>10239</v>
      </c>
      <c r="H1715" s="133" t="s">
        <v>10218</v>
      </c>
    </row>
    <row r="1716" spans="1:8">
      <c r="A1716" s="91" t="s">
        <v>10905</v>
      </c>
      <c r="B1716" s="134" t="s">
        <v>10906</v>
      </c>
      <c r="C1716" s="91" t="s">
        <v>10</v>
      </c>
      <c r="D1716" s="133" t="s">
        <v>6429</v>
      </c>
      <c r="E1716" s="133" t="s">
        <v>10216</v>
      </c>
      <c r="F1716" s="91" t="s">
        <v>284</v>
      </c>
      <c r="G1716" s="91" t="s">
        <v>10239</v>
      </c>
      <c r="H1716" s="133" t="s">
        <v>10218</v>
      </c>
    </row>
    <row r="1717" spans="1:8">
      <c r="A1717" s="91" t="s">
        <v>10907</v>
      </c>
      <c r="B1717" s="134" t="s">
        <v>10908</v>
      </c>
      <c r="C1717" s="91" t="s">
        <v>10</v>
      </c>
      <c r="D1717" s="133" t="s">
        <v>6429</v>
      </c>
      <c r="E1717" s="133" t="s">
        <v>10216</v>
      </c>
      <c r="F1717" s="91" t="s">
        <v>65</v>
      </c>
      <c r="G1717" s="91" t="s">
        <v>10242</v>
      </c>
      <c r="H1717" s="133" t="s">
        <v>10218</v>
      </c>
    </row>
    <row r="1718" spans="1:8">
      <c r="A1718" s="91" t="s">
        <v>10909</v>
      </c>
      <c r="B1718" s="134" t="s">
        <v>10910</v>
      </c>
      <c r="C1718" s="91" t="s">
        <v>10</v>
      </c>
      <c r="D1718" s="133" t="s">
        <v>6429</v>
      </c>
      <c r="E1718" s="133" t="s">
        <v>10216</v>
      </c>
      <c r="F1718" s="91" t="s">
        <v>65</v>
      </c>
      <c r="G1718" s="91" t="s">
        <v>10231</v>
      </c>
      <c r="H1718" s="133" t="s">
        <v>10218</v>
      </c>
    </row>
    <row r="1719" spans="1:8">
      <c r="A1719" s="91" t="s">
        <v>10911</v>
      </c>
      <c r="B1719" s="134" t="s">
        <v>10912</v>
      </c>
      <c r="C1719" s="91" t="s">
        <v>10</v>
      </c>
      <c r="D1719" s="133" t="s">
        <v>6429</v>
      </c>
      <c r="E1719" s="133" t="s">
        <v>10216</v>
      </c>
      <c r="F1719" s="91" t="s">
        <v>120</v>
      </c>
      <c r="G1719" s="91" t="s">
        <v>10239</v>
      </c>
      <c r="H1719" s="133" t="s">
        <v>10218</v>
      </c>
    </row>
    <row r="1720" spans="1:8">
      <c r="A1720" s="91" t="s">
        <v>10913</v>
      </c>
      <c r="B1720" s="134" t="s">
        <v>10914</v>
      </c>
      <c r="C1720" s="91" t="s">
        <v>10</v>
      </c>
      <c r="D1720" s="133" t="s">
        <v>8930</v>
      </c>
      <c r="E1720" s="133" t="s">
        <v>10216</v>
      </c>
      <c r="F1720" s="91" t="s">
        <v>109</v>
      </c>
      <c r="G1720" s="91" t="s">
        <v>10239</v>
      </c>
      <c r="H1720" s="133" t="s">
        <v>10218</v>
      </c>
    </row>
    <row r="1721" spans="1:8">
      <c r="A1721" s="91" t="s">
        <v>10915</v>
      </c>
      <c r="B1721" s="134" t="s">
        <v>10916</v>
      </c>
      <c r="C1721" s="91" t="s">
        <v>10</v>
      </c>
      <c r="D1721" s="133" t="s">
        <v>7652</v>
      </c>
      <c r="E1721" s="133" t="s">
        <v>10216</v>
      </c>
      <c r="F1721" s="91" t="s">
        <v>284</v>
      </c>
      <c r="G1721" s="91" t="s">
        <v>10239</v>
      </c>
      <c r="H1721" s="133" t="s">
        <v>10218</v>
      </c>
    </row>
    <row r="1722" spans="1:8">
      <c r="A1722" s="91" t="s">
        <v>10917</v>
      </c>
      <c r="B1722" s="134" t="s">
        <v>10918</v>
      </c>
      <c r="C1722" s="91" t="s">
        <v>10</v>
      </c>
      <c r="D1722" s="133" t="s">
        <v>6283</v>
      </c>
      <c r="E1722" s="133" t="s">
        <v>10216</v>
      </c>
      <c r="F1722" s="91" t="s">
        <v>2493</v>
      </c>
      <c r="G1722" s="91" t="s">
        <v>10231</v>
      </c>
      <c r="H1722" s="133" t="s">
        <v>10218</v>
      </c>
    </row>
    <row r="1723" spans="1:8">
      <c r="A1723" s="91" t="s">
        <v>10919</v>
      </c>
      <c r="B1723" s="134" t="s">
        <v>4108</v>
      </c>
      <c r="C1723" s="91" t="s">
        <v>10</v>
      </c>
      <c r="D1723" s="133" t="s">
        <v>6283</v>
      </c>
      <c r="E1723" s="133" t="s">
        <v>10216</v>
      </c>
      <c r="F1723" s="91" t="s">
        <v>65</v>
      </c>
      <c r="G1723" s="91" t="s">
        <v>10242</v>
      </c>
      <c r="H1723" s="133" t="s">
        <v>10218</v>
      </c>
    </row>
    <row r="1724" spans="1:8">
      <c r="A1724" s="91" t="s">
        <v>10920</v>
      </c>
      <c r="B1724" s="134" t="s">
        <v>10921</v>
      </c>
      <c r="C1724" s="91" t="s">
        <v>10</v>
      </c>
      <c r="D1724" s="133" t="s">
        <v>6283</v>
      </c>
      <c r="E1724" s="133" t="s">
        <v>10216</v>
      </c>
      <c r="F1724" s="91" t="s">
        <v>120</v>
      </c>
      <c r="G1724" s="91" t="s">
        <v>10231</v>
      </c>
      <c r="H1724" s="133" t="s">
        <v>10218</v>
      </c>
    </row>
    <row r="1725" spans="1:8">
      <c r="A1725" s="91" t="s">
        <v>10922</v>
      </c>
      <c r="B1725" s="134" t="s">
        <v>10923</v>
      </c>
      <c r="C1725" s="91" t="s">
        <v>10</v>
      </c>
      <c r="D1725" s="133" t="s">
        <v>6283</v>
      </c>
      <c r="E1725" s="133" t="s">
        <v>10216</v>
      </c>
      <c r="F1725" s="91" t="s">
        <v>284</v>
      </c>
      <c r="G1725" s="91" t="s">
        <v>10239</v>
      </c>
      <c r="H1725" s="133" t="s">
        <v>10218</v>
      </c>
    </row>
    <row r="1726" spans="1:8">
      <c r="A1726" s="91" t="s">
        <v>10924</v>
      </c>
      <c r="B1726" s="134" t="s">
        <v>10925</v>
      </c>
      <c r="C1726" s="91" t="s">
        <v>10</v>
      </c>
      <c r="D1726" s="133" t="s">
        <v>10926</v>
      </c>
      <c r="E1726" s="133" t="s">
        <v>10216</v>
      </c>
      <c r="F1726" s="91" t="s">
        <v>284</v>
      </c>
      <c r="G1726" s="91" t="s">
        <v>10239</v>
      </c>
      <c r="H1726" s="133" t="s">
        <v>10218</v>
      </c>
    </row>
    <row r="1727" spans="1:8">
      <c r="A1727" s="91" t="s">
        <v>10927</v>
      </c>
      <c r="B1727" s="134" t="s">
        <v>10928</v>
      </c>
      <c r="C1727" s="91" t="s">
        <v>10</v>
      </c>
      <c r="D1727" s="133" t="s">
        <v>10926</v>
      </c>
      <c r="E1727" s="133" t="s">
        <v>10216</v>
      </c>
      <c r="F1727" s="91" t="s">
        <v>284</v>
      </c>
      <c r="G1727" s="91" t="s">
        <v>10242</v>
      </c>
      <c r="H1727" s="133" t="s">
        <v>10218</v>
      </c>
    </row>
    <row r="1728" spans="1:8">
      <c r="A1728" s="91" t="s">
        <v>10929</v>
      </c>
      <c r="B1728" s="134" t="s">
        <v>10930</v>
      </c>
      <c r="C1728" s="91" t="s">
        <v>10</v>
      </c>
      <c r="D1728" s="133" t="s">
        <v>8875</v>
      </c>
      <c r="E1728" s="133" t="s">
        <v>10216</v>
      </c>
      <c r="F1728" s="91" t="s">
        <v>284</v>
      </c>
      <c r="G1728" s="91" t="s">
        <v>10242</v>
      </c>
      <c r="H1728" s="133" t="s">
        <v>10218</v>
      </c>
    </row>
    <row r="1729" spans="1:8">
      <c r="A1729" s="91" t="s">
        <v>10931</v>
      </c>
      <c r="B1729" s="134" t="s">
        <v>10932</v>
      </c>
      <c r="C1729" s="91" t="s">
        <v>10</v>
      </c>
      <c r="D1729" s="133" t="s">
        <v>8021</v>
      </c>
      <c r="E1729" s="133" t="s">
        <v>10216</v>
      </c>
      <c r="F1729" s="91" t="s">
        <v>284</v>
      </c>
      <c r="G1729" s="91" t="s">
        <v>10245</v>
      </c>
      <c r="H1729" s="133" t="s">
        <v>10218</v>
      </c>
    </row>
    <row r="1730" spans="1:8">
      <c r="A1730" s="91" t="s">
        <v>10933</v>
      </c>
      <c r="B1730" s="134" t="s">
        <v>10934</v>
      </c>
      <c r="C1730" s="91" t="s">
        <v>10</v>
      </c>
      <c r="D1730" s="133" t="s">
        <v>8021</v>
      </c>
      <c r="E1730" s="133" t="s">
        <v>10216</v>
      </c>
      <c r="F1730" s="91" t="s">
        <v>284</v>
      </c>
      <c r="G1730" s="91" t="s">
        <v>10232</v>
      </c>
      <c r="H1730" s="133" t="s">
        <v>10218</v>
      </c>
    </row>
    <row r="1731" spans="1:8">
      <c r="A1731" s="91" t="s">
        <v>10935</v>
      </c>
      <c r="B1731" s="134" t="s">
        <v>10936</v>
      </c>
      <c r="C1731" s="91" t="s">
        <v>10</v>
      </c>
      <c r="D1731" s="133" t="s">
        <v>8021</v>
      </c>
      <c r="E1731" s="133" t="s">
        <v>10216</v>
      </c>
      <c r="F1731" s="91" t="s">
        <v>284</v>
      </c>
      <c r="G1731" s="91" t="s">
        <v>10231</v>
      </c>
      <c r="H1731" s="133" t="s">
        <v>10218</v>
      </c>
    </row>
    <row r="1732" spans="1:8">
      <c r="A1732" s="91" t="s">
        <v>10937</v>
      </c>
      <c r="B1732" s="134" t="s">
        <v>10938</v>
      </c>
      <c r="C1732" s="91" t="s">
        <v>10</v>
      </c>
      <c r="D1732" s="133" t="s">
        <v>8021</v>
      </c>
      <c r="E1732" s="133" t="s">
        <v>10216</v>
      </c>
      <c r="F1732" s="91" t="s">
        <v>284</v>
      </c>
      <c r="G1732" s="91" t="s">
        <v>10239</v>
      </c>
      <c r="H1732" s="133" t="s">
        <v>10218</v>
      </c>
    </row>
    <row r="1733" spans="1:8">
      <c r="A1733" s="91" t="s">
        <v>10939</v>
      </c>
      <c r="B1733" s="134" t="s">
        <v>10940</v>
      </c>
      <c r="C1733" s="91" t="s">
        <v>10</v>
      </c>
      <c r="D1733" s="133" t="s">
        <v>8021</v>
      </c>
      <c r="E1733" s="133" t="s">
        <v>10216</v>
      </c>
      <c r="F1733" s="91" t="s">
        <v>284</v>
      </c>
      <c r="G1733" s="91" t="s">
        <v>10239</v>
      </c>
      <c r="H1733" s="133" t="s">
        <v>10218</v>
      </c>
    </row>
    <row r="1734" spans="1:8">
      <c r="A1734" s="91" t="s">
        <v>10941</v>
      </c>
      <c r="B1734" s="134" t="s">
        <v>10942</v>
      </c>
      <c r="C1734" s="91" t="s">
        <v>10</v>
      </c>
      <c r="D1734" s="133" t="s">
        <v>8021</v>
      </c>
      <c r="E1734" s="133" t="s">
        <v>10216</v>
      </c>
      <c r="F1734" s="91" t="s">
        <v>284</v>
      </c>
      <c r="G1734" s="91" t="s">
        <v>10239</v>
      </c>
      <c r="H1734" s="133" t="s">
        <v>10218</v>
      </c>
    </row>
    <row r="1735" spans="1:8">
      <c r="A1735" s="91" t="s">
        <v>10943</v>
      </c>
      <c r="B1735" s="134" t="s">
        <v>10944</v>
      </c>
      <c r="C1735" s="91" t="s">
        <v>10</v>
      </c>
      <c r="D1735" s="133" t="s">
        <v>8021</v>
      </c>
      <c r="E1735" s="133" t="s">
        <v>10216</v>
      </c>
      <c r="F1735" s="91" t="s">
        <v>120</v>
      </c>
      <c r="G1735" s="91" t="s">
        <v>10239</v>
      </c>
      <c r="H1735" s="133" t="s">
        <v>10218</v>
      </c>
    </row>
    <row r="1736" spans="1:8">
      <c r="A1736" s="91" t="s">
        <v>10945</v>
      </c>
      <c r="B1736" s="134" t="s">
        <v>10946</v>
      </c>
      <c r="C1736" s="91" t="s">
        <v>10</v>
      </c>
      <c r="D1736" s="133" t="s">
        <v>8021</v>
      </c>
      <c r="E1736" s="133" t="s">
        <v>10216</v>
      </c>
      <c r="F1736" s="91" t="s">
        <v>120</v>
      </c>
      <c r="G1736" s="91" t="s">
        <v>10239</v>
      </c>
      <c r="H1736" s="133" t="s">
        <v>10218</v>
      </c>
    </row>
    <row r="1737" spans="1:8">
      <c r="A1737" s="91" t="s">
        <v>10947</v>
      </c>
      <c r="B1737" s="134" t="s">
        <v>5425</v>
      </c>
      <c r="C1737" s="91" t="s">
        <v>10</v>
      </c>
      <c r="D1737" s="133" t="s">
        <v>8021</v>
      </c>
      <c r="E1737" s="133" t="s">
        <v>10216</v>
      </c>
      <c r="F1737" s="91" t="s">
        <v>2493</v>
      </c>
      <c r="G1737" s="91" t="s">
        <v>10231</v>
      </c>
      <c r="H1737" s="133" t="s">
        <v>10218</v>
      </c>
    </row>
    <row r="1738" spans="1:8">
      <c r="A1738" s="91" t="s">
        <v>10948</v>
      </c>
      <c r="B1738" s="134" t="s">
        <v>10949</v>
      </c>
      <c r="C1738" s="91" t="s">
        <v>10</v>
      </c>
      <c r="D1738" s="133" t="s">
        <v>5335</v>
      </c>
      <c r="E1738" s="133" t="s">
        <v>10216</v>
      </c>
      <c r="F1738" s="91" t="s">
        <v>65</v>
      </c>
      <c r="G1738" s="91" t="s">
        <v>10232</v>
      </c>
      <c r="H1738" s="133" t="s">
        <v>10218</v>
      </c>
    </row>
    <row r="1739" spans="1:8">
      <c r="A1739" s="91" t="s">
        <v>10950</v>
      </c>
      <c r="B1739" s="134" t="s">
        <v>10951</v>
      </c>
      <c r="C1739" s="91" t="s">
        <v>10</v>
      </c>
      <c r="D1739" s="133" t="s">
        <v>5335</v>
      </c>
      <c r="E1739" s="133" t="s">
        <v>10216</v>
      </c>
      <c r="F1739" s="91" t="s">
        <v>338</v>
      </c>
      <c r="G1739" s="91" t="s">
        <v>10239</v>
      </c>
      <c r="H1739" s="133" t="s">
        <v>10218</v>
      </c>
    </row>
    <row r="1740" spans="1:8">
      <c r="A1740" s="91" t="s">
        <v>10952</v>
      </c>
      <c r="B1740" s="134" t="s">
        <v>10953</v>
      </c>
      <c r="C1740" s="91" t="s">
        <v>10</v>
      </c>
      <c r="D1740" s="133" t="s">
        <v>5335</v>
      </c>
      <c r="E1740" s="133" t="s">
        <v>10216</v>
      </c>
      <c r="F1740" s="91" t="s">
        <v>284</v>
      </c>
      <c r="G1740" s="91" t="s">
        <v>10318</v>
      </c>
      <c r="H1740" s="133" t="s">
        <v>10218</v>
      </c>
    </row>
    <row r="1741" spans="1:8">
      <c r="A1741" s="91" t="s">
        <v>10954</v>
      </c>
      <c r="B1741" s="134" t="s">
        <v>10955</v>
      </c>
      <c r="C1741" s="91" t="s">
        <v>10</v>
      </c>
      <c r="D1741" s="133" t="s">
        <v>5335</v>
      </c>
      <c r="E1741" s="133" t="s">
        <v>10216</v>
      </c>
      <c r="F1741" s="91" t="s">
        <v>338</v>
      </c>
      <c r="G1741" s="91" t="s">
        <v>10239</v>
      </c>
      <c r="H1741" s="133" t="s">
        <v>10218</v>
      </c>
    </row>
    <row r="1742" spans="1:8">
      <c r="A1742" s="91" t="s">
        <v>10956</v>
      </c>
      <c r="B1742" s="134" t="s">
        <v>10957</v>
      </c>
      <c r="C1742" s="91" t="s">
        <v>10</v>
      </c>
      <c r="D1742" s="133" t="s">
        <v>5335</v>
      </c>
      <c r="E1742" s="133" t="s">
        <v>10216</v>
      </c>
      <c r="F1742" s="91" t="s">
        <v>284</v>
      </c>
      <c r="G1742" s="91" t="s">
        <v>10231</v>
      </c>
      <c r="H1742" s="133" t="s">
        <v>10218</v>
      </c>
    </row>
    <row r="1743" spans="1:8">
      <c r="A1743" s="91" t="s">
        <v>10958</v>
      </c>
      <c r="B1743" s="134" t="s">
        <v>10959</v>
      </c>
      <c r="C1743" s="91" t="s">
        <v>10</v>
      </c>
      <c r="D1743" s="133" t="s">
        <v>5335</v>
      </c>
      <c r="E1743" s="133" t="s">
        <v>10216</v>
      </c>
      <c r="F1743" s="91" t="s">
        <v>120</v>
      </c>
      <c r="G1743" s="91" t="s">
        <v>10242</v>
      </c>
      <c r="H1743" s="133" t="s">
        <v>10218</v>
      </c>
    </row>
    <row r="1744" spans="1:8">
      <c r="A1744" s="91" t="s">
        <v>10960</v>
      </c>
      <c r="B1744" s="134" t="s">
        <v>10961</v>
      </c>
      <c r="C1744" s="91" t="s">
        <v>10</v>
      </c>
      <c r="D1744" s="133" t="s">
        <v>5335</v>
      </c>
      <c r="E1744" s="133" t="s">
        <v>10216</v>
      </c>
      <c r="F1744" s="91" t="s">
        <v>65</v>
      </c>
      <c r="G1744" s="91" t="s">
        <v>10231</v>
      </c>
      <c r="H1744" s="133" t="s">
        <v>10218</v>
      </c>
    </row>
    <row r="1745" spans="1:8">
      <c r="A1745" s="91" t="s">
        <v>10962</v>
      </c>
      <c r="B1745" s="134" t="s">
        <v>10963</v>
      </c>
      <c r="C1745" s="91" t="s">
        <v>10</v>
      </c>
      <c r="D1745" s="133" t="s">
        <v>5335</v>
      </c>
      <c r="E1745" s="133" t="s">
        <v>10216</v>
      </c>
      <c r="F1745" s="91" t="s">
        <v>65</v>
      </c>
      <c r="G1745" s="91" t="s">
        <v>10242</v>
      </c>
      <c r="H1745" s="133" t="s">
        <v>10218</v>
      </c>
    </row>
    <row r="1746" spans="1:8">
      <c r="A1746" s="91" t="s">
        <v>5334</v>
      </c>
      <c r="B1746" s="134" t="s">
        <v>5336</v>
      </c>
      <c r="C1746" s="91" t="s">
        <v>10</v>
      </c>
      <c r="D1746" s="133" t="s">
        <v>5335</v>
      </c>
      <c r="E1746" s="133" t="s">
        <v>10216</v>
      </c>
      <c r="F1746" s="91" t="s">
        <v>120</v>
      </c>
      <c r="G1746" s="91" t="s">
        <v>10242</v>
      </c>
      <c r="H1746" s="133" t="s">
        <v>10218</v>
      </c>
    </row>
    <row r="1747" spans="1:8">
      <c r="A1747" s="91" t="s">
        <v>10964</v>
      </c>
      <c r="B1747" s="134" t="s">
        <v>10965</v>
      </c>
      <c r="C1747" s="91" t="s">
        <v>10</v>
      </c>
      <c r="D1747" s="133" t="s">
        <v>5335</v>
      </c>
      <c r="E1747" s="133" t="s">
        <v>10216</v>
      </c>
      <c r="F1747" s="91" t="s">
        <v>109</v>
      </c>
      <c r="G1747" s="91" t="s">
        <v>10239</v>
      </c>
      <c r="H1747" s="133" t="s">
        <v>10218</v>
      </c>
    </row>
    <row r="1748" spans="1:8">
      <c r="A1748" s="91" t="s">
        <v>10966</v>
      </c>
      <c r="B1748" s="134" t="s">
        <v>10967</v>
      </c>
      <c r="C1748" s="91" t="s">
        <v>10</v>
      </c>
      <c r="D1748" s="133" t="s">
        <v>5335</v>
      </c>
      <c r="E1748" s="133" t="s">
        <v>10216</v>
      </c>
      <c r="F1748" s="91" t="s">
        <v>284</v>
      </c>
      <c r="G1748" s="91" t="s">
        <v>10245</v>
      </c>
      <c r="H1748" s="133" t="s">
        <v>10218</v>
      </c>
    </row>
    <row r="1749" spans="1:8">
      <c r="A1749" s="91" t="s">
        <v>7763</v>
      </c>
      <c r="B1749" s="134" t="s">
        <v>7764</v>
      </c>
      <c r="C1749" s="91" t="s">
        <v>10</v>
      </c>
      <c r="D1749" s="133" t="s">
        <v>6012</v>
      </c>
      <c r="E1749" s="133" t="s">
        <v>10216</v>
      </c>
      <c r="F1749" s="91" t="s">
        <v>65</v>
      </c>
      <c r="G1749" s="91" t="s">
        <v>10232</v>
      </c>
      <c r="H1749" s="133" t="s">
        <v>10218</v>
      </c>
    </row>
    <row r="1750" spans="1:8">
      <c r="A1750" s="91" t="s">
        <v>10968</v>
      </c>
      <c r="B1750" s="134" t="s">
        <v>10969</v>
      </c>
      <c r="C1750" s="91" t="s">
        <v>10</v>
      </c>
      <c r="D1750" s="133" t="s">
        <v>6012</v>
      </c>
      <c r="E1750" s="133" t="s">
        <v>10216</v>
      </c>
      <c r="F1750" s="91" t="s">
        <v>65</v>
      </c>
      <c r="G1750" s="91" t="s">
        <v>10225</v>
      </c>
      <c r="H1750" s="133" t="s">
        <v>10218</v>
      </c>
    </row>
    <row r="1751" spans="1:8">
      <c r="A1751" s="91" t="s">
        <v>10970</v>
      </c>
      <c r="B1751" s="134" t="s">
        <v>10971</v>
      </c>
      <c r="C1751" s="91" t="s">
        <v>10</v>
      </c>
      <c r="D1751" s="133" t="s">
        <v>6012</v>
      </c>
      <c r="E1751" s="133" t="s">
        <v>10216</v>
      </c>
      <c r="F1751" s="91" t="s">
        <v>120</v>
      </c>
      <c r="G1751" s="91" t="s">
        <v>10318</v>
      </c>
      <c r="H1751" s="133" t="s">
        <v>10218</v>
      </c>
    </row>
    <row r="1752" spans="1:8">
      <c r="A1752" s="91" t="s">
        <v>10972</v>
      </c>
      <c r="B1752" s="134" t="s">
        <v>10973</v>
      </c>
      <c r="C1752" s="91" t="s">
        <v>10</v>
      </c>
      <c r="D1752" s="133" t="s">
        <v>8923</v>
      </c>
      <c r="E1752" s="133" t="s">
        <v>10216</v>
      </c>
      <c r="F1752" s="91" t="s">
        <v>65</v>
      </c>
      <c r="G1752" s="91" t="s">
        <v>10231</v>
      </c>
      <c r="H1752" s="133" t="s">
        <v>10218</v>
      </c>
    </row>
    <row r="1753" spans="1:8">
      <c r="A1753" s="91" t="s">
        <v>10974</v>
      </c>
      <c r="B1753" s="134" t="s">
        <v>10975</v>
      </c>
      <c r="C1753" s="91" t="s">
        <v>10</v>
      </c>
      <c r="D1753" s="133" t="s">
        <v>8923</v>
      </c>
      <c r="E1753" s="133" t="s">
        <v>10216</v>
      </c>
      <c r="F1753" s="91" t="s">
        <v>120</v>
      </c>
      <c r="G1753" s="91" t="s">
        <v>10242</v>
      </c>
      <c r="H1753" s="133" t="s">
        <v>10218</v>
      </c>
    </row>
    <row r="1754" spans="1:8">
      <c r="A1754" s="91" t="s">
        <v>10976</v>
      </c>
      <c r="B1754" s="134" t="s">
        <v>10977</v>
      </c>
      <c r="C1754" s="91" t="s">
        <v>10</v>
      </c>
      <c r="D1754" s="133" t="s">
        <v>8923</v>
      </c>
      <c r="E1754" s="133" t="s">
        <v>10216</v>
      </c>
      <c r="F1754" s="91" t="s">
        <v>284</v>
      </c>
      <c r="G1754" s="91" t="s">
        <v>10239</v>
      </c>
      <c r="H1754" s="133" t="s">
        <v>10218</v>
      </c>
    </row>
    <row r="1755" spans="1:8">
      <c r="A1755" s="91" t="s">
        <v>10978</v>
      </c>
      <c r="B1755" s="134" t="s">
        <v>10979</v>
      </c>
      <c r="C1755" s="91" t="s">
        <v>10</v>
      </c>
      <c r="D1755" s="133" t="s">
        <v>8923</v>
      </c>
      <c r="E1755" s="133" t="s">
        <v>10216</v>
      </c>
      <c r="F1755" s="91" t="s">
        <v>65</v>
      </c>
      <c r="G1755" s="91" t="s">
        <v>10242</v>
      </c>
      <c r="H1755" s="133" t="s">
        <v>10218</v>
      </c>
    </row>
    <row r="1756" spans="1:8">
      <c r="A1756" s="91" t="s">
        <v>10980</v>
      </c>
      <c r="B1756" s="134" t="s">
        <v>10981</v>
      </c>
      <c r="C1756" s="91" t="s">
        <v>10</v>
      </c>
      <c r="D1756" s="133" t="s">
        <v>8923</v>
      </c>
      <c r="E1756" s="133" t="s">
        <v>10216</v>
      </c>
      <c r="F1756" s="91" t="s">
        <v>284</v>
      </c>
      <c r="G1756" s="91" t="s">
        <v>10245</v>
      </c>
      <c r="H1756" s="133" t="s">
        <v>10218</v>
      </c>
    </row>
    <row r="1757" spans="1:8">
      <c r="A1757" s="91" t="s">
        <v>10982</v>
      </c>
      <c r="B1757" s="134" t="s">
        <v>10983</v>
      </c>
      <c r="C1757" s="91" t="s">
        <v>10</v>
      </c>
      <c r="D1757" s="133" t="s">
        <v>8923</v>
      </c>
      <c r="E1757" s="133" t="s">
        <v>10216</v>
      </c>
      <c r="F1757" s="91" t="s">
        <v>65</v>
      </c>
      <c r="G1757" s="91" t="s">
        <v>10239</v>
      </c>
      <c r="H1757" s="133" t="s">
        <v>10218</v>
      </c>
    </row>
    <row r="1758" spans="1:8">
      <c r="A1758" s="91" t="s">
        <v>10984</v>
      </c>
      <c r="B1758" s="134" t="s">
        <v>10985</v>
      </c>
      <c r="C1758" s="91" t="s">
        <v>10</v>
      </c>
      <c r="D1758" s="133" t="s">
        <v>8923</v>
      </c>
      <c r="E1758" s="133" t="s">
        <v>10216</v>
      </c>
      <c r="F1758" s="91" t="s">
        <v>120</v>
      </c>
      <c r="G1758" s="91" t="s">
        <v>10239</v>
      </c>
      <c r="H1758" s="133" t="s">
        <v>10218</v>
      </c>
    </row>
    <row r="1759" spans="1:8">
      <c r="A1759" s="91" t="s">
        <v>10986</v>
      </c>
      <c r="B1759" s="134" t="s">
        <v>10987</v>
      </c>
      <c r="C1759" s="91" t="s">
        <v>10</v>
      </c>
      <c r="D1759" s="133" t="s">
        <v>8923</v>
      </c>
      <c r="E1759" s="133" t="s">
        <v>10216</v>
      </c>
      <c r="F1759" s="91" t="s">
        <v>120</v>
      </c>
      <c r="G1759" s="91" t="s">
        <v>10239</v>
      </c>
      <c r="H1759" s="133" t="s">
        <v>10218</v>
      </c>
    </row>
    <row r="1760" spans="1:8">
      <c r="A1760" s="91" t="s">
        <v>10988</v>
      </c>
      <c r="B1760" s="134" t="s">
        <v>10989</v>
      </c>
      <c r="C1760" s="91" t="s">
        <v>10</v>
      </c>
      <c r="D1760" s="133" t="s">
        <v>8923</v>
      </c>
      <c r="E1760" s="133" t="s">
        <v>10216</v>
      </c>
      <c r="F1760" s="91" t="s">
        <v>284</v>
      </c>
      <c r="G1760" s="91" t="s">
        <v>10231</v>
      </c>
      <c r="H1760" s="133" t="s">
        <v>10218</v>
      </c>
    </row>
    <row r="1761" spans="1:8">
      <c r="A1761" s="91" t="s">
        <v>10990</v>
      </c>
      <c r="B1761" s="134" t="s">
        <v>10991</v>
      </c>
      <c r="C1761" s="91" t="s">
        <v>10</v>
      </c>
      <c r="D1761" s="133" t="s">
        <v>8923</v>
      </c>
      <c r="E1761" s="133" t="s">
        <v>10216</v>
      </c>
      <c r="F1761" s="91" t="s">
        <v>109</v>
      </c>
      <c r="G1761" s="91" t="s">
        <v>10239</v>
      </c>
      <c r="H1761" s="133" t="s">
        <v>10218</v>
      </c>
    </row>
    <row r="1762" spans="1:8">
      <c r="A1762" s="91" t="s">
        <v>10992</v>
      </c>
      <c r="B1762" s="134" t="s">
        <v>10993</v>
      </c>
      <c r="C1762" s="91" t="s">
        <v>10</v>
      </c>
      <c r="D1762" s="133" t="s">
        <v>8923</v>
      </c>
      <c r="E1762" s="133" t="s">
        <v>10216</v>
      </c>
      <c r="F1762" s="91" t="s">
        <v>109</v>
      </c>
      <c r="G1762" s="91" t="s">
        <v>10231</v>
      </c>
      <c r="H1762" s="133" t="s">
        <v>10218</v>
      </c>
    </row>
    <row r="1763" spans="1:8">
      <c r="A1763" s="91" t="s">
        <v>10994</v>
      </c>
      <c r="B1763" s="134" t="s">
        <v>10995</v>
      </c>
      <c r="C1763" s="91" t="s">
        <v>10</v>
      </c>
      <c r="D1763" s="133" t="s">
        <v>8923</v>
      </c>
      <c r="E1763" s="133" t="s">
        <v>10216</v>
      </c>
      <c r="F1763" s="91" t="s">
        <v>120</v>
      </c>
      <c r="G1763" s="91" t="s">
        <v>10231</v>
      </c>
      <c r="H1763" s="133" t="s">
        <v>10218</v>
      </c>
    </row>
    <row r="1764" spans="1:8">
      <c r="A1764" s="91" t="s">
        <v>10996</v>
      </c>
      <c r="B1764" s="134" t="s">
        <v>10997</v>
      </c>
      <c r="C1764" s="91" t="s">
        <v>10</v>
      </c>
      <c r="D1764" s="133" t="s">
        <v>9061</v>
      </c>
      <c r="E1764" s="133" t="s">
        <v>10216</v>
      </c>
      <c r="F1764" s="91" t="s">
        <v>65</v>
      </c>
      <c r="G1764" s="91" t="s">
        <v>10231</v>
      </c>
      <c r="H1764" s="133" t="s">
        <v>10218</v>
      </c>
    </row>
    <row r="1765" spans="1:8">
      <c r="A1765" s="91" t="s">
        <v>10998</v>
      </c>
      <c r="B1765" s="134" t="s">
        <v>10999</v>
      </c>
      <c r="C1765" s="91" t="s">
        <v>10</v>
      </c>
      <c r="D1765" s="133" t="s">
        <v>9061</v>
      </c>
      <c r="E1765" s="133" t="s">
        <v>10216</v>
      </c>
      <c r="F1765" s="91" t="s">
        <v>65</v>
      </c>
      <c r="G1765" s="91" t="s">
        <v>10242</v>
      </c>
      <c r="H1765" s="133" t="s">
        <v>10218</v>
      </c>
    </row>
    <row r="1766" spans="1:8">
      <c r="A1766" s="91" t="s">
        <v>11000</v>
      </c>
      <c r="B1766" s="134" t="s">
        <v>11001</v>
      </c>
      <c r="C1766" s="91" t="s">
        <v>10</v>
      </c>
      <c r="D1766" s="133" t="s">
        <v>9061</v>
      </c>
      <c r="E1766" s="133" t="s">
        <v>10216</v>
      </c>
      <c r="F1766" s="91" t="s">
        <v>109</v>
      </c>
      <c r="G1766" s="91" t="s">
        <v>10239</v>
      </c>
      <c r="H1766" s="133" t="s">
        <v>10218</v>
      </c>
    </row>
    <row r="1767" spans="1:8">
      <c r="A1767" s="91" t="s">
        <v>11002</v>
      </c>
      <c r="B1767" s="134" t="s">
        <v>11003</v>
      </c>
      <c r="C1767" s="91" t="s">
        <v>10</v>
      </c>
      <c r="D1767" s="133" t="s">
        <v>9061</v>
      </c>
      <c r="E1767" s="133" t="s">
        <v>10216</v>
      </c>
      <c r="F1767" s="91" t="s">
        <v>65</v>
      </c>
      <c r="G1767" s="91" t="s">
        <v>10318</v>
      </c>
      <c r="H1767" s="133" t="s">
        <v>10218</v>
      </c>
    </row>
    <row r="1768" spans="1:8">
      <c r="A1768" s="91" t="s">
        <v>11004</v>
      </c>
      <c r="B1768" s="134" t="s">
        <v>11005</v>
      </c>
      <c r="C1768" s="91" t="s">
        <v>10</v>
      </c>
      <c r="D1768" s="133" t="s">
        <v>9061</v>
      </c>
      <c r="E1768" s="133" t="s">
        <v>10216</v>
      </c>
      <c r="F1768" s="91" t="s">
        <v>120</v>
      </c>
      <c r="G1768" s="91" t="s">
        <v>10239</v>
      </c>
      <c r="H1768" s="133" t="s">
        <v>10218</v>
      </c>
    </row>
    <row r="1769" spans="1:8">
      <c r="A1769" s="91" t="s">
        <v>11006</v>
      </c>
      <c r="B1769" s="134" t="s">
        <v>11007</v>
      </c>
      <c r="C1769" s="91" t="s">
        <v>10</v>
      </c>
      <c r="D1769" s="133" t="s">
        <v>9061</v>
      </c>
      <c r="E1769" s="133" t="s">
        <v>10216</v>
      </c>
      <c r="F1769" s="91" t="s">
        <v>120</v>
      </c>
      <c r="G1769" s="91" t="s">
        <v>10231</v>
      </c>
      <c r="H1769" s="133" t="s">
        <v>10218</v>
      </c>
    </row>
    <row r="1770" spans="1:8">
      <c r="A1770" s="91" t="s">
        <v>11008</v>
      </c>
      <c r="B1770" s="134" t="s">
        <v>11009</v>
      </c>
      <c r="C1770" s="91" t="s">
        <v>10</v>
      </c>
      <c r="D1770" s="133" t="s">
        <v>9061</v>
      </c>
      <c r="E1770" s="133" t="s">
        <v>10216</v>
      </c>
      <c r="F1770" s="91" t="s">
        <v>109</v>
      </c>
      <c r="G1770" s="91" t="s">
        <v>10239</v>
      </c>
      <c r="H1770" s="133" t="s">
        <v>10218</v>
      </c>
    </row>
    <row r="1771" spans="1:8">
      <c r="A1771" s="91" t="s">
        <v>11010</v>
      </c>
      <c r="B1771" s="134" t="s">
        <v>11011</v>
      </c>
      <c r="C1771" s="91" t="s">
        <v>10</v>
      </c>
      <c r="D1771" s="133" t="s">
        <v>9061</v>
      </c>
      <c r="E1771" s="133" t="s">
        <v>10216</v>
      </c>
      <c r="F1771" s="91" t="s">
        <v>284</v>
      </c>
      <c r="G1771" s="91" t="s">
        <v>10239</v>
      </c>
      <c r="H1771" s="133" t="s">
        <v>10218</v>
      </c>
    </row>
    <row r="1772" spans="1:8">
      <c r="A1772" s="91" t="s">
        <v>11012</v>
      </c>
      <c r="B1772" s="134" t="s">
        <v>11013</v>
      </c>
      <c r="C1772" s="91" t="s">
        <v>10</v>
      </c>
      <c r="D1772" s="133" t="s">
        <v>5293</v>
      </c>
      <c r="E1772" s="133" t="s">
        <v>10216</v>
      </c>
      <c r="F1772" s="91" t="s">
        <v>120</v>
      </c>
      <c r="G1772" s="91" t="s">
        <v>10231</v>
      </c>
      <c r="H1772" s="133" t="s">
        <v>10218</v>
      </c>
    </row>
    <row r="1773" spans="1:8">
      <c r="A1773" s="91" t="s">
        <v>11014</v>
      </c>
      <c r="B1773" s="134" t="s">
        <v>11015</v>
      </c>
      <c r="C1773" s="91" t="s">
        <v>10</v>
      </c>
      <c r="D1773" s="133" t="s">
        <v>5293</v>
      </c>
      <c r="E1773" s="133" t="s">
        <v>10216</v>
      </c>
      <c r="F1773" s="91" t="s">
        <v>120</v>
      </c>
      <c r="G1773" s="91" t="s">
        <v>10245</v>
      </c>
      <c r="H1773" s="133" t="s">
        <v>10218</v>
      </c>
    </row>
    <row r="1774" spans="1:8">
      <c r="A1774" s="91" t="s">
        <v>11016</v>
      </c>
      <c r="B1774" s="134" t="s">
        <v>3683</v>
      </c>
      <c r="C1774" s="91" t="s">
        <v>10</v>
      </c>
      <c r="D1774" s="133" t="s">
        <v>5293</v>
      </c>
      <c r="E1774" s="133" t="s">
        <v>10216</v>
      </c>
      <c r="F1774" s="91" t="s">
        <v>120</v>
      </c>
      <c r="G1774" s="91" t="s">
        <v>10239</v>
      </c>
      <c r="H1774" s="133" t="s">
        <v>10218</v>
      </c>
    </row>
    <row r="1775" spans="1:8">
      <c r="A1775" s="91" t="s">
        <v>11017</v>
      </c>
      <c r="B1775" s="134" t="s">
        <v>11018</v>
      </c>
      <c r="C1775" s="91" t="s">
        <v>10</v>
      </c>
      <c r="D1775" s="133" t="s">
        <v>5293</v>
      </c>
      <c r="E1775" s="133" t="s">
        <v>10216</v>
      </c>
      <c r="F1775" s="91" t="s">
        <v>284</v>
      </c>
      <c r="G1775" s="91" t="s">
        <v>10239</v>
      </c>
      <c r="H1775" s="133" t="s">
        <v>10218</v>
      </c>
    </row>
    <row r="1776" spans="1:8">
      <c r="A1776" s="91" t="s">
        <v>11019</v>
      </c>
      <c r="B1776" s="134" t="s">
        <v>11020</v>
      </c>
      <c r="C1776" s="91" t="s">
        <v>10</v>
      </c>
      <c r="D1776" s="133" t="s">
        <v>5293</v>
      </c>
      <c r="E1776" s="133" t="s">
        <v>10216</v>
      </c>
      <c r="F1776" s="91" t="s">
        <v>120</v>
      </c>
      <c r="G1776" s="91" t="s">
        <v>10239</v>
      </c>
      <c r="H1776" s="133" t="s">
        <v>10218</v>
      </c>
    </row>
    <row r="1777" spans="1:8">
      <c r="A1777" s="91" t="s">
        <v>11021</v>
      </c>
      <c r="B1777" s="134" t="s">
        <v>9848</v>
      </c>
      <c r="C1777" s="91" t="s">
        <v>10</v>
      </c>
      <c r="D1777" s="133" t="s">
        <v>5293</v>
      </c>
      <c r="E1777" s="133" t="s">
        <v>10216</v>
      </c>
      <c r="F1777" s="91" t="s">
        <v>284</v>
      </c>
      <c r="G1777" s="91" t="s">
        <v>10232</v>
      </c>
      <c r="H1777" s="133" t="s">
        <v>10218</v>
      </c>
    </row>
    <row r="1778" spans="1:8">
      <c r="A1778" s="91" t="s">
        <v>11022</v>
      </c>
      <c r="B1778" s="134" t="s">
        <v>11023</v>
      </c>
      <c r="C1778" s="91" t="s">
        <v>10</v>
      </c>
      <c r="D1778" s="133" t="s">
        <v>5293</v>
      </c>
      <c r="E1778" s="133" t="s">
        <v>10216</v>
      </c>
      <c r="F1778" s="91" t="s">
        <v>2493</v>
      </c>
      <c r="G1778" s="91" t="s">
        <v>10231</v>
      </c>
      <c r="H1778" s="133" t="s">
        <v>10218</v>
      </c>
    </row>
    <row r="1779" spans="1:8">
      <c r="A1779" s="91" t="s">
        <v>11024</v>
      </c>
      <c r="B1779" s="134" t="s">
        <v>11025</v>
      </c>
      <c r="C1779" s="91" t="s">
        <v>10</v>
      </c>
      <c r="D1779" s="133" t="s">
        <v>5293</v>
      </c>
      <c r="E1779" s="133" t="s">
        <v>10216</v>
      </c>
      <c r="F1779" s="91" t="s">
        <v>284</v>
      </c>
      <c r="G1779" s="91" t="s">
        <v>10318</v>
      </c>
      <c r="H1779" s="133" t="s">
        <v>10218</v>
      </c>
    </row>
    <row r="1780" spans="1:8">
      <c r="A1780" s="91" t="s">
        <v>7741</v>
      </c>
      <c r="B1780" s="134" t="s">
        <v>7742</v>
      </c>
      <c r="C1780" s="91" t="s">
        <v>10</v>
      </c>
      <c r="D1780" s="133" t="s">
        <v>5293</v>
      </c>
      <c r="E1780" s="133" t="s">
        <v>10216</v>
      </c>
      <c r="F1780" s="91" t="s">
        <v>120</v>
      </c>
      <c r="G1780" s="91" t="s">
        <v>10239</v>
      </c>
      <c r="H1780" s="133" t="s">
        <v>10218</v>
      </c>
    </row>
    <row r="1781" spans="1:8">
      <c r="A1781" s="91" t="s">
        <v>11026</v>
      </c>
      <c r="B1781" s="134" t="s">
        <v>11027</v>
      </c>
      <c r="C1781" s="91" t="s">
        <v>10</v>
      </c>
      <c r="D1781" s="133" t="s">
        <v>7955</v>
      </c>
      <c r="E1781" s="133" t="s">
        <v>10216</v>
      </c>
      <c r="F1781" s="91" t="s">
        <v>284</v>
      </c>
      <c r="G1781" s="91" t="s">
        <v>10231</v>
      </c>
      <c r="H1781" s="133" t="s">
        <v>10218</v>
      </c>
    </row>
    <row r="1782" spans="1:8">
      <c r="A1782" s="91" t="s">
        <v>11028</v>
      </c>
      <c r="B1782" s="134" t="s">
        <v>1532</v>
      </c>
      <c r="C1782" s="91" t="s">
        <v>10</v>
      </c>
      <c r="D1782" s="133" t="s">
        <v>7955</v>
      </c>
      <c r="E1782" s="133" t="s">
        <v>10216</v>
      </c>
      <c r="F1782" s="91" t="s">
        <v>120</v>
      </c>
      <c r="G1782" s="91" t="s">
        <v>10231</v>
      </c>
      <c r="H1782" s="133" t="s">
        <v>10218</v>
      </c>
    </row>
    <row r="1783" spans="1:8">
      <c r="A1783" s="91" t="s">
        <v>11029</v>
      </c>
      <c r="B1783" s="134" t="s">
        <v>4544</v>
      </c>
      <c r="C1783" s="91" t="s">
        <v>10</v>
      </c>
      <c r="D1783" s="133" t="s">
        <v>7955</v>
      </c>
      <c r="E1783" s="133" t="s">
        <v>10216</v>
      </c>
      <c r="F1783" s="91" t="s">
        <v>65</v>
      </c>
      <c r="G1783" s="91" t="s">
        <v>10232</v>
      </c>
      <c r="H1783" s="133" t="s">
        <v>10218</v>
      </c>
    </row>
    <row r="1784" spans="1:8">
      <c r="A1784" s="91" t="s">
        <v>11030</v>
      </c>
      <c r="B1784" s="134" t="s">
        <v>11031</v>
      </c>
      <c r="C1784" s="91" t="s">
        <v>10</v>
      </c>
      <c r="D1784" s="133" t="s">
        <v>7955</v>
      </c>
      <c r="E1784" s="133" t="s">
        <v>10216</v>
      </c>
      <c r="F1784" s="91" t="s">
        <v>120</v>
      </c>
      <c r="G1784" s="91" t="s">
        <v>10239</v>
      </c>
      <c r="H1784" s="133" t="s">
        <v>10218</v>
      </c>
    </row>
    <row r="1785" spans="1:8">
      <c r="A1785" s="91" t="s">
        <v>11032</v>
      </c>
      <c r="B1785" s="134" t="s">
        <v>11033</v>
      </c>
      <c r="C1785" s="91" t="s">
        <v>10</v>
      </c>
      <c r="D1785" s="133" t="s">
        <v>7955</v>
      </c>
      <c r="E1785" s="133" t="s">
        <v>10216</v>
      </c>
      <c r="F1785" s="91" t="s">
        <v>284</v>
      </c>
      <c r="G1785" s="91" t="s">
        <v>10239</v>
      </c>
      <c r="H1785" s="133" t="s">
        <v>10218</v>
      </c>
    </row>
    <row r="1786" spans="1:8">
      <c r="A1786" s="91" t="s">
        <v>11034</v>
      </c>
      <c r="B1786" s="134" t="s">
        <v>11035</v>
      </c>
      <c r="C1786" s="91" t="s">
        <v>10</v>
      </c>
      <c r="D1786" s="133" t="s">
        <v>7955</v>
      </c>
      <c r="E1786" s="133" t="s">
        <v>10216</v>
      </c>
      <c r="F1786" s="91" t="s">
        <v>109</v>
      </c>
      <c r="G1786" s="91" t="s">
        <v>10239</v>
      </c>
      <c r="H1786" s="133" t="s">
        <v>10218</v>
      </c>
    </row>
    <row r="1787" spans="1:8">
      <c r="A1787" s="91" t="s">
        <v>11036</v>
      </c>
      <c r="B1787" s="134" t="s">
        <v>11037</v>
      </c>
      <c r="C1787" s="91" t="s">
        <v>10</v>
      </c>
      <c r="D1787" s="133" t="s">
        <v>7955</v>
      </c>
      <c r="E1787" s="133" t="s">
        <v>10216</v>
      </c>
      <c r="F1787" s="91" t="s">
        <v>65</v>
      </c>
      <c r="G1787" s="91" t="s">
        <v>10231</v>
      </c>
      <c r="H1787" s="133" t="s">
        <v>10218</v>
      </c>
    </row>
    <row r="1788" spans="1:8">
      <c r="A1788" s="91" t="s">
        <v>11038</v>
      </c>
      <c r="B1788" s="134" t="s">
        <v>11039</v>
      </c>
      <c r="C1788" s="91" t="s">
        <v>10</v>
      </c>
      <c r="D1788" s="133" t="s">
        <v>7955</v>
      </c>
      <c r="E1788" s="133" t="s">
        <v>10216</v>
      </c>
      <c r="F1788" s="91" t="s">
        <v>284</v>
      </c>
      <c r="G1788" s="91" t="s">
        <v>10242</v>
      </c>
      <c r="H1788" s="133" t="s">
        <v>10218</v>
      </c>
    </row>
    <row r="1789" spans="1:8">
      <c r="A1789" s="91" t="s">
        <v>11040</v>
      </c>
      <c r="B1789" s="134" t="s">
        <v>2991</v>
      </c>
      <c r="C1789" s="91" t="s">
        <v>10</v>
      </c>
      <c r="D1789" s="133" t="s">
        <v>7955</v>
      </c>
      <c r="E1789" s="133" t="s">
        <v>10216</v>
      </c>
      <c r="F1789" s="91" t="s">
        <v>65</v>
      </c>
      <c r="G1789" s="91" t="s">
        <v>10239</v>
      </c>
      <c r="H1789" s="133" t="s">
        <v>10218</v>
      </c>
    </row>
    <row r="1790" spans="1:8">
      <c r="A1790" s="91" t="s">
        <v>11041</v>
      </c>
      <c r="B1790" s="134" t="s">
        <v>11042</v>
      </c>
      <c r="C1790" s="91" t="s">
        <v>10</v>
      </c>
      <c r="D1790" s="133" t="s">
        <v>7955</v>
      </c>
      <c r="E1790" s="133" t="s">
        <v>10216</v>
      </c>
      <c r="F1790" s="91" t="s">
        <v>120</v>
      </c>
      <c r="G1790" s="91" t="s">
        <v>10318</v>
      </c>
      <c r="H1790" s="133" t="s">
        <v>10218</v>
      </c>
    </row>
    <row r="1791" spans="1:8">
      <c r="A1791" s="91" t="s">
        <v>11043</v>
      </c>
      <c r="B1791" s="134" t="s">
        <v>11044</v>
      </c>
      <c r="C1791" s="91" t="s">
        <v>10</v>
      </c>
      <c r="D1791" s="133" t="s">
        <v>7955</v>
      </c>
      <c r="E1791" s="133" t="s">
        <v>10216</v>
      </c>
      <c r="F1791" s="91" t="s">
        <v>65</v>
      </c>
      <c r="G1791" s="91" t="s">
        <v>10239</v>
      </c>
      <c r="H1791" s="133" t="s">
        <v>10218</v>
      </c>
    </row>
    <row r="1792" spans="1:8">
      <c r="A1792" s="91" t="s">
        <v>11045</v>
      </c>
      <c r="B1792" s="134" t="s">
        <v>11046</v>
      </c>
      <c r="C1792" s="91" t="s">
        <v>10</v>
      </c>
      <c r="D1792" s="133" t="s">
        <v>6374</v>
      </c>
      <c r="E1792" s="133" t="s">
        <v>10216</v>
      </c>
      <c r="F1792" s="91" t="s">
        <v>284</v>
      </c>
      <c r="G1792" s="91" t="s">
        <v>10239</v>
      </c>
      <c r="H1792" s="133" t="s">
        <v>10218</v>
      </c>
    </row>
    <row r="1793" spans="1:8">
      <c r="A1793" s="91" t="s">
        <v>11047</v>
      </c>
      <c r="B1793" s="134" t="s">
        <v>11048</v>
      </c>
      <c r="C1793" s="91" t="s">
        <v>10</v>
      </c>
      <c r="D1793" s="133" t="s">
        <v>6374</v>
      </c>
      <c r="E1793" s="133" t="s">
        <v>10216</v>
      </c>
      <c r="F1793" s="91" t="s">
        <v>2493</v>
      </c>
      <c r="G1793" s="91" t="s">
        <v>10231</v>
      </c>
      <c r="H1793" s="133" t="s">
        <v>10218</v>
      </c>
    </row>
    <row r="1794" spans="1:8">
      <c r="A1794" s="91" t="s">
        <v>11049</v>
      </c>
      <c r="B1794" s="134" t="s">
        <v>11050</v>
      </c>
      <c r="C1794" s="91" t="s">
        <v>10</v>
      </c>
      <c r="D1794" s="133" t="s">
        <v>6374</v>
      </c>
      <c r="E1794" s="133" t="s">
        <v>10216</v>
      </c>
      <c r="F1794" s="91" t="s">
        <v>284</v>
      </c>
      <c r="G1794" s="91" t="s">
        <v>10231</v>
      </c>
      <c r="H1794" s="133" t="s">
        <v>10218</v>
      </c>
    </row>
    <row r="1795" spans="1:8">
      <c r="A1795" s="91" t="s">
        <v>11051</v>
      </c>
      <c r="B1795" s="134" t="s">
        <v>11052</v>
      </c>
      <c r="C1795" s="91" t="s">
        <v>10</v>
      </c>
      <c r="D1795" s="133" t="s">
        <v>6374</v>
      </c>
      <c r="E1795" s="133" t="s">
        <v>10216</v>
      </c>
      <c r="F1795" s="91" t="s">
        <v>284</v>
      </c>
      <c r="G1795" s="91" t="s">
        <v>10239</v>
      </c>
      <c r="H1795" s="133" t="s">
        <v>10218</v>
      </c>
    </row>
    <row r="1796" spans="1:8">
      <c r="A1796" s="91" t="s">
        <v>11053</v>
      </c>
      <c r="B1796" s="134" t="s">
        <v>11054</v>
      </c>
      <c r="C1796" s="91" t="s">
        <v>10</v>
      </c>
      <c r="D1796" s="133" t="s">
        <v>6374</v>
      </c>
      <c r="E1796" s="133" t="s">
        <v>10216</v>
      </c>
      <c r="F1796" s="91" t="s">
        <v>284</v>
      </c>
      <c r="G1796" s="91" t="s">
        <v>10242</v>
      </c>
      <c r="H1796" s="133" t="s">
        <v>10218</v>
      </c>
    </row>
    <row r="1797" spans="1:8">
      <c r="A1797" s="91" t="s">
        <v>11055</v>
      </c>
      <c r="B1797" s="134" t="s">
        <v>11056</v>
      </c>
      <c r="C1797" s="91" t="s">
        <v>10</v>
      </c>
      <c r="D1797" s="133" t="s">
        <v>6374</v>
      </c>
      <c r="E1797" s="133" t="s">
        <v>10216</v>
      </c>
      <c r="F1797" s="91" t="s">
        <v>120</v>
      </c>
      <c r="G1797" s="91" t="s">
        <v>10239</v>
      </c>
      <c r="H1797" s="133" t="s">
        <v>10218</v>
      </c>
    </row>
    <row r="1798" spans="1:8">
      <c r="A1798" s="91" t="s">
        <v>11057</v>
      </c>
      <c r="B1798" s="134" t="s">
        <v>11058</v>
      </c>
      <c r="C1798" s="91" t="s">
        <v>10</v>
      </c>
      <c r="D1798" s="133" t="s">
        <v>11059</v>
      </c>
      <c r="E1798" s="133" t="s">
        <v>10216</v>
      </c>
      <c r="F1798" s="91" t="s">
        <v>284</v>
      </c>
      <c r="G1798" s="91" t="s">
        <v>10239</v>
      </c>
      <c r="H1798" s="133" t="s">
        <v>10218</v>
      </c>
    </row>
    <row r="1799" spans="1:8">
      <c r="A1799" s="91" t="s">
        <v>11060</v>
      </c>
      <c r="B1799" s="134" t="s">
        <v>11061</v>
      </c>
      <c r="C1799" s="91" t="s">
        <v>10</v>
      </c>
      <c r="D1799" s="133" t="s">
        <v>11062</v>
      </c>
      <c r="E1799" s="133" t="s">
        <v>10216</v>
      </c>
      <c r="F1799" s="91" t="s">
        <v>284</v>
      </c>
      <c r="G1799" s="91" t="s">
        <v>10228</v>
      </c>
      <c r="H1799" s="133" t="s">
        <v>10218</v>
      </c>
    </row>
    <row r="1800" spans="1:8">
      <c r="A1800" s="91" t="s">
        <v>11063</v>
      </c>
      <c r="B1800" s="134" t="s">
        <v>11064</v>
      </c>
      <c r="C1800" s="91" t="s">
        <v>10</v>
      </c>
      <c r="D1800" s="133" t="s">
        <v>11062</v>
      </c>
      <c r="E1800" s="133" t="s">
        <v>10216</v>
      </c>
      <c r="F1800" s="91" t="s">
        <v>284</v>
      </c>
      <c r="G1800" s="91" t="s">
        <v>10242</v>
      </c>
      <c r="H1800" s="133" t="s">
        <v>10218</v>
      </c>
    </row>
    <row r="1801" spans="1:8">
      <c r="A1801" s="91" t="s">
        <v>11065</v>
      </c>
      <c r="B1801" s="134" t="s">
        <v>11066</v>
      </c>
      <c r="C1801" s="91" t="s">
        <v>10</v>
      </c>
      <c r="D1801" s="133" t="s">
        <v>11062</v>
      </c>
      <c r="E1801" s="133" t="s">
        <v>10216</v>
      </c>
      <c r="F1801" s="91" t="s">
        <v>120</v>
      </c>
      <c r="G1801" s="91" t="s">
        <v>10239</v>
      </c>
      <c r="H1801" s="133" t="s">
        <v>10218</v>
      </c>
    </row>
    <row r="1802" spans="1:8">
      <c r="A1802" s="91" t="s">
        <v>11067</v>
      </c>
      <c r="B1802" s="134" t="s">
        <v>11068</v>
      </c>
      <c r="C1802" s="91" t="s">
        <v>10</v>
      </c>
      <c r="D1802" s="133" t="s">
        <v>11062</v>
      </c>
      <c r="E1802" s="133" t="s">
        <v>10216</v>
      </c>
      <c r="F1802" s="91" t="s">
        <v>65</v>
      </c>
      <c r="G1802" s="91" t="s">
        <v>10239</v>
      </c>
      <c r="H1802" s="133" t="s">
        <v>10218</v>
      </c>
    </row>
    <row r="1803" spans="1:8">
      <c r="A1803" s="91" t="s">
        <v>11069</v>
      </c>
      <c r="B1803" s="134" t="s">
        <v>11070</v>
      </c>
      <c r="C1803" s="91" t="s">
        <v>10</v>
      </c>
      <c r="D1803" s="133" t="s">
        <v>11062</v>
      </c>
      <c r="E1803" s="133" t="s">
        <v>10216</v>
      </c>
      <c r="F1803" s="91" t="s">
        <v>284</v>
      </c>
      <c r="G1803" s="91" t="s">
        <v>10242</v>
      </c>
      <c r="H1803" s="133" t="s">
        <v>10218</v>
      </c>
    </row>
    <row r="1804" spans="1:8">
      <c r="A1804" s="91" t="s">
        <v>11071</v>
      </c>
      <c r="B1804" s="134" t="s">
        <v>11072</v>
      </c>
      <c r="C1804" s="91" t="s">
        <v>10</v>
      </c>
      <c r="D1804" s="133" t="s">
        <v>11062</v>
      </c>
      <c r="E1804" s="133" t="s">
        <v>10216</v>
      </c>
      <c r="F1804" s="91" t="s">
        <v>284</v>
      </c>
      <c r="G1804" s="91" t="s">
        <v>10231</v>
      </c>
      <c r="H1804" s="133" t="s">
        <v>10218</v>
      </c>
    </row>
    <row r="1805" spans="1:8">
      <c r="A1805" s="91" t="s">
        <v>11073</v>
      </c>
      <c r="B1805" s="134" t="s">
        <v>11074</v>
      </c>
      <c r="C1805" s="91" t="s">
        <v>10</v>
      </c>
      <c r="D1805" s="133" t="s">
        <v>11062</v>
      </c>
      <c r="E1805" s="133" t="s">
        <v>10216</v>
      </c>
      <c r="F1805" s="91" t="s">
        <v>284</v>
      </c>
      <c r="G1805" s="91" t="s">
        <v>10239</v>
      </c>
      <c r="H1805" s="133" t="s">
        <v>10218</v>
      </c>
    </row>
    <row r="1806" spans="1:8">
      <c r="A1806" s="91" t="s">
        <v>11075</v>
      </c>
      <c r="B1806" s="134" t="s">
        <v>2845</v>
      </c>
      <c r="C1806" s="91" t="s">
        <v>10</v>
      </c>
      <c r="D1806" s="133" t="s">
        <v>11062</v>
      </c>
      <c r="E1806" s="133" t="s">
        <v>10216</v>
      </c>
      <c r="F1806" s="91" t="s">
        <v>65</v>
      </c>
      <c r="G1806" s="91" t="s">
        <v>10239</v>
      </c>
      <c r="H1806" s="133" t="s">
        <v>10218</v>
      </c>
    </row>
    <row r="1807" spans="1:8">
      <c r="A1807" s="91" t="s">
        <v>11076</v>
      </c>
      <c r="B1807" s="134" t="s">
        <v>11077</v>
      </c>
      <c r="C1807" s="91" t="s">
        <v>10</v>
      </c>
      <c r="D1807" s="133" t="s">
        <v>11062</v>
      </c>
      <c r="E1807" s="133" t="s">
        <v>10216</v>
      </c>
      <c r="F1807" s="91" t="s">
        <v>120</v>
      </c>
      <c r="G1807" s="91" t="s">
        <v>10231</v>
      </c>
      <c r="H1807" s="133" t="s">
        <v>10218</v>
      </c>
    </row>
    <row r="1808" spans="1:8">
      <c r="A1808" s="91" t="s">
        <v>11078</v>
      </c>
      <c r="B1808" s="134" t="s">
        <v>11079</v>
      </c>
      <c r="C1808" s="91" t="s">
        <v>10</v>
      </c>
      <c r="D1808" s="133" t="s">
        <v>11062</v>
      </c>
      <c r="E1808" s="133" t="s">
        <v>10216</v>
      </c>
      <c r="F1808" s="91" t="s">
        <v>65</v>
      </c>
      <c r="G1808" s="91" t="s">
        <v>10232</v>
      </c>
      <c r="H1808" s="133" t="s">
        <v>10218</v>
      </c>
    </row>
    <row r="1809" spans="1:8">
      <c r="A1809" s="91" t="s">
        <v>11080</v>
      </c>
      <c r="B1809" s="134" t="s">
        <v>11081</v>
      </c>
      <c r="C1809" s="91" t="s">
        <v>10</v>
      </c>
      <c r="D1809" s="133" t="s">
        <v>11062</v>
      </c>
      <c r="E1809" s="133" t="s">
        <v>10216</v>
      </c>
      <c r="F1809" s="91" t="s">
        <v>65</v>
      </c>
      <c r="G1809" s="91" t="s">
        <v>10225</v>
      </c>
      <c r="H1809" s="133" t="s">
        <v>10218</v>
      </c>
    </row>
    <row r="1810" spans="1:8">
      <c r="A1810" s="91" t="s">
        <v>11082</v>
      </c>
      <c r="B1810" s="134" t="s">
        <v>11083</v>
      </c>
      <c r="C1810" s="91" t="s">
        <v>10</v>
      </c>
      <c r="D1810" s="133" t="s">
        <v>11084</v>
      </c>
      <c r="E1810" s="133" t="s">
        <v>10216</v>
      </c>
      <c r="F1810" s="91" t="s">
        <v>120</v>
      </c>
      <c r="G1810" s="91" t="s">
        <v>10239</v>
      </c>
      <c r="H1810" s="133" t="s">
        <v>10218</v>
      </c>
    </row>
    <row r="1811" spans="1:8">
      <c r="A1811" s="91" t="s">
        <v>11085</v>
      </c>
      <c r="B1811" s="134" t="s">
        <v>11086</v>
      </c>
      <c r="C1811" s="91" t="s">
        <v>10</v>
      </c>
      <c r="D1811" s="133" t="s">
        <v>11084</v>
      </c>
      <c r="E1811" s="133" t="s">
        <v>10216</v>
      </c>
      <c r="F1811" s="91" t="s">
        <v>284</v>
      </c>
      <c r="G1811" s="91" t="s">
        <v>10245</v>
      </c>
      <c r="H1811" s="133" t="s">
        <v>10218</v>
      </c>
    </row>
    <row r="1812" spans="1:8">
      <c r="A1812" s="91" t="s">
        <v>11087</v>
      </c>
      <c r="B1812" s="134" t="s">
        <v>11088</v>
      </c>
      <c r="C1812" s="91" t="s">
        <v>10</v>
      </c>
      <c r="D1812" s="133" t="s">
        <v>11084</v>
      </c>
      <c r="E1812" s="133" t="s">
        <v>10216</v>
      </c>
      <c r="F1812" s="91" t="s">
        <v>284</v>
      </c>
      <c r="G1812" s="91" t="s">
        <v>10242</v>
      </c>
      <c r="H1812" s="133" t="s">
        <v>10218</v>
      </c>
    </row>
    <row r="1813" spans="1:8">
      <c r="A1813" s="91" t="s">
        <v>11089</v>
      </c>
      <c r="B1813" s="134" t="s">
        <v>11090</v>
      </c>
      <c r="C1813" s="91" t="s">
        <v>10</v>
      </c>
      <c r="D1813" s="133" t="s">
        <v>11084</v>
      </c>
      <c r="E1813" s="133" t="s">
        <v>10216</v>
      </c>
      <c r="F1813" s="91" t="s">
        <v>2493</v>
      </c>
      <c r="G1813" s="91" t="s">
        <v>10231</v>
      </c>
      <c r="H1813" s="133" t="s">
        <v>10218</v>
      </c>
    </row>
    <row r="1814" spans="1:8">
      <c r="A1814" s="91" t="s">
        <v>11091</v>
      </c>
      <c r="B1814" s="134" t="s">
        <v>11092</v>
      </c>
      <c r="C1814" s="91" t="s">
        <v>10</v>
      </c>
      <c r="D1814" s="133" t="s">
        <v>11084</v>
      </c>
      <c r="E1814" s="133" t="s">
        <v>10216</v>
      </c>
      <c r="F1814" s="91" t="s">
        <v>120</v>
      </c>
      <c r="G1814" s="91" t="s">
        <v>10239</v>
      </c>
      <c r="H1814" s="133" t="s">
        <v>10218</v>
      </c>
    </row>
    <row r="1815" spans="1:8">
      <c r="A1815" s="91" t="s">
        <v>11093</v>
      </c>
      <c r="B1815" s="134" t="s">
        <v>4386</v>
      </c>
      <c r="C1815" s="91" t="s">
        <v>10</v>
      </c>
      <c r="D1815" s="133" t="s">
        <v>11084</v>
      </c>
      <c r="E1815" s="133" t="s">
        <v>10216</v>
      </c>
      <c r="F1815" s="91" t="s">
        <v>120</v>
      </c>
      <c r="G1815" s="91" t="s">
        <v>10318</v>
      </c>
      <c r="H1815" s="133" t="s">
        <v>10218</v>
      </c>
    </row>
    <row r="1816" spans="1:8">
      <c r="A1816" s="91" t="s">
        <v>11094</v>
      </c>
      <c r="B1816" s="134" t="s">
        <v>11095</v>
      </c>
      <c r="C1816" s="91" t="s">
        <v>10</v>
      </c>
      <c r="D1816" s="133" t="s">
        <v>11084</v>
      </c>
      <c r="E1816" s="133" t="s">
        <v>10216</v>
      </c>
      <c r="F1816" s="91" t="s">
        <v>65</v>
      </c>
      <c r="G1816" s="91" t="s">
        <v>10231</v>
      </c>
      <c r="H1816" s="133" t="s">
        <v>10218</v>
      </c>
    </row>
    <row r="1817" spans="1:8">
      <c r="A1817" s="91" t="s">
        <v>11096</v>
      </c>
      <c r="B1817" s="134" t="s">
        <v>11097</v>
      </c>
      <c r="C1817" s="91" t="s">
        <v>10</v>
      </c>
      <c r="D1817" s="133" t="s">
        <v>11084</v>
      </c>
      <c r="E1817" s="133" t="s">
        <v>10216</v>
      </c>
      <c r="F1817" s="91" t="s">
        <v>65</v>
      </c>
      <c r="G1817" s="91" t="s">
        <v>10239</v>
      </c>
      <c r="H1817" s="133" t="s">
        <v>10218</v>
      </c>
    </row>
    <row r="1818" spans="1:8">
      <c r="A1818" s="91" t="s">
        <v>8356</v>
      </c>
      <c r="B1818" s="134" t="s">
        <v>9923</v>
      </c>
      <c r="C1818" s="91" t="s">
        <v>10</v>
      </c>
      <c r="D1818" s="133" t="s">
        <v>11098</v>
      </c>
      <c r="E1818" s="133" t="s">
        <v>10216</v>
      </c>
      <c r="F1818" s="91" t="s">
        <v>65</v>
      </c>
      <c r="G1818" s="91" t="s">
        <v>10232</v>
      </c>
      <c r="H1818" s="133" t="s">
        <v>10218</v>
      </c>
    </row>
    <row r="1819" spans="1:8">
      <c r="A1819" s="91" t="s">
        <v>11099</v>
      </c>
      <c r="B1819" s="134" t="s">
        <v>11100</v>
      </c>
      <c r="C1819" s="91" t="s">
        <v>10</v>
      </c>
      <c r="D1819" s="133" t="s">
        <v>11098</v>
      </c>
      <c r="E1819" s="133" t="s">
        <v>10216</v>
      </c>
      <c r="F1819" s="91" t="s">
        <v>284</v>
      </c>
      <c r="G1819" s="91" t="s">
        <v>10242</v>
      </c>
      <c r="H1819" s="133" t="s">
        <v>10218</v>
      </c>
    </row>
    <row r="1820" spans="1:8">
      <c r="A1820" s="91" t="s">
        <v>11101</v>
      </c>
      <c r="B1820" s="134" t="s">
        <v>11102</v>
      </c>
      <c r="C1820" s="91" t="s">
        <v>10</v>
      </c>
      <c r="D1820" s="133" t="s">
        <v>11098</v>
      </c>
      <c r="E1820" s="133" t="s">
        <v>10216</v>
      </c>
      <c r="F1820" s="91" t="s">
        <v>109</v>
      </c>
      <c r="G1820" s="91" t="s">
        <v>10239</v>
      </c>
      <c r="H1820" s="133" t="s">
        <v>10218</v>
      </c>
    </row>
    <row r="1821" spans="1:8">
      <c r="A1821" s="91" t="s">
        <v>11103</v>
      </c>
      <c r="B1821" s="134" t="s">
        <v>11104</v>
      </c>
      <c r="C1821" s="91" t="s">
        <v>10</v>
      </c>
      <c r="D1821" s="133" t="s">
        <v>11098</v>
      </c>
      <c r="E1821" s="133" t="s">
        <v>10216</v>
      </c>
      <c r="F1821" s="91" t="s">
        <v>284</v>
      </c>
      <c r="G1821" s="91" t="s">
        <v>10239</v>
      </c>
      <c r="H1821" s="133" t="s">
        <v>10218</v>
      </c>
    </row>
    <row r="1822" spans="1:8">
      <c r="A1822" s="91" t="s">
        <v>11105</v>
      </c>
      <c r="B1822" s="134" t="s">
        <v>11106</v>
      </c>
      <c r="C1822" s="91" t="s">
        <v>10</v>
      </c>
      <c r="D1822" s="133" t="s">
        <v>11098</v>
      </c>
      <c r="E1822" s="133" t="s">
        <v>10216</v>
      </c>
      <c r="F1822" s="91" t="s">
        <v>109</v>
      </c>
      <c r="G1822" s="91" t="s">
        <v>10318</v>
      </c>
      <c r="H1822" s="133" t="s">
        <v>10218</v>
      </c>
    </row>
    <row r="1823" spans="1:8">
      <c r="A1823" s="91" t="s">
        <v>11107</v>
      </c>
      <c r="B1823" s="134" t="s">
        <v>11108</v>
      </c>
      <c r="C1823" s="91" t="s">
        <v>10</v>
      </c>
      <c r="D1823" s="133" t="s">
        <v>11098</v>
      </c>
      <c r="E1823" s="133" t="s">
        <v>10216</v>
      </c>
      <c r="F1823" s="91" t="s">
        <v>65</v>
      </c>
      <c r="G1823" s="91" t="s">
        <v>10242</v>
      </c>
      <c r="H1823" s="133" t="s">
        <v>10218</v>
      </c>
    </row>
    <row r="1824" spans="1:8">
      <c r="A1824" s="91" t="s">
        <v>11109</v>
      </c>
      <c r="B1824" s="134" t="s">
        <v>11110</v>
      </c>
      <c r="C1824" s="91" t="s">
        <v>10</v>
      </c>
      <c r="D1824" s="133" t="s">
        <v>11098</v>
      </c>
      <c r="E1824" s="133" t="s">
        <v>10216</v>
      </c>
      <c r="F1824" s="91" t="s">
        <v>120</v>
      </c>
      <c r="G1824" s="91" t="s">
        <v>10231</v>
      </c>
      <c r="H1824" s="133" t="s">
        <v>10218</v>
      </c>
    </row>
    <row r="1825" spans="1:8">
      <c r="A1825" s="91" t="s">
        <v>11111</v>
      </c>
      <c r="B1825" s="134" t="s">
        <v>11112</v>
      </c>
      <c r="C1825" s="91" t="s">
        <v>10</v>
      </c>
      <c r="D1825" s="133" t="s">
        <v>7723</v>
      </c>
      <c r="E1825" s="133" t="s">
        <v>10216</v>
      </c>
      <c r="F1825" s="91" t="s">
        <v>109</v>
      </c>
      <c r="G1825" s="91" t="s">
        <v>10239</v>
      </c>
      <c r="H1825" s="133" t="s">
        <v>10218</v>
      </c>
    </row>
    <row r="1826" spans="1:8">
      <c r="A1826" s="91" t="s">
        <v>7722</v>
      </c>
      <c r="B1826" s="134" t="s">
        <v>7724</v>
      </c>
      <c r="C1826" s="91" t="s">
        <v>10</v>
      </c>
      <c r="D1826" s="133" t="s">
        <v>7723</v>
      </c>
      <c r="E1826" s="133" t="s">
        <v>10216</v>
      </c>
      <c r="F1826" s="91" t="s">
        <v>65</v>
      </c>
      <c r="G1826" s="91" t="s">
        <v>10239</v>
      </c>
      <c r="H1826" s="133" t="s">
        <v>10218</v>
      </c>
    </row>
    <row r="1827" spans="1:8">
      <c r="A1827" s="91" t="s">
        <v>11113</v>
      </c>
      <c r="B1827" s="134" t="s">
        <v>5565</v>
      </c>
      <c r="C1827" s="91" t="s">
        <v>10</v>
      </c>
      <c r="D1827" s="133" t="s">
        <v>7723</v>
      </c>
      <c r="E1827" s="133" t="s">
        <v>10216</v>
      </c>
      <c r="F1827" s="91" t="s">
        <v>120</v>
      </c>
      <c r="G1827" s="91" t="s">
        <v>10231</v>
      </c>
      <c r="H1827" s="133" t="s">
        <v>10218</v>
      </c>
    </row>
    <row r="1828" spans="1:8">
      <c r="A1828" s="91" t="s">
        <v>11114</v>
      </c>
      <c r="B1828" s="134" t="s">
        <v>11115</v>
      </c>
      <c r="C1828" s="91" t="s">
        <v>10</v>
      </c>
      <c r="D1828" s="133" t="s">
        <v>7723</v>
      </c>
      <c r="E1828" s="133" t="s">
        <v>10216</v>
      </c>
      <c r="F1828" s="91" t="s">
        <v>65</v>
      </c>
      <c r="G1828" s="91" t="s">
        <v>10642</v>
      </c>
      <c r="H1828" s="133" t="s">
        <v>10218</v>
      </c>
    </row>
    <row r="1829" spans="1:8">
      <c r="A1829" s="91" t="s">
        <v>11116</v>
      </c>
      <c r="B1829" s="134" t="s">
        <v>11117</v>
      </c>
      <c r="C1829" s="91" t="s">
        <v>10</v>
      </c>
      <c r="D1829" s="133" t="s">
        <v>7723</v>
      </c>
      <c r="E1829" s="133" t="s">
        <v>10216</v>
      </c>
      <c r="F1829" s="91" t="s">
        <v>2493</v>
      </c>
      <c r="G1829" s="91" t="s">
        <v>10231</v>
      </c>
      <c r="H1829" s="133" t="s">
        <v>10218</v>
      </c>
    </row>
    <row r="1830" spans="1:8">
      <c r="A1830" s="91" t="s">
        <v>11118</v>
      </c>
      <c r="B1830" s="134" t="s">
        <v>11119</v>
      </c>
      <c r="C1830" s="91" t="s">
        <v>10</v>
      </c>
      <c r="D1830" s="133" t="s">
        <v>7723</v>
      </c>
      <c r="E1830" s="133" t="s">
        <v>10216</v>
      </c>
      <c r="F1830" s="91" t="s">
        <v>338</v>
      </c>
      <c r="G1830" s="91" t="s">
        <v>10225</v>
      </c>
      <c r="H1830" s="133" t="s">
        <v>10218</v>
      </c>
    </row>
    <row r="1831" spans="1:8">
      <c r="A1831" s="91" t="s">
        <v>11120</v>
      </c>
      <c r="B1831" s="134" t="s">
        <v>11121</v>
      </c>
      <c r="C1831" s="91" t="s">
        <v>10</v>
      </c>
      <c r="D1831" s="133" t="s">
        <v>7723</v>
      </c>
      <c r="E1831" s="133" t="s">
        <v>10216</v>
      </c>
      <c r="F1831" s="91" t="s">
        <v>65</v>
      </c>
      <c r="G1831" s="91" t="s">
        <v>10232</v>
      </c>
      <c r="H1831" s="133" t="s">
        <v>10218</v>
      </c>
    </row>
    <row r="1832" spans="1:8">
      <c r="A1832" s="91" t="s">
        <v>11122</v>
      </c>
      <c r="B1832" s="134" t="s">
        <v>11123</v>
      </c>
      <c r="C1832" s="91" t="s">
        <v>10</v>
      </c>
      <c r="D1832" s="133" t="s">
        <v>7723</v>
      </c>
      <c r="E1832" s="133" t="s">
        <v>10216</v>
      </c>
      <c r="F1832" s="91" t="s">
        <v>284</v>
      </c>
      <c r="G1832" s="91" t="s">
        <v>10242</v>
      </c>
      <c r="H1832" s="133" t="s">
        <v>10218</v>
      </c>
    </row>
    <row r="1833" spans="1:8">
      <c r="A1833" s="91" t="s">
        <v>11124</v>
      </c>
      <c r="B1833" s="134" t="s">
        <v>11125</v>
      </c>
      <c r="C1833" s="91" t="s">
        <v>10</v>
      </c>
      <c r="D1833" s="133" t="s">
        <v>7723</v>
      </c>
      <c r="E1833" s="133" t="s">
        <v>10216</v>
      </c>
      <c r="F1833" s="91" t="s">
        <v>120</v>
      </c>
      <c r="G1833" s="91" t="s">
        <v>10239</v>
      </c>
      <c r="H1833" s="133" t="s">
        <v>10218</v>
      </c>
    </row>
    <row r="1834" spans="1:8">
      <c r="A1834" s="91" t="s">
        <v>11126</v>
      </c>
      <c r="B1834" s="134" t="s">
        <v>11127</v>
      </c>
      <c r="C1834" s="91" t="s">
        <v>10</v>
      </c>
      <c r="D1834" s="133" t="s">
        <v>7723</v>
      </c>
      <c r="E1834" s="133" t="s">
        <v>10216</v>
      </c>
      <c r="F1834" s="91" t="s">
        <v>284</v>
      </c>
      <c r="G1834" s="91" t="s">
        <v>10245</v>
      </c>
      <c r="H1834" s="133" t="s">
        <v>10218</v>
      </c>
    </row>
    <row r="1835" spans="1:8">
      <c r="A1835" s="91" t="s">
        <v>11128</v>
      </c>
      <c r="B1835" s="134" t="s">
        <v>11129</v>
      </c>
      <c r="C1835" s="91" t="s">
        <v>10</v>
      </c>
      <c r="D1835" s="133" t="s">
        <v>7723</v>
      </c>
      <c r="E1835" s="133" t="s">
        <v>10216</v>
      </c>
      <c r="F1835" s="91" t="s">
        <v>65</v>
      </c>
      <c r="G1835" s="91" t="s">
        <v>10318</v>
      </c>
      <c r="H1835" s="133" t="s">
        <v>10218</v>
      </c>
    </row>
    <row r="1836" spans="1:8">
      <c r="A1836" s="91" t="s">
        <v>11130</v>
      </c>
      <c r="B1836" s="134" t="s">
        <v>11131</v>
      </c>
      <c r="C1836" s="91" t="s">
        <v>10</v>
      </c>
      <c r="D1836" s="133" t="s">
        <v>7723</v>
      </c>
      <c r="E1836" s="133" t="s">
        <v>10216</v>
      </c>
      <c r="F1836" s="91" t="s">
        <v>120</v>
      </c>
      <c r="G1836" s="91" t="s">
        <v>10242</v>
      </c>
      <c r="H1836" s="133" t="s">
        <v>10218</v>
      </c>
    </row>
    <row r="1837" spans="1:8">
      <c r="A1837" s="91" t="s">
        <v>11132</v>
      </c>
      <c r="B1837" s="134" t="s">
        <v>11133</v>
      </c>
      <c r="C1837" s="91" t="s">
        <v>10</v>
      </c>
      <c r="D1837" s="133" t="s">
        <v>11134</v>
      </c>
      <c r="E1837" s="133" t="s">
        <v>10216</v>
      </c>
      <c r="F1837" s="91" t="s">
        <v>109</v>
      </c>
      <c r="G1837" s="91" t="s">
        <v>10239</v>
      </c>
      <c r="H1837" s="133" t="s">
        <v>10218</v>
      </c>
    </row>
    <row r="1838" spans="1:8">
      <c r="A1838" s="91" t="s">
        <v>11135</v>
      </c>
      <c r="B1838" s="134" t="s">
        <v>11136</v>
      </c>
      <c r="C1838" s="91" t="s">
        <v>10</v>
      </c>
      <c r="D1838" s="133" t="s">
        <v>11134</v>
      </c>
      <c r="E1838" s="133" t="s">
        <v>10216</v>
      </c>
      <c r="F1838" s="91" t="s">
        <v>109</v>
      </c>
      <c r="G1838" s="91" t="s">
        <v>10239</v>
      </c>
      <c r="H1838" s="133" t="s">
        <v>10218</v>
      </c>
    </row>
    <row r="1839" spans="1:8">
      <c r="A1839" s="91" t="s">
        <v>11137</v>
      </c>
      <c r="B1839" s="134" t="s">
        <v>11138</v>
      </c>
      <c r="C1839" s="91" t="s">
        <v>10</v>
      </c>
      <c r="D1839" s="133" t="s">
        <v>11139</v>
      </c>
      <c r="E1839" s="133" t="s">
        <v>10216</v>
      </c>
      <c r="F1839" s="91" t="s">
        <v>120</v>
      </c>
      <c r="G1839" s="91" t="s">
        <v>10318</v>
      </c>
      <c r="H1839" s="133" t="s">
        <v>10218</v>
      </c>
    </row>
    <row r="1840" spans="1:8">
      <c r="A1840" s="91" t="s">
        <v>11140</v>
      </c>
      <c r="B1840" s="134" t="s">
        <v>11141</v>
      </c>
      <c r="C1840" s="91" t="s">
        <v>10</v>
      </c>
      <c r="D1840" s="133" t="s">
        <v>11139</v>
      </c>
      <c r="E1840" s="133" t="s">
        <v>10216</v>
      </c>
      <c r="F1840" s="91" t="s">
        <v>65</v>
      </c>
      <c r="G1840" s="91" t="s">
        <v>10231</v>
      </c>
      <c r="H1840" s="133" t="s">
        <v>10218</v>
      </c>
    </row>
    <row r="1841" spans="1:8">
      <c r="A1841" s="91" t="s">
        <v>11142</v>
      </c>
      <c r="B1841" s="134" t="s">
        <v>11143</v>
      </c>
      <c r="C1841" s="91" t="s">
        <v>10</v>
      </c>
      <c r="D1841" s="133" t="s">
        <v>11139</v>
      </c>
      <c r="E1841" s="133" t="s">
        <v>10216</v>
      </c>
      <c r="F1841" s="91" t="s">
        <v>65</v>
      </c>
      <c r="G1841" s="91" t="s">
        <v>10232</v>
      </c>
      <c r="H1841" s="133" t="s">
        <v>10218</v>
      </c>
    </row>
    <row r="1842" spans="1:8">
      <c r="A1842" s="91" t="s">
        <v>8431</v>
      </c>
      <c r="B1842" s="134" t="s">
        <v>11144</v>
      </c>
      <c r="C1842" s="91" t="s">
        <v>10</v>
      </c>
      <c r="D1842" s="133" t="s">
        <v>11139</v>
      </c>
      <c r="E1842" s="133" t="s">
        <v>10216</v>
      </c>
      <c r="F1842" s="91" t="s">
        <v>65</v>
      </c>
      <c r="G1842" s="91" t="s">
        <v>10242</v>
      </c>
      <c r="H1842" s="133" t="s">
        <v>10218</v>
      </c>
    </row>
    <row r="1843" spans="1:8">
      <c r="A1843" s="91" t="s">
        <v>11145</v>
      </c>
      <c r="B1843" s="134" t="s">
        <v>11146</v>
      </c>
      <c r="C1843" s="91" t="s">
        <v>10</v>
      </c>
      <c r="D1843" s="133" t="s">
        <v>11139</v>
      </c>
      <c r="E1843" s="133" t="s">
        <v>10216</v>
      </c>
      <c r="F1843" s="91" t="s">
        <v>120</v>
      </c>
      <c r="G1843" s="91" t="s">
        <v>10239</v>
      </c>
      <c r="H1843" s="133" t="s">
        <v>10218</v>
      </c>
    </row>
    <row r="1844" spans="1:8">
      <c r="A1844" s="91" t="s">
        <v>11147</v>
      </c>
      <c r="B1844" s="134" t="s">
        <v>11148</v>
      </c>
      <c r="C1844" s="91" t="s">
        <v>10</v>
      </c>
      <c r="D1844" s="133" t="s">
        <v>11139</v>
      </c>
      <c r="E1844" s="133" t="s">
        <v>10216</v>
      </c>
      <c r="F1844" s="91" t="s">
        <v>65</v>
      </c>
      <c r="G1844" s="91" t="s">
        <v>10231</v>
      </c>
      <c r="H1844" s="133" t="s">
        <v>10218</v>
      </c>
    </row>
    <row r="1845" spans="1:8">
      <c r="A1845" s="91" t="s">
        <v>11149</v>
      </c>
      <c r="B1845" s="134" t="s">
        <v>11150</v>
      </c>
      <c r="C1845" s="91" t="s">
        <v>10</v>
      </c>
      <c r="D1845" s="133" t="s">
        <v>9013</v>
      </c>
      <c r="E1845" s="133" t="s">
        <v>10216</v>
      </c>
      <c r="F1845" s="91" t="s">
        <v>109</v>
      </c>
      <c r="G1845" s="91" t="s">
        <v>10239</v>
      </c>
      <c r="H1845" s="133" t="s">
        <v>10218</v>
      </c>
    </row>
    <row r="1846" spans="1:8">
      <c r="A1846" s="91" t="s">
        <v>11151</v>
      </c>
      <c r="B1846" s="134" t="s">
        <v>11152</v>
      </c>
      <c r="C1846" s="91" t="s">
        <v>10</v>
      </c>
      <c r="D1846" s="133" t="s">
        <v>9013</v>
      </c>
      <c r="E1846" s="133" t="s">
        <v>10216</v>
      </c>
      <c r="F1846" s="91" t="s">
        <v>2493</v>
      </c>
      <c r="G1846" s="91" t="s">
        <v>10231</v>
      </c>
      <c r="H1846" s="133" t="s">
        <v>10218</v>
      </c>
    </row>
    <row r="1847" spans="1:8">
      <c r="A1847" s="91" t="s">
        <v>11153</v>
      </c>
      <c r="B1847" s="134" t="s">
        <v>11154</v>
      </c>
      <c r="C1847" s="91" t="s">
        <v>10</v>
      </c>
      <c r="D1847" s="133" t="s">
        <v>9013</v>
      </c>
      <c r="E1847" s="133" t="s">
        <v>10216</v>
      </c>
      <c r="F1847" s="91" t="s">
        <v>120</v>
      </c>
      <c r="G1847" s="91" t="s">
        <v>10239</v>
      </c>
      <c r="H1847" s="133" t="s">
        <v>10218</v>
      </c>
    </row>
    <row r="1848" spans="1:8">
      <c r="A1848" s="91" t="s">
        <v>8557</v>
      </c>
      <c r="B1848" s="134" t="s">
        <v>10773</v>
      </c>
      <c r="C1848" s="91" t="s">
        <v>10</v>
      </c>
      <c r="D1848" s="133" t="s">
        <v>9013</v>
      </c>
      <c r="E1848" s="133" t="s">
        <v>10216</v>
      </c>
      <c r="F1848" s="91" t="s">
        <v>65</v>
      </c>
      <c r="G1848" s="91" t="s">
        <v>10242</v>
      </c>
      <c r="H1848" s="133" t="s">
        <v>10218</v>
      </c>
    </row>
    <row r="1849" spans="1:8">
      <c r="A1849" s="91" t="s">
        <v>11155</v>
      </c>
      <c r="B1849" s="134" t="s">
        <v>11156</v>
      </c>
      <c r="C1849" s="91" t="s">
        <v>10</v>
      </c>
      <c r="D1849" s="133" t="s">
        <v>9013</v>
      </c>
      <c r="E1849" s="133" t="s">
        <v>10216</v>
      </c>
      <c r="F1849" s="91" t="s">
        <v>65</v>
      </c>
      <c r="G1849" s="91" t="s">
        <v>10231</v>
      </c>
      <c r="H1849" s="133" t="s">
        <v>10218</v>
      </c>
    </row>
    <row r="1850" spans="1:8">
      <c r="A1850" s="91" t="s">
        <v>11157</v>
      </c>
      <c r="B1850" s="134" t="s">
        <v>11158</v>
      </c>
      <c r="C1850" s="91" t="s">
        <v>10</v>
      </c>
      <c r="D1850" s="133" t="s">
        <v>11159</v>
      </c>
      <c r="E1850" s="133" t="s">
        <v>10216</v>
      </c>
      <c r="F1850" s="91" t="s">
        <v>284</v>
      </c>
      <c r="G1850" s="91" t="s">
        <v>10231</v>
      </c>
      <c r="H1850" s="133" t="s">
        <v>10218</v>
      </c>
    </row>
    <row r="1851" spans="1:8">
      <c r="A1851" s="91" t="s">
        <v>11160</v>
      </c>
      <c r="B1851" s="134" t="s">
        <v>11161</v>
      </c>
      <c r="C1851" s="91" t="s">
        <v>10</v>
      </c>
      <c r="D1851" s="133" t="s">
        <v>8948</v>
      </c>
      <c r="E1851" s="133" t="s">
        <v>10216</v>
      </c>
      <c r="F1851" s="91" t="s">
        <v>65</v>
      </c>
      <c r="G1851" s="91" t="s">
        <v>10318</v>
      </c>
      <c r="H1851" s="133" t="s">
        <v>10218</v>
      </c>
    </row>
    <row r="1852" spans="1:8">
      <c r="A1852" s="91" t="s">
        <v>11162</v>
      </c>
      <c r="B1852" s="134" t="s">
        <v>11163</v>
      </c>
      <c r="C1852" s="91" t="s">
        <v>10</v>
      </c>
      <c r="D1852" s="133" t="s">
        <v>6233</v>
      </c>
      <c r="E1852" s="133" t="s">
        <v>10216</v>
      </c>
      <c r="F1852" s="91" t="s">
        <v>120</v>
      </c>
      <c r="G1852" s="91" t="s">
        <v>10603</v>
      </c>
      <c r="H1852" s="133" t="s">
        <v>10218</v>
      </c>
    </row>
    <row r="1853" spans="1:8">
      <c r="A1853" s="91" t="s">
        <v>11164</v>
      </c>
      <c r="B1853" s="134" t="s">
        <v>11165</v>
      </c>
      <c r="C1853" s="91" t="s">
        <v>10</v>
      </c>
      <c r="D1853" s="133" t="s">
        <v>3676</v>
      </c>
      <c r="E1853" s="133" t="s">
        <v>10216</v>
      </c>
      <c r="F1853" s="91" t="s">
        <v>120</v>
      </c>
      <c r="G1853" s="91" t="s">
        <v>10603</v>
      </c>
      <c r="H1853" s="133" t="s">
        <v>10218</v>
      </c>
    </row>
    <row r="1854" spans="1:8">
      <c r="A1854" s="91" t="s">
        <v>11166</v>
      </c>
      <c r="B1854" s="134" t="s">
        <v>11167</v>
      </c>
      <c r="C1854" s="91" t="s">
        <v>10</v>
      </c>
      <c r="D1854" s="133" t="s">
        <v>6405</v>
      </c>
      <c r="E1854" s="133" t="s">
        <v>10216</v>
      </c>
      <c r="F1854" s="91" t="s">
        <v>284</v>
      </c>
      <c r="G1854" s="91" t="s">
        <v>10603</v>
      </c>
      <c r="H1854" s="133" t="s">
        <v>10218</v>
      </c>
    </row>
    <row r="1855" spans="1:8">
      <c r="A1855" s="91" t="s">
        <v>11168</v>
      </c>
      <c r="B1855" s="134" t="s">
        <v>11169</v>
      </c>
      <c r="C1855" s="91" t="s">
        <v>10</v>
      </c>
      <c r="D1855" s="133" t="s">
        <v>5843</v>
      </c>
      <c r="E1855" s="133" t="s">
        <v>10216</v>
      </c>
      <c r="F1855" s="91" t="s">
        <v>284</v>
      </c>
      <c r="G1855" s="91" t="s">
        <v>10603</v>
      </c>
      <c r="H1855" s="133" t="s">
        <v>10218</v>
      </c>
    </row>
    <row r="1856" spans="1:8">
      <c r="A1856" s="91" t="s">
        <v>11170</v>
      </c>
      <c r="B1856" s="134" t="s">
        <v>11171</v>
      </c>
      <c r="C1856" s="91" t="s">
        <v>10</v>
      </c>
      <c r="D1856" s="133" t="s">
        <v>8905</v>
      </c>
      <c r="E1856" s="133" t="s">
        <v>10216</v>
      </c>
      <c r="F1856" s="91" t="s">
        <v>284</v>
      </c>
      <c r="G1856" s="91" t="s">
        <v>10603</v>
      </c>
      <c r="H1856" s="133" t="s">
        <v>10218</v>
      </c>
    </row>
    <row r="1857" spans="1:8">
      <c r="A1857" s="91" t="s">
        <v>11172</v>
      </c>
      <c r="B1857" s="134" t="s">
        <v>11173</v>
      </c>
      <c r="C1857" s="91" t="s">
        <v>10</v>
      </c>
      <c r="D1857" s="133" t="s">
        <v>8956</v>
      </c>
      <c r="E1857" s="133" t="s">
        <v>10216</v>
      </c>
      <c r="F1857" s="91" t="s">
        <v>284</v>
      </c>
      <c r="G1857" s="91" t="s">
        <v>10603</v>
      </c>
      <c r="H1857" s="133" t="s">
        <v>10218</v>
      </c>
    </row>
    <row r="1858" spans="1:8">
      <c r="A1858" s="91" t="s">
        <v>11174</v>
      </c>
      <c r="B1858" s="134" t="s">
        <v>11175</v>
      </c>
      <c r="C1858" s="91" t="s">
        <v>10</v>
      </c>
      <c r="D1858" s="133" t="s">
        <v>5893</v>
      </c>
      <c r="E1858" s="133" t="s">
        <v>10216</v>
      </c>
      <c r="F1858" s="91" t="s">
        <v>284</v>
      </c>
      <c r="G1858" s="91" t="s">
        <v>10603</v>
      </c>
      <c r="H1858" s="133" t="s">
        <v>10218</v>
      </c>
    </row>
    <row r="1859" spans="1:8">
      <c r="A1859" s="91" t="s">
        <v>11176</v>
      </c>
      <c r="B1859" s="134" t="s">
        <v>11177</v>
      </c>
      <c r="C1859" s="91" t="s">
        <v>10</v>
      </c>
      <c r="D1859" s="133" t="s">
        <v>4914</v>
      </c>
      <c r="E1859" s="133" t="s">
        <v>10216</v>
      </c>
      <c r="F1859" s="91" t="s">
        <v>284</v>
      </c>
      <c r="G1859" s="91" t="s">
        <v>10603</v>
      </c>
      <c r="H1859" s="133" t="s">
        <v>10218</v>
      </c>
    </row>
    <row r="1860" spans="1:8">
      <c r="A1860" s="91" t="s">
        <v>6158</v>
      </c>
      <c r="B1860" s="134" t="s">
        <v>6159</v>
      </c>
      <c r="C1860" s="91" t="s">
        <v>10</v>
      </c>
      <c r="D1860" s="133" t="s">
        <v>3103</v>
      </c>
      <c r="E1860" s="133" t="s">
        <v>10216</v>
      </c>
      <c r="F1860" s="91" t="s">
        <v>120</v>
      </c>
      <c r="G1860" s="91" t="s">
        <v>10603</v>
      </c>
      <c r="H1860" s="133" t="s">
        <v>10218</v>
      </c>
    </row>
    <row r="1861" spans="1:8">
      <c r="A1861" s="91" t="s">
        <v>11178</v>
      </c>
      <c r="B1861" s="134" t="s">
        <v>11179</v>
      </c>
      <c r="C1861" s="91" t="s">
        <v>10</v>
      </c>
      <c r="D1861" s="133" t="s">
        <v>6250</v>
      </c>
      <c r="E1861" s="133" t="s">
        <v>10216</v>
      </c>
      <c r="F1861" s="91" t="s">
        <v>65</v>
      </c>
      <c r="G1861" s="91" t="s">
        <v>10603</v>
      </c>
      <c r="H1861" s="133" t="s">
        <v>10218</v>
      </c>
    </row>
    <row r="1862" spans="1:8">
      <c r="A1862" s="91" t="s">
        <v>5731</v>
      </c>
      <c r="B1862" s="134" t="s">
        <v>5732</v>
      </c>
      <c r="C1862" s="91" t="s">
        <v>10</v>
      </c>
      <c r="D1862" s="133" t="s">
        <v>3198</v>
      </c>
      <c r="E1862" s="133" t="s">
        <v>10216</v>
      </c>
      <c r="F1862" s="91" t="s">
        <v>120</v>
      </c>
      <c r="G1862" s="91" t="s">
        <v>10603</v>
      </c>
      <c r="H1862" s="133" t="s">
        <v>10218</v>
      </c>
    </row>
    <row r="1863" spans="1:8">
      <c r="A1863" s="91" t="s">
        <v>11180</v>
      </c>
      <c r="B1863" s="134" t="s">
        <v>11181</v>
      </c>
      <c r="C1863" s="91" t="s">
        <v>10</v>
      </c>
      <c r="D1863" s="133" t="s">
        <v>8909</v>
      </c>
      <c r="E1863" s="133" t="s">
        <v>10216</v>
      </c>
      <c r="F1863" s="91" t="s">
        <v>284</v>
      </c>
      <c r="G1863" s="91" t="s">
        <v>10603</v>
      </c>
      <c r="H1863" s="133" t="s">
        <v>10218</v>
      </c>
    </row>
    <row r="1864" spans="1:8">
      <c r="A1864" s="91" t="s">
        <v>11182</v>
      </c>
      <c r="B1864" s="134" t="s">
        <v>11183</v>
      </c>
      <c r="C1864" s="91" t="s">
        <v>10</v>
      </c>
      <c r="D1864" s="133" t="s">
        <v>7652</v>
      </c>
      <c r="E1864" s="133" t="s">
        <v>10216</v>
      </c>
      <c r="F1864" s="91" t="s">
        <v>284</v>
      </c>
      <c r="G1864" s="91" t="s">
        <v>10603</v>
      </c>
      <c r="H1864" s="133" t="s">
        <v>10218</v>
      </c>
    </row>
    <row r="1865" spans="1:8">
      <c r="A1865" s="91" t="s">
        <v>11184</v>
      </c>
      <c r="B1865" s="134" t="s">
        <v>11185</v>
      </c>
      <c r="C1865" s="91" t="s">
        <v>10</v>
      </c>
      <c r="D1865" s="133" t="s">
        <v>6283</v>
      </c>
      <c r="E1865" s="133" t="s">
        <v>10216</v>
      </c>
      <c r="F1865" s="91" t="s">
        <v>284</v>
      </c>
      <c r="G1865" s="91" t="s">
        <v>10603</v>
      </c>
      <c r="H1865" s="133" t="s">
        <v>10218</v>
      </c>
    </row>
    <row r="1866" spans="1:8">
      <c r="A1866" s="91" t="s">
        <v>11186</v>
      </c>
      <c r="B1866" s="134" t="s">
        <v>11187</v>
      </c>
      <c r="C1866" s="91" t="s">
        <v>10</v>
      </c>
      <c r="D1866" s="133" t="s">
        <v>6283</v>
      </c>
      <c r="E1866" s="133" t="s">
        <v>10216</v>
      </c>
      <c r="F1866" s="91" t="s">
        <v>284</v>
      </c>
      <c r="G1866" s="91" t="s">
        <v>10603</v>
      </c>
      <c r="H1866" s="133" t="s">
        <v>10218</v>
      </c>
    </row>
    <row r="1867" spans="1:8">
      <c r="A1867" s="91" t="s">
        <v>11188</v>
      </c>
      <c r="B1867" s="134" t="s">
        <v>11189</v>
      </c>
      <c r="C1867" s="91" t="s">
        <v>10</v>
      </c>
      <c r="D1867" s="133" t="s">
        <v>8875</v>
      </c>
      <c r="E1867" s="133" t="s">
        <v>10216</v>
      </c>
      <c r="F1867" s="91" t="s">
        <v>65</v>
      </c>
      <c r="G1867" s="91" t="s">
        <v>10603</v>
      </c>
      <c r="H1867" s="133" t="s">
        <v>10218</v>
      </c>
    </row>
    <row r="1868" spans="1:8">
      <c r="A1868" s="91" t="s">
        <v>11190</v>
      </c>
      <c r="B1868" s="134" t="s">
        <v>11191</v>
      </c>
      <c r="C1868" s="91" t="s">
        <v>10</v>
      </c>
      <c r="D1868" s="133" t="s">
        <v>8021</v>
      </c>
      <c r="E1868" s="133" t="s">
        <v>10216</v>
      </c>
      <c r="F1868" s="91" t="s">
        <v>284</v>
      </c>
      <c r="G1868" s="91" t="s">
        <v>10603</v>
      </c>
      <c r="H1868" s="133" t="s">
        <v>10218</v>
      </c>
    </row>
    <row r="1869" spans="1:8">
      <c r="A1869" s="91" t="s">
        <v>11192</v>
      </c>
      <c r="B1869" s="134" t="s">
        <v>11193</v>
      </c>
      <c r="C1869" s="91" t="s">
        <v>10</v>
      </c>
      <c r="D1869" s="133" t="s">
        <v>5335</v>
      </c>
      <c r="E1869" s="133" t="s">
        <v>10216</v>
      </c>
      <c r="F1869" s="91" t="s">
        <v>65</v>
      </c>
      <c r="G1869" s="91" t="s">
        <v>10603</v>
      </c>
      <c r="H1869" s="133" t="s">
        <v>10218</v>
      </c>
    </row>
    <row r="1870" spans="1:8">
      <c r="A1870" s="91" t="s">
        <v>11194</v>
      </c>
      <c r="B1870" s="134" t="s">
        <v>11195</v>
      </c>
      <c r="C1870" s="91" t="s">
        <v>10</v>
      </c>
      <c r="D1870" s="133" t="s">
        <v>6012</v>
      </c>
      <c r="E1870" s="133" t="s">
        <v>10216</v>
      </c>
      <c r="F1870" s="91" t="s">
        <v>284</v>
      </c>
      <c r="G1870" s="91" t="s">
        <v>10603</v>
      </c>
      <c r="H1870" s="133" t="s">
        <v>10218</v>
      </c>
    </row>
    <row r="1871" spans="1:8">
      <c r="A1871" s="91" t="s">
        <v>11196</v>
      </c>
      <c r="B1871" s="134" t="s">
        <v>11197</v>
      </c>
      <c r="C1871" s="91" t="s">
        <v>10</v>
      </c>
      <c r="D1871" s="133" t="s">
        <v>5293</v>
      </c>
      <c r="E1871" s="133" t="s">
        <v>10216</v>
      </c>
      <c r="F1871" s="91" t="s">
        <v>65</v>
      </c>
      <c r="G1871" s="91" t="s">
        <v>10603</v>
      </c>
      <c r="H1871" s="133" t="s">
        <v>10218</v>
      </c>
    </row>
    <row r="1872" spans="1:8">
      <c r="A1872" s="91" t="s">
        <v>11198</v>
      </c>
      <c r="B1872" s="134" t="s">
        <v>11199</v>
      </c>
      <c r="C1872" s="91" t="s">
        <v>10</v>
      </c>
      <c r="D1872" s="133" t="s">
        <v>7955</v>
      </c>
      <c r="E1872" s="133" t="s">
        <v>10216</v>
      </c>
      <c r="F1872" s="91" t="s">
        <v>65</v>
      </c>
      <c r="G1872" s="91" t="s">
        <v>10603</v>
      </c>
      <c r="H1872" s="133" t="s">
        <v>10218</v>
      </c>
    </row>
    <row r="1873" spans="1:8">
      <c r="A1873" s="91" t="s">
        <v>11200</v>
      </c>
      <c r="B1873" s="134" t="s">
        <v>1523</v>
      </c>
      <c r="C1873" s="91" t="s">
        <v>10</v>
      </c>
      <c r="D1873" s="133" t="s">
        <v>6374</v>
      </c>
      <c r="E1873" s="133" t="s">
        <v>10216</v>
      </c>
      <c r="F1873" s="91" t="s">
        <v>65</v>
      </c>
      <c r="G1873" s="91" t="s">
        <v>10603</v>
      </c>
      <c r="H1873" s="133" t="s">
        <v>10218</v>
      </c>
    </row>
    <row r="1874" spans="1:8">
      <c r="A1874" s="91" t="s">
        <v>11201</v>
      </c>
      <c r="B1874" s="134" t="s">
        <v>11202</v>
      </c>
      <c r="C1874" s="91" t="s">
        <v>10</v>
      </c>
      <c r="D1874" s="133" t="s">
        <v>11062</v>
      </c>
      <c r="E1874" s="133" t="s">
        <v>10216</v>
      </c>
      <c r="F1874" s="91" t="s">
        <v>65</v>
      </c>
      <c r="G1874" s="91" t="s">
        <v>10603</v>
      </c>
      <c r="H1874" s="133" t="s">
        <v>10218</v>
      </c>
    </row>
    <row r="1875" spans="1:8">
      <c r="A1875" s="91" t="s">
        <v>11203</v>
      </c>
      <c r="B1875" s="134" t="s">
        <v>11204</v>
      </c>
      <c r="C1875" s="91" t="s">
        <v>10</v>
      </c>
      <c r="D1875" s="133" t="s">
        <v>11084</v>
      </c>
      <c r="E1875" s="133" t="s">
        <v>10216</v>
      </c>
      <c r="F1875" s="91" t="s">
        <v>65</v>
      </c>
      <c r="G1875" s="91" t="s">
        <v>10603</v>
      </c>
      <c r="H1875" s="133" t="s">
        <v>10218</v>
      </c>
    </row>
    <row r="1876" spans="1:8">
      <c r="A1876" s="91" t="s">
        <v>11205</v>
      </c>
      <c r="B1876" s="134" t="s">
        <v>11206</v>
      </c>
      <c r="C1876" s="91" t="s">
        <v>10</v>
      </c>
      <c r="D1876" s="133" t="s">
        <v>11098</v>
      </c>
      <c r="E1876" s="133" t="s">
        <v>10216</v>
      </c>
      <c r="F1876" s="91" t="s">
        <v>65</v>
      </c>
      <c r="G1876" s="91" t="s">
        <v>10603</v>
      </c>
      <c r="H1876" s="133" t="s">
        <v>10218</v>
      </c>
    </row>
    <row r="1877" spans="1:8">
      <c r="A1877" s="91" t="s">
        <v>11207</v>
      </c>
      <c r="B1877" s="134" t="s">
        <v>11208</v>
      </c>
      <c r="C1877" s="91" t="s">
        <v>10</v>
      </c>
      <c r="D1877" s="133" t="s">
        <v>7723</v>
      </c>
      <c r="E1877" s="133" t="s">
        <v>10216</v>
      </c>
      <c r="F1877" s="91" t="s">
        <v>284</v>
      </c>
      <c r="G1877" s="91" t="s">
        <v>10603</v>
      </c>
      <c r="H1877" s="133" t="s">
        <v>10218</v>
      </c>
    </row>
    <row r="1878" spans="1:8">
      <c r="A1878" s="91" t="s">
        <v>11209</v>
      </c>
      <c r="B1878" s="134" t="s">
        <v>11210</v>
      </c>
      <c r="C1878" s="91" t="s">
        <v>10</v>
      </c>
      <c r="D1878" s="133" t="s">
        <v>11139</v>
      </c>
      <c r="E1878" s="133" t="s">
        <v>10216</v>
      </c>
      <c r="F1878" s="91" t="s">
        <v>65</v>
      </c>
      <c r="G1878" s="91" t="s">
        <v>10603</v>
      </c>
      <c r="H1878" s="133" t="s">
        <v>10218</v>
      </c>
    </row>
    <row r="1879" spans="1:8">
      <c r="A1879" s="91" t="s">
        <v>11211</v>
      </c>
      <c r="B1879" s="134" t="s">
        <v>11212</v>
      </c>
      <c r="C1879" s="91" t="s">
        <v>10</v>
      </c>
      <c r="D1879" s="133" t="s">
        <v>9013</v>
      </c>
      <c r="E1879" s="133" t="s">
        <v>10216</v>
      </c>
      <c r="F1879" s="91" t="s">
        <v>65</v>
      </c>
      <c r="G1879" s="91" t="s">
        <v>10603</v>
      </c>
      <c r="H1879" s="133" t="s">
        <v>10218</v>
      </c>
    </row>
    <row r="1880" spans="1:8">
      <c r="A1880" s="91" t="s">
        <v>11213</v>
      </c>
      <c r="B1880" s="134" t="s">
        <v>11214</v>
      </c>
      <c r="C1880" s="91" t="s">
        <v>10</v>
      </c>
      <c r="D1880" s="133"/>
      <c r="E1880" s="133" t="s">
        <v>10216</v>
      </c>
      <c r="F1880" s="91" t="s">
        <v>284</v>
      </c>
      <c r="G1880" s="91" t="s">
        <v>10603</v>
      </c>
      <c r="H1880" s="133" t="s">
        <v>10218</v>
      </c>
    </row>
    <row r="1881" spans="1:8">
      <c r="A1881" s="91" t="s">
        <v>11215</v>
      </c>
      <c r="B1881" s="134" t="s">
        <v>11216</v>
      </c>
      <c r="C1881" s="91" t="s">
        <v>178</v>
      </c>
      <c r="D1881" s="133" t="s">
        <v>11217</v>
      </c>
      <c r="E1881" s="133" t="s">
        <v>11218</v>
      </c>
      <c r="F1881" s="91" t="s">
        <v>120</v>
      </c>
      <c r="G1881" s="91" t="s">
        <v>11219</v>
      </c>
      <c r="H1881" s="133" t="s">
        <v>10218</v>
      </c>
    </row>
    <row r="1882" spans="1:8">
      <c r="A1882" s="91" t="s">
        <v>11220</v>
      </c>
      <c r="B1882" s="134" t="s">
        <v>11221</v>
      </c>
      <c r="C1882" s="91" t="s">
        <v>178</v>
      </c>
      <c r="D1882" s="133" t="s">
        <v>11222</v>
      </c>
      <c r="E1882" s="133" t="s">
        <v>11218</v>
      </c>
      <c r="F1882" s="91" t="s">
        <v>120</v>
      </c>
      <c r="G1882" s="91" t="s">
        <v>10239</v>
      </c>
      <c r="H1882" s="133" t="s">
        <v>10218</v>
      </c>
    </row>
    <row r="1883" spans="1:8">
      <c r="A1883" s="91" t="s">
        <v>11223</v>
      </c>
      <c r="B1883" s="134" t="s">
        <v>11224</v>
      </c>
      <c r="C1883" s="91" t="s">
        <v>178</v>
      </c>
      <c r="D1883" s="133" t="s">
        <v>11225</v>
      </c>
      <c r="E1883" s="133" t="s">
        <v>11218</v>
      </c>
      <c r="F1883" s="91" t="s">
        <v>120</v>
      </c>
      <c r="G1883" s="91" t="s">
        <v>10239</v>
      </c>
      <c r="H1883" s="133" t="s">
        <v>10218</v>
      </c>
    </row>
    <row r="1884" spans="1:8">
      <c r="A1884" s="91" t="s">
        <v>11226</v>
      </c>
      <c r="B1884" s="134" t="s">
        <v>11227</v>
      </c>
      <c r="C1884" s="91" t="s">
        <v>178</v>
      </c>
      <c r="D1884" s="133" t="s">
        <v>11225</v>
      </c>
      <c r="E1884" s="133" t="s">
        <v>11218</v>
      </c>
      <c r="F1884" s="91" t="s">
        <v>120</v>
      </c>
      <c r="G1884" s="91" t="s">
        <v>10239</v>
      </c>
      <c r="H1884" s="133" t="s">
        <v>10218</v>
      </c>
    </row>
    <row r="1885" spans="1:8">
      <c r="A1885" s="91" t="s">
        <v>11228</v>
      </c>
      <c r="B1885" s="134" t="s">
        <v>11229</v>
      </c>
      <c r="C1885" s="91" t="s">
        <v>178</v>
      </c>
      <c r="D1885" s="133" t="s">
        <v>11230</v>
      </c>
      <c r="E1885" s="133" t="s">
        <v>11218</v>
      </c>
      <c r="F1885" s="91" t="s">
        <v>120</v>
      </c>
      <c r="G1885" s="91" t="s">
        <v>10239</v>
      </c>
      <c r="H1885" s="133" t="s">
        <v>10218</v>
      </c>
    </row>
    <row r="1886" spans="1:8">
      <c r="A1886" s="91" t="s">
        <v>11231</v>
      </c>
      <c r="B1886" s="134" t="s">
        <v>11232</v>
      </c>
      <c r="C1886" s="91" t="s">
        <v>178</v>
      </c>
      <c r="D1886" s="133" t="s">
        <v>11233</v>
      </c>
      <c r="E1886" s="133" t="s">
        <v>11218</v>
      </c>
      <c r="F1886" s="91" t="s">
        <v>284</v>
      </c>
      <c r="G1886" s="91" t="s">
        <v>10239</v>
      </c>
      <c r="H1886" s="133" t="s">
        <v>10218</v>
      </c>
    </row>
    <row r="1887" spans="1:8">
      <c r="A1887" s="91" t="s">
        <v>11234</v>
      </c>
      <c r="B1887" s="134" t="s">
        <v>10829</v>
      </c>
      <c r="C1887" s="91" t="s">
        <v>178</v>
      </c>
      <c r="D1887" s="133" t="s">
        <v>11235</v>
      </c>
      <c r="E1887" s="133" t="s">
        <v>11218</v>
      </c>
      <c r="F1887" s="91" t="s">
        <v>284</v>
      </c>
      <c r="G1887" s="91" t="s">
        <v>11236</v>
      </c>
      <c r="H1887" s="133" t="s">
        <v>10218</v>
      </c>
    </row>
    <row r="1888" spans="1:8">
      <c r="A1888" s="91" t="s">
        <v>11237</v>
      </c>
      <c r="B1888" s="134" t="s">
        <v>11238</v>
      </c>
      <c r="C1888" s="91" t="s">
        <v>178</v>
      </c>
      <c r="D1888" s="133" t="s">
        <v>11230</v>
      </c>
      <c r="E1888" s="133" t="s">
        <v>11218</v>
      </c>
      <c r="F1888" s="91" t="s">
        <v>120</v>
      </c>
      <c r="G1888" s="91" t="s">
        <v>11236</v>
      </c>
      <c r="H1888" s="133" t="s">
        <v>10218</v>
      </c>
    </row>
    <row r="1889" spans="1:7">
      <c r="A1889" s="91" t="s">
        <v>10738</v>
      </c>
      <c r="B1889" s="134" t="s">
        <v>10739</v>
      </c>
      <c r="C1889" s="91" t="s">
        <v>9</v>
      </c>
      <c r="D1889" s="133" t="s">
        <v>10635</v>
      </c>
      <c r="E1889" s="133" t="s">
        <v>63</v>
      </c>
      <c r="F1889" s="91" t="s">
        <v>284</v>
      </c>
      <c r="G1889" t="s">
        <v>10603</v>
      </c>
    </row>
    <row r="1890" spans="1:7">
      <c r="A1890" s="91" t="s">
        <v>10636</v>
      </c>
      <c r="B1890" s="134" t="s">
        <v>10637</v>
      </c>
      <c r="C1890" s="91" t="s">
        <v>9</v>
      </c>
      <c r="D1890" s="133" t="s">
        <v>10635</v>
      </c>
      <c r="E1890" s="133" t="s">
        <v>63</v>
      </c>
      <c r="F1890" s="91" t="s">
        <v>109</v>
      </c>
      <c r="G1890" t="s">
        <v>10239</v>
      </c>
    </row>
    <row r="1891" spans="1:7">
      <c r="A1891" s="91" t="s">
        <v>10638</v>
      </c>
      <c r="B1891" s="134" t="s">
        <v>10639</v>
      </c>
      <c r="C1891" s="91" t="s">
        <v>9</v>
      </c>
      <c r="D1891" s="133" t="s">
        <v>10635</v>
      </c>
      <c r="E1891" s="133" t="s">
        <v>63</v>
      </c>
      <c r="F1891" s="91" t="s">
        <v>109</v>
      </c>
      <c r="G1891" t="s">
        <v>10239</v>
      </c>
    </row>
    <row r="1892" spans="1:7">
      <c r="A1892" s="91" t="s">
        <v>10640</v>
      </c>
      <c r="B1892" s="134" t="s">
        <v>10641</v>
      </c>
      <c r="C1892" s="91" t="s">
        <v>9</v>
      </c>
      <c r="D1892" s="133" t="s">
        <v>10635</v>
      </c>
      <c r="E1892" s="133" t="s">
        <v>63</v>
      </c>
      <c r="F1892" s="91" t="s">
        <v>120</v>
      </c>
      <c r="G1892" t="s">
        <v>10642</v>
      </c>
    </row>
    <row r="1893" spans="1:7">
      <c r="A1893" s="91" t="s">
        <v>10643</v>
      </c>
      <c r="B1893" s="134" t="s">
        <v>10644</v>
      </c>
      <c r="C1893" s="91" t="s">
        <v>9</v>
      </c>
      <c r="D1893" s="133" t="s">
        <v>10635</v>
      </c>
      <c r="E1893" s="133" t="s">
        <v>63</v>
      </c>
      <c r="F1893" s="91" t="s">
        <v>65</v>
      </c>
      <c r="G1893" t="s">
        <v>10242</v>
      </c>
    </row>
    <row r="1894" spans="1:7">
      <c r="A1894" s="91" t="s">
        <v>10645</v>
      </c>
      <c r="B1894" s="134" t="s">
        <v>10646</v>
      </c>
      <c r="C1894" s="91" t="s">
        <v>9</v>
      </c>
      <c r="D1894" s="133" t="s">
        <v>10635</v>
      </c>
      <c r="E1894" s="133" t="s">
        <v>63</v>
      </c>
      <c r="F1894" s="91" t="s">
        <v>284</v>
      </c>
      <c r="G1894" t="s">
        <v>10242</v>
      </c>
    </row>
    <row r="1895" spans="1:7">
      <c r="A1895" s="91" t="s">
        <v>11239</v>
      </c>
      <c r="B1895" s="134" t="s">
        <v>11240</v>
      </c>
      <c r="C1895" s="91" t="s">
        <v>9</v>
      </c>
      <c r="D1895" s="133" t="s">
        <v>10635</v>
      </c>
      <c r="E1895" s="133" t="s">
        <v>63</v>
      </c>
      <c r="F1895" s="91" t="s">
        <v>284</v>
      </c>
      <c r="G1895" t="s">
        <v>10239</v>
      </c>
    </row>
    <row r="1896" spans="1:7">
      <c r="A1896" s="91" t="s">
        <v>10647</v>
      </c>
      <c r="B1896" s="134" t="s">
        <v>10648</v>
      </c>
      <c r="C1896" s="91" t="s">
        <v>9</v>
      </c>
      <c r="D1896" s="133" t="s">
        <v>10635</v>
      </c>
      <c r="E1896" s="133" t="s">
        <v>63</v>
      </c>
      <c r="F1896" s="91" t="s">
        <v>284</v>
      </c>
      <c r="G1896" t="s">
        <v>10231</v>
      </c>
    </row>
    <row r="1897" spans="1:7">
      <c r="A1897" s="91" t="s">
        <v>8269</v>
      </c>
      <c r="B1897" s="134" t="s">
        <v>10649</v>
      </c>
      <c r="C1897" s="91" t="s">
        <v>9</v>
      </c>
      <c r="D1897" s="133" t="s">
        <v>10635</v>
      </c>
      <c r="E1897" s="133" t="s">
        <v>63</v>
      </c>
      <c r="F1897" s="91" t="s">
        <v>284</v>
      </c>
      <c r="G1897" t="s">
        <v>10242</v>
      </c>
    </row>
    <row r="1898" spans="1:7">
      <c r="A1898" s="91" t="s">
        <v>10650</v>
      </c>
      <c r="B1898" s="134" t="s">
        <v>10651</v>
      </c>
      <c r="C1898" s="91" t="s">
        <v>9</v>
      </c>
      <c r="D1898" s="133" t="s">
        <v>10635</v>
      </c>
      <c r="E1898" s="133" t="s">
        <v>63</v>
      </c>
      <c r="F1898" s="91" t="s">
        <v>284</v>
      </c>
      <c r="G1898" t="s">
        <v>10242</v>
      </c>
    </row>
    <row r="1899" spans="1:7">
      <c r="A1899" s="91" t="s">
        <v>10652</v>
      </c>
      <c r="B1899" s="134" t="s">
        <v>10653</v>
      </c>
      <c r="C1899" s="91" t="s">
        <v>9</v>
      </c>
      <c r="D1899" s="133" t="s">
        <v>10635</v>
      </c>
      <c r="E1899" s="133" t="s">
        <v>63</v>
      </c>
      <c r="F1899" s="91" t="s">
        <v>284</v>
      </c>
      <c r="G1899" t="s">
        <v>10252</v>
      </c>
    </row>
    <row r="1900" spans="1:7">
      <c r="A1900" s="91" t="s">
        <v>10654</v>
      </c>
      <c r="B1900" s="134" t="s">
        <v>10655</v>
      </c>
      <c r="C1900" s="91" t="s">
        <v>9</v>
      </c>
      <c r="D1900" s="133" t="s">
        <v>10635</v>
      </c>
      <c r="E1900" s="133" t="s">
        <v>63</v>
      </c>
      <c r="F1900" s="91" t="s">
        <v>120</v>
      </c>
      <c r="G1900" t="s">
        <v>10242</v>
      </c>
    </row>
    <row r="1901" spans="1:7">
      <c r="A1901" s="91" t="s">
        <v>10656</v>
      </c>
      <c r="B1901" s="134" t="s">
        <v>10657</v>
      </c>
      <c r="C1901" s="91" t="s">
        <v>9</v>
      </c>
      <c r="D1901" s="133" t="s">
        <v>10635</v>
      </c>
      <c r="E1901" s="133" t="s">
        <v>63</v>
      </c>
      <c r="F1901" s="91" t="s">
        <v>120</v>
      </c>
      <c r="G1901" t="s">
        <v>10242</v>
      </c>
    </row>
    <row r="1902" spans="1:7">
      <c r="A1902" s="91" t="s">
        <v>10658</v>
      </c>
      <c r="B1902" s="134" t="s">
        <v>10659</v>
      </c>
      <c r="C1902" s="91" t="s">
        <v>9</v>
      </c>
      <c r="D1902" s="133" t="s">
        <v>10635</v>
      </c>
      <c r="E1902" s="133" t="s">
        <v>63</v>
      </c>
      <c r="F1902" s="91" t="s">
        <v>284</v>
      </c>
      <c r="G1902" t="s">
        <v>10245</v>
      </c>
    </row>
    <row r="1903" spans="1:7">
      <c r="A1903" s="91" t="s">
        <v>10660</v>
      </c>
      <c r="B1903" s="134" t="s">
        <v>10661</v>
      </c>
      <c r="C1903" s="91" t="s">
        <v>9</v>
      </c>
      <c r="D1903" s="133" t="s">
        <v>10635</v>
      </c>
      <c r="E1903" s="133" t="s">
        <v>63</v>
      </c>
      <c r="F1903" s="91" t="s">
        <v>65</v>
      </c>
      <c r="G1903" t="s">
        <v>10225</v>
      </c>
    </row>
    <row r="1904" spans="1:7">
      <c r="A1904" s="91" t="s">
        <v>10662</v>
      </c>
      <c r="B1904" s="134" t="s">
        <v>10663</v>
      </c>
      <c r="C1904" s="91" t="s">
        <v>9</v>
      </c>
      <c r="D1904" s="133" t="s">
        <v>10635</v>
      </c>
      <c r="E1904" s="133" t="s">
        <v>63</v>
      </c>
      <c r="F1904" s="91" t="s">
        <v>120</v>
      </c>
      <c r="G1904" t="s">
        <v>10318</v>
      </c>
    </row>
    <row r="1905" spans="1:7">
      <c r="A1905" s="91" t="s">
        <v>10664</v>
      </c>
      <c r="B1905" s="134" t="s">
        <v>10665</v>
      </c>
      <c r="C1905" s="91" t="s">
        <v>9</v>
      </c>
      <c r="D1905" s="133" t="s">
        <v>10635</v>
      </c>
      <c r="E1905" s="133" t="s">
        <v>63</v>
      </c>
      <c r="F1905" s="91" t="s">
        <v>284</v>
      </c>
      <c r="G1905" t="s">
        <v>10228</v>
      </c>
    </row>
    <row r="1906" spans="1:7">
      <c r="A1906" s="91" t="s">
        <v>10666</v>
      </c>
      <c r="B1906" s="134" t="s">
        <v>10667</v>
      </c>
      <c r="C1906" s="91" t="s">
        <v>9</v>
      </c>
      <c r="D1906" s="133" t="s">
        <v>10668</v>
      </c>
      <c r="E1906" s="133" t="s">
        <v>63</v>
      </c>
      <c r="F1906" s="91" t="s">
        <v>284</v>
      </c>
      <c r="G1906" t="s">
        <v>10217</v>
      </c>
    </row>
    <row r="1907" spans="1:7">
      <c r="A1907" s="91" t="s">
        <v>10669</v>
      </c>
      <c r="B1907" s="134" t="s">
        <v>10670</v>
      </c>
      <c r="C1907" s="91" t="s">
        <v>9</v>
      </c>
      <c r="D1907" s="133" t="s">
        <v>10671</v>
      </c>
      <c r="E1907" s="133" t="s">
        <v>63</v>
      </c>
      <c r="F1907" s="91" t="s">
        <v>284</v>
      </c>
      <c r="G1907" t="s">
        <v>10222</v>
      </c>
    </row>
    <row r="1908" spans="1:7">
      <c r="A1908" s="91" t="s">
        <v>10672</v>
      </c>
      <c r="B1908" s="134" t="s">
        <v>10673</v>
      </c>
      <c r="C1908" s="91" t="s">
        <v>9</v>
      </c>
      <c r="D1908" s="133" t="s">
        <v>10674</v>
      </c>
      <c r="E1908" s="133" t="s">
        <v>63</v>
      </c>
      <c r="F1908" s="91" t="s">
        <v>284</v>
      </c>
      <c r="G1908" t="s">
        <v>10217</v>
      </c>
    </row>
    <row r="1909" spans="1:7">
      <c r="A1909" s="91" t="s">
        <v>10675</v>
      </c>
      <c r="B1909" s="134" t="s">
        <v>10676</v>
      </c>
      <c r="C1909" s="91" t="s">
        <v>9</v>
      </c>
      <c r="D1909" s="133" t="s">
        <v>10677</v>
      </c>
      <c r="E1909" s="133" t="s">
        <v>63</v>
      </c>
      <c r="F1909" s="91" t="s">
        <v>284</v>
      </c>
      <c r="G1909" t="s">
        <v>10217</v>
      </c>
    </row>
    <row r="1910" spans="1:7">
      <c r="A1910" s="91" t="s">
        <v>10678</v>
      </c>
      <c r="B1910" s="134" t="s">
        <v>10106</v>
      </c>
      <c r="C1910" s="91" t="s">
        <v>9</v>
      </c>
      <c r="D1910" s="133" t="s">
        <v>10679</v>
      </c>
      <c r="E1910" s="133" t="s">
        <v>63</v>
      </c>
      <c r="F1910" s="91" t="s">
        <v>284</v>
      </c>
      <c r="G1910" t="s">
        <v>10222</v>
      </c>
    </row>
    <row r="1911" spans="1:7">
      <c r="A1911" s="91" t="s">
        <v>10680</v>
      </c>
      <c r="B1911" s="134" t="s">
        <v>10681</v>
      </c>
      <c r="C1911" s="91" t="s">
        <v>9</v>
      </c>
      <c r="D1911" s="133" t="s">
        <v>10679</v>
      </c>
      <c r="E1911" s="133" t="s">
        <v>63</v>
      </c>
      <c r="F1911" s="91" t="s">
        <v>284</v>
      </c>
      <c r="G1911" t="s">
        <v>10222</v>
      </c>
    </row>
    <row r="1912" spans="1:7">
      <c r="A1912" s="91" t="s">
        <v>10682</v>
      </c>
      <c r="B1912" s="134" t="s">
        <v>10683</v>
      </c>
      <c r="C1912" s="91" t="s">
        <v>9</v>
      </c>
      <c r="D1912" s="133" t="s">
        <v>8868</v>
      </c>
      <c r="E1912" s="133" t="s">
        <v>63</v>
      </c>
      <c r="F1912" s="91" t="s">
        <v>284</v>
      </c>
      <c r="G1912" t="s">
        <v>10232</v>
      </c>
    </row>
    <row r="1913" spans="1:7">
      <c r="A1913" s="91" t="s">
        <v>10684</v>
      </c>
      <c r="B1913" s="134" t="s">
        <v>10685</v>
      </c>
      <c r="C1913" s="91" t="s">
        <v>9</v>
      </c>
      <c r="D1913" s="133" t="s">
        <v>8868</v>
      </c>
      <c r="E1913" s="133" t="s">
        <v>63</v>
      </c>
      <c r="F1913" s="91" t="s">
        <v>65</v>
      </c>
      <c r="G1913" t="s">
        <v>10242</v>
      </c>
    </row>
    <row r="1914" spans="1:7">
      <c r="A1914" s="91" t="s">
        <v>10686</v>
      </c>
      <c r="B1914" s="134" t="s">
        <v>10687</v>
      </c>
      <c r="C1914" s="91" t="s">
        <v>9</v>
      </c>
      <c r="D1914" s="133" t="s">
        <v>10688</v>
      </c>
      <c r="E1914" s="133" t="s">
        <v>63</v>
      </c>
      <c r="F1914" s="91" t="s">
        <v>284</v>
      </c>
      <c r="G1914" t="s">
        <v>10228</v>
      </c>
    </row>
    <row r="1915" spans="1:7">
      <c r="A1915" s="91" t="s">
        <v>10689</v>
      </c>
      <c r="B1915" s="134" t="s">
        <v>10690</v>
      </c>
      <c r="C1915" s="91" t="s">
        <v>9</v>
      </c>
      <c r="D1915" s="133" t="s">
        <v>10688</v>
      </c>
      <c r="E1915" s="133" t="s">
        <v>63</v>
      </c>
      <c r="F1915" s="91" t="s">
        <v>109</v>
      </c>
      <c r="G1915" t="s">
        <v>10231</v>
      </c>
    </row>
    <row r="1916" spans="1:7">
      <c r="A1916" s="91" t="s">
        <v>10691</v>
      </c>
      <c r="B1916" s="134" t="s">
        <v>10692</v>
      </c>
      <c r="C1916" s="91" t="s">
        <v>9</v>
      </c>
      <c r="D1916" s="133" t="s">
        <v>10688</v>
      </c>
      <c r="E1916" s="133" t="s">
        <v>63</v>
      </c>
      <c r="F1916" s="91" t="s">
        <v>284</v>
      </c>
      <c r="G1916" t="s">
        <v>10245</v>
      </c>
    </row>
    <row r="1917" spans="1:7">
      <c r="A1917" s="91" t="s">
        <v>10740</v>
      </c>
      <c r="B1917" s="134" t="s">
        <v>10741</v>
      </c>
      <c r="C1917" s="91" t="s">
        <v>9</v>
      </c>
      <c r="D1917" s="133" t="s">
        <v>10688</v>
      </c>
      <c r="E1917" s="133" t="s">
        <v>63</v>
      </c>
      <c r="F1917" s="91" t="s">
        <v>65</v>
      </c>
      <c r="G1917" t="s">
        <v>10603</v>
      </c>
    </row>
    <row r="1918" spans="1:7">
      <c r="A1918" s="91" t="s">
        <v>8414</v>
      </c>
      <c r="B1918" s="134" t="s">
        <v>10693</v>
      </c>
      <c r="C1918" s="91" t="s">
        <v>9</v>
      </c>
      <c r="D1918" s="133" t="s">
        <v>10688</v>
      </c>
      <c r="E1918" s="133" t="s">
        <v>63</v>
      </c>
      <c r="F1918" s="91" t="s">
        <v>65</v>
      </c>
      <c r="G1918" t="s">
        <v>10232</v>
      </c>
    </row>
    <row r="1919" spans="1:7">
      <c r="A1919" s="91" t="s">
        <v>10694</v>
      </c>
      <c r="B1919" s="134" t="s">
        <v>10695</v>
      </c>
      <c r="C1919" s="91" t="s">
        <v>9</v>
      </c>
      <c r="D1919" s="133" t="s">
        <v>10688</v>
      </c>
      <c r="E1919" s="133" t="s">
        <v>63</v>
      </c>
      <c r="F1919" s="91" t="s">
        <v>65</v>
      </c>
      <c r="G1919" t="s">
        <v>10225</v>
      </c>
    </row>
    <row r="1920" spans="1:7">
      <c r="A1920" s="91" t="s">
        <v>10696</v>
      </c>
      <c r="B1920" s="134" t="s">
        <v>10697</v>
      </c>
      <c r="C1920" s="91" t="s">
        <v>9</v>
      </c>
      <c r="D1920" s="133" t="s">
        <v>10698</v>
      </c>
      <c r="E1920" s="133" t="s">
        <v>63</v>
      </c>
      <c r="F1920" s="91" t="s">
        <v>284</v>
      </c>
      <c r="G1920" t="s">
        <v>10222</v>
      </c>
    </row>
    <row r="1921" spans="1:8">
      <c r="A1921" s="91" t="s">
        <v>11220</v>
      </c>
      <c r="B1921" s="134" t="s">
        <v>11221</v>
      </c>
      <c r="C1921" s="91" t="s">
        <v>178</v>
      </c>
      <c r="D1921" s="133" t="s">
        <v>11222</v>
      </c>
      <c r="E1921" s="133" t="s">
        <v>178</v>
      </c>
      <c r="F1921" s="91" t="s">
        <v>120</v>
      </c>
      <c r="G1921" t="s">
        <v>10239</v>
      </c>
    </row>
    <row r="1922" spans="1:8">
      <c r="A1922" s="91" t="s">
        <v>11223</v>
      </c>
      <c r="B1922" s="134" t="s">
        <v>11224</v>
      </c>
      <c r="C1922" s="91" t="s">
        <v>178</v>
      </c>
      <c r="D1922" s="133" t="s">
        <v>11225</v>
      </c>
      <c r="E1922" s="133" t="s">
        <v>178</v>
      </c>
      <c r="F1922" s="91" t="s">
        <v>120</v>
      </c>
      <c r="G1922" t="s">
        <v>10239</v>
      </c>
    </row>
    <row r="1923" spans="1:8">
      <c r="A1923" s="91" t="s">
        <v>11226</v>
      </c>
      <c r="B1923" s="134" t="s">
        <v>11227</v>
      </c>
      <c r="C1923" s="91" t="s">
        <v>178</v>
      </c>
      <c r="D1923" s="133" t="s">
        <v>11225</v>
      </c>
      <c r="E1923" s="133" t="s">
        <v>178</v>
      </c>
      <c r="F1923" s="91" t="s">
        <v>120</v>
      </c>
      <c r="G1923" t="s">
        <v>10239</v>
      </c>
    </row>
    <row r="1924" spans="1:8">
      <c r="A1924" s="91" t="s">
        <v>11215</v>
      </c>
      <c r="B1924" s="134" t="s">
        <v>11216</v>
      </c>
      <c r="C1924" s="91" t="s">
        <v>178</v>
      </c>
      <c r="D1924" s="133" t="s">
        <v>11217</v>
      </c>
      <c r="E1924" s="133" t="s">
        <v>178</v>
      </c>
      <c r="F1924" s="91" t="s">
        <v>120</v>
      </c>
      <c r="G1924" t="s">
        <v>11219</v>
      </c>
    </row>
    <row r="1925" spans="1:8">
      <c r="A1925" s="91" t="s">
        <v>11234</v>
      </c>
      <c r="B1925" s="134" t="s">
        <v>10829</v>
      </c>
      <c r="C1925" s="91" t="s">
        <v>178</v>
      </c>
      <c r="D1925" s="133" t="s">
        <v>11235</v>
      </c>
      <c r="E1925" s="133" t="s">
        <v>178</v>
      </c>
      <c r="F1925" s="91" t="s">
        <v>284</v>
      </c>
      <c r="G1925" t="s">
        <v>11236</v>
      </c>
    </row>
    <row r="1926" spans="1:8">
      <c r="A1926" s="91" t="s">
        <v>11228</v>
      </c>
      <c r="B1926" s="134" t="s">
        <v>11229</v>
      </c>
      <c r="C1926" s="91" t="s">
        <v>178</v>
      </c>
      <c r="D1926" s="133" t="s">
        <v>11230</v>
      </c>
      <c r="E1926" s="133" t="s">
        <v>178</v>
      </c>
      <c r="F1926" s="91" t="s">
        <v>120</v>
      </c>
      <c r="G1926" t="s">
        <v>10239</v>
      </c>
    </row>
    <row r="1927" spans="1:8">
      <c r="A1927" s="91" t="s">
        <v>11237</v>
      </c>
      <c r="B1927" s="134" t="s">
        <v>11238</v>
      </c>
      <c r="C1927" s="91" t="s">
        <v>178</v>
      </c>
      <c r="D1927" s="133" t="s">
        <v>11230</v>
      </c>
      <c r="E1927" s="133" t="s">
        <v>178</v>
      </c>
      <c r="F1927" s="91" t="s">
        <v>120</v>
      </c>
      <c r="G1927" t="s">
        <v>11236</v>
      </c>
    </row>
    <row r="1928" spans="1:8">
      <c r="A1928" s="91" t="s">
        <v>11231</v>
      </c>
      <c r="B1928" s="134" t="s">
        <v>11232</v>
      </c>
      <c r="C1928" s="91" t="s">
        <v>178</v>
      </c>
      <c r="D1928" s="133" t="s">
        <v>11233</v>
      </c>
      <c r="E1928" s="133" t="s">
        <v>178</v>
      </c>
      <c r="F1928" s="91" t="s">
        <v>284</v>
      </c>
      <c r="G1928" t="s">
        <v>10239</v>
      </c>
    </row>
    <row r="1929" spans="1:8">
      <c r="A1929" s="124" t="s">
        <v>8669</v>
      </c>
      <c r="B1929" s="82" t="s">
        <v>11241</v>
      </c>
      <c r="C1929" s="91" t="s">
        <v>8</v>
      </c>
      <c r="D1929" s="133" t="s">
        <v>9066</v>
      </c>
      <c r="E1929" s="133" t="s">
        <v>63</v>
      </c>
      <c r="F1929" s="302" t="s">
        <v>109</v>
      </c>
      <c r="G1929" s="301" t="s">
        <v>10239</v>
      </c>
      <c r="H1929" s="301"/>
    </row>
    <row r="1930" spans="1:8">
      <c r="A1930" s="124"/>
      <c r="B1930" s="82"/>
      <c r="C1930" s="91"/>
      <c r="D1930" s="133"/>
      <c r="E1930" s="133"/>
      <c r="F1930" s="302"/>
      <c r="G1930" s="301"/>
      <c r="H1930" s="301"/>
    </row>
  </sheetData>
  <autoFilter ref="A1:P1928" xr:uid="{00000000-0009-0000-0000-000002000000}"/>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6"/>
  <sheetViews>
    <sheetView workbookViewId="0">
      <selection activeCell="E37" sqref="E37"/>
    </sheetView>
  </sheetViews>
  <sheetFormatPr defaultRowHeight="16.5"/>
  <cols>
    <col min="4" max="4" width="29.625" customWidth="1"/>
    <col min="6" max="6" width="14.625" customWidth="1"/>
    <col min="7" max="7" width="15.75" customWidth="1"/>
  </cols>
  <sheetData>
    <row r="1" spans="1:10">
      <c r="A1" s="212" t="s">
        <v>4440</v>
      </c>
      <c r="B1" s="211" t="s">
        <v>4441</v>
      </c>
      <c r="C1" s="22" t="s">
        <v>9</v>
      </c>
      <c r="D1" s="68" t="s">
        <v>4977</v>
      </c>
      <c r="E1" s="68" t="s">
        <v>63</v>
      </c>
      <c r="F1" s="123" t="s">
        <v>338</v>
      </c>
      <c r="G1" s="22" t="s">
        <v>831</v>
      </c>
    </row>
    <row r="2" spans="1:10">
      <c r="A2" s="22" t="s">
        <v>5040</v>
      </c>
      <c r="B2" s="67" t="s">
        <v>5041</v>
      </c>
      <c r="C2" s="22" t="s">
        <v>9</v>
      </c>
      <c r="D2" s="68" t="s">
        <v>4977</v>
      </c>
      <c r="E2" s="68" t="s">
        <v>63</v>
      </c>
      <c r="F2" s="123" t="s">
        <v>109</v>
      </c>
      <c r="G2" s="22" t="s">
        <v>1344</v>
      </c>
    </row>
    <row r="3" spans="1:10">
      <c r="A3" s="22" t="s">
        <v>5024</v>
      </c>
      <c r="B3" s="67" t="s">
        <v>5025</v>
      </c>
      <c r="C3" s="22" t="s">
        <v>9</v>
      </c>
      <c r="D3" s="68" t="s">
        <v>4977</v>
      </c>
      <c r="E3" s="68" t="s">
        <v>63</v>
      </c>
      <c r="F3" s="123" t="s">
        <v>120</v>
      </c>
      <c r="G3" s="22" t="s">
        <v>2896</v>
      </c>
    </row>
    <row r="4" spans="1:10">
      <c r="A4" s="22" t="s">
        <v>5006</v>
      </c>
      <c r="B4" s="67" t="s">
        <v>5007</v>
      </c>
      <c r="C4" s="22" t="s">
        <v>9</v>
      </c>
      <c r="D4" s="68" t="s">
        <v>4977</v>
      </c>
      <c r="E4" s="68" t="s">
        <v>63</v>
      </c>
      <c r="F4" s="123" t="s">
        <v>120</v>
      </c>
      <c r="G4" s="22" t="s">
        <v>2896</v>
      </c>
      <c r="J4" s="119"/>
    </row>
    <row r="5" spans="1:10">
      <c r="A5" s="212" t="s">
        <v>11242</v>
      </c>
      <c r="B5" s="211" t="s">
        <v>4401</v>
      </c>
      <c r="C5" s="22" t="s">
        <v>9</v>
      </c>
      <c r="D5" s="68" t="s">
        <v>4977</v>
      </c>
      <c r="E5" s="68" t="s">
        <v>63</v>
      </c>
      <c r="F5" s="123" t="s">
        <v>120</v>
      </c>
      <c r="G5" s="22" t="s">
        <v>2896</v>
      </c>
      <c r="J5" s="119"/>
    </row>
    <row r="6" spans="1:10">
      <c r="A6" s="22" t="s">
        <v>5034</v>
      </c>
      <c r="B6" s="67" t="s">
        <v>5035</v>
      </c>
      <c r="C6" s="22" t="s">
        <v>9</v>
      </c>
      <c r="D6" s="68" t="s">
        <v>4977</v>
      </c>
      <c r="E6" s="68" t="s">
        <v>63</v>
      </c>
      <c r="F6" s="123" t="s">
        <v>120</v>
      </c>
      <c r="G6" s="22" t="s">
        <v>2896</v>
      </c>
    </row>
    <row r="7" spans="1:10">
      <c r="A7" s="22" t="s">
        <v>5000</v>
      </c>
      <c r="B7" s="67" t="s">
        <v>5001</v>
      </c>
      <c r="C7" s="22" t="s">
        <v>9</v>
      </c>
      <c r="D7" s="68" t="s">
        <v>4977</v>
      </c>
      <c r="E7" s="68" t="s">
        <v>63</v>
      </c>
      <c r="F7" s="123" t="s">
        <v>65</v>
      </c>
      <c r="G7" s="22" t="s">
        <v>628</v>
      </c>
    </row>
    <row r="8" spans="1:10">
      <c r="A8" s="22" t="s">
        <v>4990</v>
      </c>
      <c r="B8" s="67" t="s">
        <v>4991</v>
      </c>
      <c r="C8" s="22" t="s">
        <v>9</v>
      </c>
      <c r="D8" s="68" t="s">
        <v>4977</v>
      </c>
      <c r="E8" s="68" t="s">
        <v>63</v>
      </c>
      <c r="F8" s="123" t="s">
        <v>65</v>
      </c>
      <c r="G8" s="22" t="s">
        <v>628</v>
      </c>
    </row>
    <row r="9" spans="1:10">
      <c r="A9" s="22" t="s">
        <v>4983</v>
      </c>
      <c r="B9" s="67" t="s">
        <v>4985</v>
      </c>
      <c r="C9" s="22" t="s">
        <v>9</v>
      </c>
      <c r="D9" s="68" t="s">
        <v>4977</v>
      </c>
      <c r="E9" s="68" t="s">
        <v>63</v>
      </c>
      <c r="F9" s="123" t="s">
        <v>4984</v>
      </c>
      <c r="G9" s="22" t="s">
        <v>4984</v>
      </c>
    </row>
    <row r="10" spans="1:10">
      <c r="A10" s="22" t="s">
        <v>5063</v>
      </c>
      <c r="B10" s="67" t="s">
        <v>5065</v>
      </c>
      <c r="C10" s="22" t="s">
        <v>9</v>
      </c>
      <c r="D10" s="68" t="s">
        <v>5064</v>
      </c>
      <c r="E10" s="68" t="s">
        <v>63</v>
      </c>
      <c r="F10" s="123" t="s">
        <v>338</v>
      </c>
      <c r="G10" s="22" t="s">
        <v>831</v>
      </c>
    </row>
    <row r="11" spans="1:10">
      <c r="A11" s="22" t="s">
        <v>5142</v>
      </c>
      <c r="B11" s="67" t="s">
        <v>5143</v>
      </c>
      <c r="C11" s="22" t="s">
        <v>9</v>
      </c>
      <c r="D11" s="68" t="s">
        <v>5064</v>
      </c>
      <c r="E11" s="68" t="s">
        <v>63</v>
      </c>
      <c r="F11" s="123" t="s">
        <v>109</v>
      </c>
      <c r="G11" s="22" t="s">
        <v>1344</v>
      </c>
    </row>
    <row r="12" spans="1:10">
      <c r="A12" s="22" t="s">
        <v>5167</v>
      </c>
      <c r="B12" s="67" t="s">
        <v>5168</v>
      </c>
      <c r="C12" s="22" t="s">
        <v>9</v>
      </c>
      <c r="D12" s="68" t="s">
        <v>5064</v>
      </c>
      <c r="E12" s="68" t="s">
        <v>63</v>
      </c>
      <c r="F12" s="123" t="s">
        <v>109</v>
      </c>
      <c r="G12" s="22" t="s">
        <v>1344</v>
      </c>
    </row>
    <row r="13" spans="1:10">
      <c r="A13" s="22" t="s">
        <v>5161</v>
      </c>
      <c r="B13" s="67" t="s">
        <v>5162</v>
      </c>
      <c r="C13" s="22" t="s">
        <v>9</v>
      </c>
      <c r="D13" s="68" t="s">
        <v>5064</v>
      </c>
      <c r="E13" s="68" t="s">
        <v>63</v>
      </c>
      <c r="F13" s="123" t="s">
        <v>109</v>
      </c>
      <c r="G13" s="22" t="s">
        <v>1344</v>
      </c>
    </row>
    <row r="14" spans="1:10">
      <c r="A14" s="22" t="s">
        <v>5155</v>
      </c>
      <c r="B14" s="67" t="s">
        <v>5156</v>
      </c>
      <c r="C14" s="22" t="s">
        <v>9</v>
      </c>
      <c r="D14" s="68" t="s">
        <v>5064</v>
      </c>
      <c r="E14" s="68" t="s">
        <v>63</v>
      </c>
      <c r="F14" s="123" t="s">
        <v>65</v>
      </c>
      <c r="G14" s="22" t="s">
        <v>628</v>
      </c>
    </row>
    <row r="15" spans="1:10">
      <c r="A15" s="22" t="s">
        <v>5129</v>
      </c>
      <c r="B15" s="67" t="s">
        <v>5130</v>
      </c>
      <c r="C15" s="22" t="s">
        <v>9</v>
      </c>
      <c r="D15" s="68" t="s">
        <v>5064</v>
      </c>
      <c r="E15" s="68" t="s">
        <v>63</v>
      </c>
      <c r="F15" s="123" t="s">
        <v>120</v>
      </c>
      <c r="G15" s="22" t="s">
        <v>2896</v>
      </c>
    </row>
    <row r="16" spans="1:10">
      <c r="A16" s="22" t="s">
        <v>5135</v>
      </c>
      <c r="B16" s="67" t="s">
        <v>5137</v>
      </c>
      <c r="C16" s="22" t="s">
        <v>9</v>
      </c>
      <c r="D16" s="68" t="s">
        <v>5064</v>
      </c>
      <c r="E16" s="68" t="s">
        <v>63</v>
      </c>
      <c r="F16" s="123" t="s">
        <v>5136</v>
      </c>
      <c r="G16" s="22" t="s">
        <v>5136</v>
      </c>
    </row>
    <row r="17" spans="1:7">
      <c r="A17" s="22" t="s">
        <v>4855</v>
      </c>
      <c r="B17" s="211" t="s">
        <v>4856</v>
      </c>
      <c r="C17" s="22" t="s">
        <v>9</v>
      </c>
      <c r="D17" s="68" t="s">
        <v>5174</v>
      </c>
      <c r="E17" s="68" t="s">
        <v>63</v>
      </c>
      <c r="F17" s="123" t="s">
        <v>338</v>
      </c>
      <c r="G17" s="22" t="s">
        <v>831</v>
      </c>
    </row>
    <row r="18" spans="1:7">
      <c r="A18" s="22" t="s">
        <v>11243</v>
      </c>
      <c r="B18" s="67" t="s">
        <v>11244</v>
      </c>
      <c r="C18" s="22" t="s">
        <v>9</v>
      </c>
      <c r="D18" s="68" t="s">
        <v>5174</v>
      </c>
      <c r="E18" s="68" t="s">
        <v>63</v>
      </c>
      <c r="F18" s="123" t="s">
        <v>109</v>
      </c>
      <c r="G18" s="22" t="s">
        <v>1344</v>
      </c>
    </row>
    <row r="19" spans="1:7">
      <c r="A19" s="22" t="s">
        <v>5173</v>
      </c>
      <c r="B19" s="67" t="s">
        <v>5175</v>
      </c>
      <c r="C19" s="22" t="s">
        <v>9</v>
      </c>
      <c r="D19" s="68" t="s">
        <v>5174</v>
      </c>
      <c r="E19" s="68" t="s">
        <v>63</v>
      </c>
      <c r="F19" s="123" t="s">
        <v>109</v>
      </c>
      <c r="G19" s="22" t="s">
        <v>1344</v>
      </c>
    </row>
    <row r="20" spans="1:7">
      <c r="A20" s="22" t="s">
        <v>5196</v>
      </c>
      <c r="B20" s="67" t="s">
        <v>5197</v>
      </c>
      <c r="C20" s="22" t="s">
        <v>9</v>
      </c>
      <c r="D20" s="68" t="s">
        <v>5174</v>
      </c>
      <c r="E20" s="68" t="s">
        <v>63</v>
      </c>
      <c r="F20" s="123" t="s">
        <v>120</v>
      </c>
      <c r="G20" s="22" t="s">
        <v>2896</v>
      </c>
    </row>
    <row r="21" spans="1:7">
      <c r="A21" s="22" t="s">
        <v>11245</v>
      </c>
      <c r="B21" s="67" t="s">
        <v>10771</v>
      </c>
      <c r="C21" s="22" t="s">
        <v>9</v>
      </c>
      <c r="D21" s="68" t="s">
        <v>5174</v>
      </c>
      <c r="E21" s="68" t="s">
        <v>63</v>
      </c>
      <c r="F21" s="123" t="s">
        <v>109</v>
      </c>
      <c r="G21" s="22" t="s">
        <v>1344</v>
      </c>
    </row>
    <row r="22" spans="1:7">
      <c r="A22" s="22" t="s">
        <v>5234</v>
      </c>
      <c r="B22" s="67" t="s">
        <v>5235</v>
      </c>
      <c r="C22" s="22" t="s">
        <v>9</v>
      </c>
      <c r="D22" s="68" t="s">
        <v>5174</v>
      </c>
      <c r="E22" s="68" t="s">
        <v>63</v>
      </c>
      <c r="F22" s="123" t="s">
        <v>65</v>
      </c>
      <c r="G22" s="22" t="s">
        <v>628</v>
      </c>
    </row>
    <row r="23" spans="1:7">
      <c r="A23" s="22" t="s">
        <v>4718</v>
      </c>
      <c r="B23" s="211" t="s">
        <v>4719</v>
      </c>
      <c r="C23" s="22" t="s">
        <v>9</v>
      </c>
      <c r="D23" s="68" t="s">
        <v>5174</v>
      </c>
      <c r="E23" s="68" t="s">
        <v>63</v>
      </c>
      <c r="F23" s="123" t="s">
        <v>65</v>
      </c>
      <c r="G23" s="22" t="s">
        <v>628</v>
      </c>
    </row>
    <row r="24" spans="1:7">
      <c r="A24" s="22" t="s">
        <v>5180</v>
      </c>
      <c r="B24" s="67" t="s">
        <v>5181</v>
      </c>
      <c r="C24" s="22" t="s">
        <v>9</v>
      </c>
      <c r="D24" s="68" t="s">
        <v>5174</v>
      </c>
      <c r="E24" s="68" t="s">
        <v>63</v>
      </c>
      <c r="F24" s="123" t="s">
        <v>65</v>
      </c>
      <c r="G24" s="22" t="s">
        <v>628</v>
      </c>
    </row>
    <row r="25" spans="1:7">
      <c r="A25" s="22" t="s">
        <v>11246</v>
      </c>
      <c r="B25" s="67" t="s">
        <v>11247</v>
      </c>
      <c r="C25" s="22" t="s">
        <v>9</v>
      </c>
      <c r="D25" s="68" t="s">
        <v>5174</v>
      </c>
      <c r="E25" s="68" t="s">
        <v>63</v>
      </c>
      <c r="F25" s="123" t="s">
        <v>11248</v>
      </c>
      <c r="G25" s="22" t="s">
        <v>11248</v>
      </c>
    </row>
    <row r="31" spans="1:7">
      <c r="B31" s="67" t="s">
        <v>5013</v>
      </c>
      <c r="D31" t="s">
        <v>11249</v>
      </c>
    </row>
    <row r="32" spans="1:7">
      <c r="B32" s="67" t="s">
        <v>5057</v>
      </c>
      <c r="D32" t="s">
        <v>11250</v>
      </c>
    </row>
    <row r="33" spans="2:4">
      <c r="B33" s="67" t="s">
        <v>4978</v>
      </c>
      <c r="D33" t="s">
        <v>11251</v>
      </c>
    </row>
    <row r="34" spans="2:4">
      <c r="B34" s="67" t="s">
        <v>5019</v>
      </c>
      <c r="D34" t="s">
        <v>11250</v>
      </c>
    </row>
    <row r="35" spans="2:4">
      <c r="B35" s="67" t="s">
        <v>5047</v>
      </c>
      <c r="D35" t="s">
        <v>11252</v>
      </c>
    </row>
    <row r="36" spans="2:4">
      <c r="B36" s="67" t="s">
        <v>5191</v>
      </c>
      <c r="D36" t="s">
        <v>11250</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35"/>
  <sheetViews>
    <sheetView topLeftCell="A6" zoomScaleNormal="100" workbookViewId="0">
      <selection activeCell="K35" sqref="K35"/>
    </sheetView>
  </sheetViews>
  <sheetFormatPr defaultRowHeight="16.5"/>
  <cols>
    <col min="1" max="1" width="9.875" bestFit="1" customWidth="1"/>
    <col min="2" max="2" width="5.625" bestFit="1" customWidth="1"/>
    <col min="3" max="3" width="13.75" bestFit="1" customWidth="1"/>
    <col min="4" max="4" width="5.5" bestFit="1" customWidth="1"/>
    <col min="5" max="5" width="16.125" bestFit="1" customWidth="1"/>
    <col min="6" max="6" width="5.5" bestFit="1" customWidth="1"/>
    <col min="13" max="13" width="39" customWidth="1"/>
    <col min="20" max="20" width="16.75" bestFit="1" customWidth="1"/>
    <col min="21" max="21" width="16.875" bestFit="1" customWidth="1"/>
  </cols>
  <sheetData>
    <row r="1" spans="1:21">
      <c r="A1" s="3" t="s">
        <v>11253</v>
      </c>
    </row>
    <row r="2" spans="1:21">
      <c r="A2" s="8" t="s">
        <v>44</v>
      </c>
      <c r="B2" s="9" t="s">
        <v>11254</v>
      </c>
      <c r="C2" s="8" t="s">
        <v>45</v>
      </c>
      <c r="D2" s="10" t="s">
        <v>11254</v>
      </c>
      <c r="E2" s="8" t="s">
        <v>46</v>
      </c>
      <c r="F2" s="10" t="s">
        <v>11254</v>
      </c>
      <c r="I2" s="3" t="s">
        <v>11255</v>
      </c>
    </row>
    <row r="3" spans="1:21">
      <c r="A3" s="15" t="s">
        <v>11256</v>
      </c>
      <c r="B3" t="s">
        <v>11257</v>
      </c>
      <c r="C3" s="14" t="s">
        <v>11258</v>
      </c>
      <c r="D3" s="13" t="s">
        <v>11259</v>
      </c>
      <c r="E3" s="4" t="s">
        <v>492</v>
      </c>
      <c r="F3" s="5" t="s">
        <v>11260</v>
      </c>
      <c r="I3" t="s">
        <v>11261</v>
      </c>
      <c r="M3" s="1" t="s">
        <v>11262</v>
      </c>
      <c r="N3" s="1" t="s">
        <v>11263</v>
      </c>
      <c r="T3" s="20" t="s">
        <v>11264</v>
      </c>
      <c r="U3" s="1" t="s">
        <v>11265</v>
      </c>
    </row>
    <row r="4" spans="1:21">
      <c r="A4" s="15" t="s">
        <v>11266</v>
      </c>
      <c r="B4" t="s">
        <v>11267</v>
      </c>
      <c r="C4" s="14" t="s">
        <v>11268</v>
      </c>
      <c r="D4" s="13" t="s">
        <v>11269</v>
      </c>
      <c r="E4" s="4" t="s">
        <v>11270</v>
      </c>
      <c r="F4" s="5" t="s">
        <v>11271</v>
      </c>
      <c r="I4" t="s">
        <v>11272</v>
      </c>
      <c r="M4" s="40" t="s">
        <v>193</v>
      </c>
      <c r="N4" s="70" t="s">
        <v>75</v>
      </c>
      <c r="T4" t="s">
        <v>75</v>
      </c>
      <c r="U4" t="s">
        <v>460</v>
      </c>
    </row>
    <row r="5" spans="1:21">
      <c r="A5" s="15" t="s">
        <v>11273</v>
      </c>
      <c r="B5" t="s">
        <v>11274</v>
      </c>
      <c r="C5" s="14" t="s">
        <v>11275</v>
      </c>
      <c r="D5" s="5" t="s">
        <v>11276</v>
      </c>
      <c r="E5" s="4" t="s">
        <v>11277</v>
      </c>
      <c r="F5" s="5" t="s">
        <v>11278</v>
      </c>
      <c r="I5" t="s">
        <v>11279</v>
      </c>
      <c r="M5" s="42" t="s">
        <v>93</v>
      </c>
      <c r="T5" t="s">
        <v>75</v>
      </c>
      <c r="U5" t="s">
        <v>376</v>
      </c>
    </row>
    <row r="6" spans="1:21">
      <c r="A6" s="15" t="s">
        <v>11280</v>
      </c>
      <c r="B6" t="s">
        <v>11281</v>
      </c>
      <c r="C6" s="14" t="s">
        <v>11282</v>
      </c>
      <c r="D6" s="5" t="s">
        <v>11283</v>
      </c>
      <c r="E6" s="4" t="s">
        <v>11284</v>
      </c>
      <c r="F6" s="5" t="s">
        <v>11285</v>
      </c>
      <c r="M6" t="s">
        <v>106</v>
      </c>
      <c r="T6" t="s">
        <v>75</v>
      </c>
      <c r="U6" t="s">
        <v>77</v>
      </c>
    </row>
    <row r="7" spans="1:21">
      <c r="A7" s="15" t="s">
        <v>11286</v>
      </c>
      <c r="B7" t="s">
        <v>11287</v>
      </c>
      <c r="C7" s="14" t="s">
        <v>11288</v>
      </c>
      <c r="D7" s="5" t="s">
        <v>11289</v>
      </c>
      <c r="E7" s="4" t="s">
        <v>11290</v>
      </c>
      <c r="F7" s="5" t="s">
        <v>11291</v>
      </c>
      <c r="M7" s="40" t="s">
        <v>79</v>
      </c>
      <c r="T7" t="s">
        <v>75</v>
      </c>
      <c r="U7" t="s">
        <v>792</v>
      </c>
    </row>
    <row r="8" spans="1:21">
      <c r="A8" s="16" t="s">
        <v>11292</v>
      </c>
      <c r="B8" t="s">
        <v>11293</v>
      </c>
      <c r="C8" s="14" t="s">
        <v>11294</v>
      </c>
      <c r="D8" s="5" t="s">
        <v>11295</v>
      </c>
      <c r="E8" s="6" t="s">
        <v>11296</v>
      </c>
      <c r="F8" s="7" t="s">
        <v>11297</v>
      </c>
      <c r="U8" t="s">
        <v>418</v>
      </c>
    </row>
    <row r="9" spans="1:21">
      <c r="A9" s="16" t="s">
        <v>11298</v>
      </c>
      <c r="B9" t="s">
        <v>11299</v>
      </c>
      <c r="C9" s="14" t="s">
        <v>11300</v>
      </c>
      <c r="D9" s="5" t="s">
        <v>11301</v>
      </c>
      <c r="P9" t="s">
        <v>11257</v>
      </c>
      <c r="U9" t="s">
        <v>368</v>
      </c>
    </row>
    <row r="10" spans="1:21">
      <c r="A10" s="17" t="s">
        <v>11302</v>
      </c>
      <c r="B10" t="s">
        <v>11303</v>
      </c>
      <c r="C10" s="19" t="s">
        <v>11304</v>
      </c>
      <c r="D10" s="5" t="s">
        <v>11305</v>
      </c>
      <c r="P10" t="s">
        <v>11267</v>
      </c>
      <c r="U10" t="s">
        <v>104</v>
      </c>
    </row>
    <row r="11" spans="1:21">
      <c r="A11" s="17" t="s">
        <v>11306</v>
      </c>
      <c r="B11" t="s">
        <v>11307</v>
      </c>
      <c r="C11" s="19" t="s">
        <v>11308</v>
      </c>
      <c r="D11" s="5" t="s">
        <v>11309</v>
      </c>
      <c r="P11" t="s">
        <v>11274</v>
      </c>
      <c r="U11" t="s">
        <v>721</v>
      </c>
    </row>
    <row r="12" spans="1:21">
      <c r="A12" s="18" t="s">
        <v>11310</v>
      </c>
      <c r="B12" t="s">
        <v>11311</v>
      </c>
      <c r="C12" s="19" t="s">
        <v>11312</v>
      </c>
      <c r="D12" s="5" t="s">
        <v>11313</v>
      </c>
      <c r="P12" t="s">
        <v>11281</v>
      </c>
      <c r="U12" t="s">
        <v>425</v>
      </c>
    </row>
    <row r="13" spans="1:21">
      <c r="A13" t="s">
        <v>10</v>
      </c>
      <c r="B13" t="s">
        <v>11314</v>
      </c>
      <c r="C13" s="19" t="s">
        <v>11315</v>
      </c>
      <c r="D13" s="5" t="s">
        <v>11316</v>
      </c>
      <c r="P13" t="s">
        <v>11287</v>
      </c>
      <c r="U13" t="s">
        <v>5448</v>
      </c>
    </row>
    <row r="14" spans="1:21">
      <c r="A14" t="s">
        <v>4387</v>
      </c>
      <c r="B14" t="s">
        <v>11317</v>
      </c>
      <c r="C14" s="19" t="s">
        <v>11318</v>
      </c>
      <c r="D14" s="5" t="s">
        <v>11319</v>
      </c>
      <c r="P14" t="s">
        <v>11293</v>
      </c>
      <c r="T14" s="20" t="s">
        <v>11320</v>
      </c>
      <c r="U14" t="s">
        <v>4017</v>
      </c>
    </row>
    <row r="15" spans="1:21">
      <c r="C15" s="19" t="s">
        <v>11321</v>
      </c>
      <c r="D15" s="5" t="s">
        <v>11322</v>
      </c>
      <c r="P15" t="s">
        <v>11299</v>
      </c>
      <c r="T15" t="s">
        <v>78</v>
      </c>
      <c r="U15" t="s">
        <v>11323</v>
      </c>
    </row>
    <row r="16" spans="1:21">
      <c r="C16" s="19" t="s">
        <v>11324</v>
      </c>
      <c r="D16" s="5" t="s">
        <v>11325</v>
      </c>
      <c r="P16" t="s">
        <v>11303</v>
      </c>
      <c r="T16" t="s">
        <v>369</v>
      </c>
      <c r="U16" t="s">
        <v>1511</v>
      </c>
    </row>
    <row r="17" spans="1:21">
      <c r="C17" s="6" t="s">
        <v>11326</v>
      </c>
      <c r="D17" s="7" t="s">
        <v>11327</v>
      </c>
      <c r="P17" t="s">
        <v>11307</v>
      </c>
      <c r="T17" t="s">
        <v>516</v>
      </c>
      <c r="U17" t="s">
        <v>6686</v>
      </c>
    </row>
    <row r="18" spans="1:21">
      <c r="P18" t="s">
        <v>11311</v>
      </c>
      <c r="T18" t="s">
        <v>3375</v>
      </c>
      <c r="U18" t="s">
        <v>175</v>
      </c>
    </row>
    <row r="19" spans="1:21">
      <c r="A19" s="3" t="s">
        <v>11328</v>
      </c>
      <c r="E19" s="3" t="s">
        <v>11329</v>
      </c>
      <c r="M19" t="s">
        <v>11258</v>
      </c>
      <c r="N19" t="s">
        <v>299</v>
      </c>
      <c r="P19" t="s">
        <v>11330</v>
      </c>
      <c r="Q19" t="s">
        <v>1478</v>
      </c>
      <c r="T19" t="s">
        <v>176</v>
      </c>
      <c r="U19" t="s">
        <v>8051</v>
      </c>
    </row>
    <row r="20" spans="1:21">
      <c r="A20" s="3" t="s">
        <v>44</v>
      </c>
      <c r="B20" s="3" t="s">
        <v>11254</v>
      </c>
      <c r="C20" s="3" t="s">
        <v>11328</v>
      </c>
      <c r="E20" s="3" t="s">
        <v>45</v>
      </c>
      <c r="F20" s="3" t="s">
        <v>11254</v>
      </c>
      <c r="G20" s="3" t="s">
        <v>11331</v>
      </c>
      <c r="H20" s="3" t="s">
        <v>11332</v>
      </c>
      <c r="M20" t="s">
        <v>11268</v>
      </c>
      <c r="N20" t="s">
        <v>1466</v>
      </c>
      <c r="P20" t="s">
        <v>11333</v>
      </c>
      <c r="Q20" t="s">
        <v>1267</v>
      </c>
    </row>
    <row r="21" spans="1:21">
      <c r="A21" s="4" t="s">
        <v>11256</v>
      </c>
      <c r="B21" t="s">
        <v>11257</v>
      </c>
      <c r="C21" t="s">
        <v>1478</v>
      </c>
      <c r="E21" s="11" t="s">
        <v>11258</v>
      </c>
      <c r="F21" s="13" t="s">
        <v>11259</v>
      </c>
      <c r="G21" t="s">
        <v>299</v>
      </c>
      <c r="H21" t="s">
        <v>198</v>
      </c>
      <c r="I21" s="4" t="s">
        <v>492</v>
      </c>
      <c r="J21" s="5" t="s">
        <v>11260</v>
      </c>
      <c r="M21" t="s">
        <v>11275</v>
      </c>
      <c r="N21" t="s">
        <v>1478</v>
      </c>
      <c r="P21" t="s">
        <v>11292</v>
      </c>
      <c r="Q21" t="s">
        <v>11334</v>
      </c>
    </row>
    <row r="22" spans="1:21">
      <c r="A22" s="4" t="s">
        <v>11266</v>
      </c>
      <c r="B22" t="s">
        <v>11267</v>
      </c>
      <c r="C22" t="s">
        <v>1267</v>
      </c>
      <c r="E22" s="11" t="s">
        <v>11268</v>
      </c>
      <c r="F22" s="13" t="s">
        <v>11269</v>
      </c>
      <c r="G22" t="s">
        <v>299</v>
      </c>
      <c r="H22" t="s">
        <v>112</v>
      </c>
      <c r="I22" s="4" t="s">
        <v>11270</v>
      </c>
      <c r="J22" s="5" t="s">
        <v>11271</v>
      </c>
      <c r="M22" t="s">
        <v>11282</v>
      </c>
      <c r="N22" t="s">
        <v>558</v>
      </c>
      <c r="P22" t="s">
        <v>11298</v>
      </c>
      <c r="Q22" t="s">
        <v>1655</v>
      </c>
      <c r="U22" t="s">
        <v>305</v>
      </c>
    </row>
    <row r="23" spans="1:21">
      <c r="A23" s="4" t="s">
        <v>11273</v>
      </c>
      <c r="B23" t="s">
        <v>11274</v>
      </c>
      <c r="C23" t="s">
        <v>1267</v>
      </c>
      <c r="E23" t="s">
        <v>11275</v>
      </c>
      <c r="F23" s="5" t="s">
        <v>11276</v>
      </c>
      <c r="G23" t="s">
        <v>1478</v>
      </c>
      <c r="I23" s="4" t="s">
        <v>11277</v>
      </c>
      <c r="J23" s="5" t="s">
        <v>11278</v>
      </c>
      <c r="M23" t="s">
        <v>11288</v>
      </c>
      <c r="N23" t="s">
        <v>112</v>
      </c>
      <c r="P23" t="s">
        <v>11335</v>
      </c>
    </row>
    <row r="24" spans="1:21">
      <c r="A24" s="11" t="s">
        <v>11280</v>
      </c>
      <c r="B24" t="s">
        <v>11281</v>
      </c>
      <c r="C24" s="12" t="s">
        <v>1401</v>
      </c>
      <c r="E24" t="s">
        <v>11282</v>
      </c>
      <c r="F24" s="5" t="s">
        <v>11283</v>
      </c>
      <c r="G24" t="s">
        <v>558</v>
      </c>
      <c r="I24" s="4" t="s">
        <v>11284</v>
      </c>
      <c r="J24" s="5" t="s">
        <v>11285</v>
      </c>
      <c r="M24" t="s">
        <v>11294</v>
      </c>
      <c r="N24" t="s">
        <v>1401</v>
      </c>
      <c r="P24" t="s">
        <v>11310</v>
      </c>
      <c r="Q24" t="s">
        <v>69</v>
      </c>
    </row>
    <row r="25" spans="1:21">
      <c r="A25" s="11" t="s">
        <v>11286</v>
      </c>
      <c r="B25" t="s">
        <v>11287</v>
      </c>
      <c r="C25" s="12" t="s">
        <v>558</v>
      </c>
      <c r="E25" t="s">
        <v>11288</v>
      </c>
      <c r="F25" s="5" t="s">
        <v>11289</v>
      </c>
      <c r="G25" t="s">
        <v>112</v>
      </c>
      <c r="I25" s="4" t="s">
        <v>11290</v>
      </c>
      <c r="J25" s="5" t="s">
        <v>11291</v>
      </c>
      <c r="M25" t="s">
        <v>11300</v>
      </c>
      <c r="N25" t="s">
        <v>198</v>
      </c>
    </row>
    <row r="26" spans="1:21">
      <c r="A26" s="4" t="s">
        <v>11292</v>
      </c>
      <c r="B26" t="s">
        <v>11293</v>
      </c>
      <c r="C26" t="s">
        <v>11334</v>
      </c>
      <c r="E26" t="s">
        <v>11294</v>
      </c>
      <c r="F26" s="5" t="s">
        <v>11295</v>
      </c>
      <c r="G26" t="s">
        <v>1401</v>
      </c>
      <c r="I26" s="6" t="s">
        <v>11296</v>
      </c>
      <c r="J26" s="7" t="s">
        <v>11297</v>
      </c>
      <c r="M26" t="s">
        <v>11304</v>
      </c>
      <c r="N26" t="s">
        <v>198</v>
      </c>
    </row>
    <row r="27" spans="1:21">
      <c r="A27" s="4" t="s">
        <v>11298</v>
      </c>
      <c r="B27" t="s">
        <v>11299</v>
      </c>
      <c r="C27" t="s">
        <v>1655</v>
      </c>
      <c r="E27" t="s">
        <v>11300</v>
      </c>
      <c r="F27" s="5" t="s">
        <v>11301</v>
      </c>
      <c r="G27" t="s">
        <v>198</v>
      </c>
      <c r="M27" t="s">
        <v>11308</v>
      </c>
      <c r="N27" t="s">
        <v>69</v>
      </c>
    </row>
    <row r="28" spans="1:21">
      <c r="A28" s="4" t="s">
        <v>11302</v>
      </c>
      <c r="B28" t="s">
        <v>11303</v>
      </c>
      <c r="C28" t="s">
        <v>299</v>
      </c>
      <c r="E28" t="s">
        <v>11304</v>
      </c>
      <c r="F28" s="5" t="s">
        <v>11305</v>
      </c>
      <c r="G28" t="s">
        <v>1478</v>
      </c>
      <c r="M28" t="s">
        <v>11312</v>
      </c>
      <c r="N28" t="s">
        <v>1655</v>
      </c>
    </row>
    <row r="29" spans="1:21">
      <c r="A29" s="4" t="s">
        <v>11306</v>
      </c>
      <c r="B29" t="s">
        <v>11307</v>
      </c>
      <c r="C29" t="s">
        <v>69</v>
      </c>
      <c r="E29" t="s">
        <v>11308</v>
      </c>
      <c r="F29" s="5" t="s">
        <v>11309</v>
      </c>
      <c r="G29" t="s">
        <v>69</v>
      </c>
      <c r="M29" t="s">
        <v>11315</v>
      </c>
      <c r="N29" t="s">
        <v>69</v>
      </c>
    </row>
    <row r="30" spans="1:21">
      <c r="A30" s="6" t="s">
        <v>11310</v>
      </c>
      <c r="B30" t="s">
        <v>11311</v>
      </c>
      <c r="C30" t="s">
        <v>69</v>
      </c>
      <c r="E30" t="s">
        <v>11312</v>
      </c>
      <c r="F30" s="5" t="s">
        <v>11313</v>
      </c>
      <c r="G30" t="s">
        <v>69</v>
      </c>
      <c r="M30" t="s">
        <v>11318</v>
      </c>
      <c r="N30" t="s">
        <v>86</v>
      </c>
    </row>
    <row r="31" spans="1:21">
      <c r="A31" t="s">
        <v>10</v>
      </c>
      <c r="B31" t="s">
        <v>11314</v>
      </c>
      <c r="C31" t="s">
        <v>1654</v>
      </c>
      <c r="E31" t="s">
        <v>11315</v>
      </c>
      <c r="F31" s="5" t="s">
        <v>11316</v>
      </c>
      <c r="G31" t="s">
        <v>1655</v>
      </c>
      <c r="M31" t="s">
        <v>11321</v>
      </c>
      <c r="N31" t="s">
        <v>69</v>
      </c>
    </row>
    <row r="32" spans="1:21">
      <c r="A32" t="s">
        <v>4387</v>
      </c>
      <c r="B32" t="s">
        <v>11317</v>
      </c>
      <c r="C32" t="s">
        <v>4386</v>
      </c>
      <c r="E32" t="s">
        <v>11318</v>
      </c>
      <c r="F32" s="5" t="s">
        <v>11319</v>
      </c>
      <c r="G32" t="s">
        <v>86</v>
      </c>
      <c r="M32" t="s">
        <v>11324</v>
      </c>
      <c r="N32" t="s">
        <v>69</v>
      </c>
    </row>
    <row r="33" spans="3:14">
      <c r="C33" t="s">
        <v>5213</v>
      </c>
      <c r="E33" t="s">
        <v>11321</v>
      </c>
      <c r="F33" s="5" t="s">
        <v>11322</v>
      </c>
      <c r="G33" t="s">
        <v>69</v>
      </c>
      <c r="M33" t="s">
        <v>11326</v>
      </c>
      <c r="N33" t="s">
        <v>1655</v>
      </c>
    </row>
    <row r="34" spans="3:14">
      <c r="E34" t="s">
        <v>11324</v>
      </c>
      <c r="F34" s="5" t="s">
        <v>11325</v>
      </c>
      <c r="G34" t="s">
        <v>69</v>
      </c>
    </row>
    <row r="35" spans="3:14">
      <c r="E35" t="s">
        <v>11326</v>
      </c>
      <c r="F35" s="7" t="s">
        <v>11327</v>
      </c>
      <c r="G35" t="s">
        <v>1655</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58826536B4EE1D46A3ECAD2E1570ECFE" ma:contentTypeVersion="14" ma:contentTypeDescription="새 문서를 만듭니다." ma:contentTypeScope="" ma:versionID="0a775eea4472e85fe027c062d0d155bf">
  <xsd:schema xmlns:xsd="http://www.w3.org/2001/XMLSchema" xmlns:xs="http://www.w3.org/2001/XMLSchema" xmlns:p="http://schemas.microsoft.com/office/2006/metadata/properties" xmlns:ns2="02ed69e6-c22c-4133-856b-66e775fa786a" xmlns:ns3="c8ba2335-aecf-49f3-b4ba-9c8ecb3a1eb2" targetNamespace="http://schemas.microsoft.com/office/2006/metadata/properties" ma:root="true" ma:fieldsID="6c55b9bcb6d20a841090a72b9ae106a6" ns2:_="" ns3:_="">
    <xsd:import namespace="02ed69e6-c22c-4133-856b-66e775fa786a"/>
    <xsd:import namespace="c8ba2335-aecf-49f3-b4ba-9c8ecb3a1eb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_x0032_025_xb144__x0028_1501_x007e_1600_xbc88__x0029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ed69e6-c22c-4133-856b-66e775fa78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eb6f115b-658e-41b7-ae03-1aefa9df369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_x0032_025_xb144__x0028_1501_x007e_1600_xbc88__x0029_" ma:index="21" nillable="true" ma:displayName="2025년 (1501~1600번)" ma:format="Dropdown" ma:internalName="_x0032_025_xb144__x0028_1501_x007e_1600_xbc88__x0029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8ba2335-aecf-49f3-b4ba-9c8ecb3a1eb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2b8c764-6772-48ff-bdfb-0296ba2a6e31}" ma:internalName="TaxCatchAll" ma:showField="CatchAllData" ma:web="c8ba2335-aecf-49f3-b4ba-9c8ecb3a1eb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8ba2335-aecf-49f3-b4ba-9c8ecb3a1eb2" xsi:nil="true"/>
    <lcf76f155ced4ddcb4097134ff3c332f xmlns="02ed69e6-c22c-4133-856b-66e775fa786a">
      <Terms xmlns="http://schemas.microsoft.com/office/infopath/2007/PartnerControls"/>
    </lcf76f155ced4ddcb4097134ff3c332f>
    <_x0032_025_xb144__x0028_1501_x007e_1600_xbc88__x0029_ xmlns="02ed69e6-c22c-4133-856b-66e775fa786a" xsi:nil="true"/>
  </documentManagement>
</p:properties>
</file>

<file path=customXml/itemProps1.xml><?xml version="1.0" encoding="utf-8"?>
<ds:datastoreItem xmlns:ds="http://schemas.openxmlformats.org/officeDocument/2006/customXml" ds:itemID="{A1546F4D-6978-462A-A1AE-7F6331CB1761}"/>
</file>

<file path=customXml/itemProps2.xml><?xml version="1.0" encoding="utf-8"?>
<ds:datastoreItem xmlns:ds="http://schemas.openxmlformats.org/officeDocument/2006/customXml" ds:itemID="{48D72D73-E223-4677-A49D-CFECC813D610}"/>
</file>

<file path=customXml/itemProps3.xml><?xml version="1.0" encoding="utf-8"?>
<ds:datastoreItem xmlns:ds="http://schemas.openxmlformats.org/officeDocument/2006/customXml" ds:itemID="{C1E4CC7A-7058-4607-98FB-485BA81AE2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박재보(PARK JAE BO)</dc:creator>
  <cp:keywords/>
  <dc:description/>
  <cp:lastModifiedBy/>
  <cp:revision/>
  <dcterms:created xsi:type="dcterms:W3CDTF">2024-06-21T03:43:21Z</dcterms:created>
  <dcterms:modified xsi:type="dcterms:W3CDTF">2026-04-14T05:10:35Z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0x01010058826536B4EE1D46A3ECAD2E1570ECFE</vt:lpwstr>
  </property>
  <property fmtid="{D5CDD505-2E9C-101B-9397-08002B2CF9AE}" pid="3" name="MediaServiceImageTags">
    <vt:lpwstr/>
  </property>
</Properties>
</file>